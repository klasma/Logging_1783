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46221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Y2">
        <f>HYPERLINK("https://klasma.github.io/Logging_1783/klagomål/A 57613-2023 FSC-klagomål.docx", "A 57613-2023")</f>
        <v/>
      </c>
      <c r="Z2">
        <f>HYPERLINK("https://klasma.github.io/Logging_1783/klagomålsmail/A 57613-2023 FSC-klagomål mail.docx", "A 57613-2023")</f>
        <v/>
      </c>
      <c r="AA2">
        <f>HYPERLINK("https://klasma.github.io/Logging_1783/tillsyn/A 57613-2023 tillsynsbegäran.docx", "A 57613-2023")</f>
        <v/>
      </c>
      <c r="AB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46221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Y3">
        <f>HYPERLINK("https://klasma.github.io/Logging_1783/klagomål/A 39627-2023 FSC-klagomål.docx", "A 39627-2023")</f>
        <v/>
      </c>
      <c r="Z3">
        <f>HYPERLINK("https://klasma.github.io/Logging_1783/klagomålsmail/A 39627-2023 FSC-klagomål mail.docx", "A 39627-2023")</f>
        <v/>
      </c>
      <c r="AA3">
        <f>HYPERLINK("https://klasma.github.io/Logging_1783/tillsyn/A 39627-2023 tillsynsbegäran.docx", "A 39627-2023")</f>
        <v/>
      </c>
      <c r="AB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46221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HYPERLINK("https://klasma.github.io/Logging_1783/knärot/A 54844-2024 karta knärot.png", "A 54844-2024")</f>
        <v/>
      </c>
      <c r="Y4">
        <f>HYPERLINK("https://klasma.github.io/Logging_1783/klagomål/A 54844-2024 FSC-klagomål.docx", "A 54844-2024")</f>
        <v/>
      </c>
      <c r="Z4">
        <f>HYPERLINK("https://klasma.github.io/Logging_1783/klagomålsmail/A 54844-2024 FSC-klagomål mail.docx", "A 54844-2024")</f>
        <v/>
      </c>
      <c r="AA4">
        <f>HYPERLINK("https://klasma.github.io/Logging_1783/tillsyn/A 54844-2024 tillsynsbegäran.docx", "A 54844-2024")</f>
        <v/>
      </c>
      <c r="AB4">
        <f>HYPERLINK("https://klasma.github.io/Logging_1783/tillsynsmail/A 54844-2024 tillsynsbegäran mail.docx", "A 54844-2024")</f>
        <v/>
      </c>
      <c r="AC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46221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Y5">
        <f>HYPERLINK("https://klasma.github.io/Logging_1783/klagomål/A 46698-2021 FSC-klagomål.docx", "A 46698-2021")</f>
        <v/>
      </c>
      <c r="Z5">
        <f>HYPERLINK("https://klasma.github.io/Logging_1783/klagomålsmail/A 46698-2021 FSC-klagomål mail.docx", "A 46698-2021")</f>
        <v/>
      </c>
      <c r="AA5">
        <f>HYPERLINK("https://klasma.github.io/Logging_1783/tillsyn/A 46698-2021 tillsynsbegäran.docx", "A 46698-2021")</f>
        <v/>
      </c>
      <c r="AB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46221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Y6">
        <f>HYPERLINK("https://klasma.github.io/Logging_1783/klagomål/S 196-2025 FSC-klagomål.docx", "S 196-2025")</f>
        <v/>
      </c>
      <c r="Z6">
        <f>HYPERLINK("https://klasma.github.io/Logging_1783/klagomålsmail/S 196-2025 FSC-klagomål mail.docx", "S 196-2025")</f>
        <v/>
      </c>
      <c r="AA6">
        <f>HYPERLINK("https://klasma.github.io/Logging_1783/tillsyn/S 196-2025 tillsynsbegäran.docx", "S 196-2025")</f>
        <v/>
      </c>
      <c r="AB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46221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Y7">
        <f>HYPERLINK("https://klasma.github.io/Logging_1783/klagomål/A 29984-2024 FSC-klagomål.docx", "A 29984-2024")</f>
        <v/>
      </c>
      <c r="Z7">
        <f>HYPERLINK("https://klasma.github.io/Logging_1783/klagomålsmail/A 29984-2024 FSC-klagomål mail.docx", "A 29984-2024")</f>
        <v/>
      </c>
      <c r="AA7">
        <f>HYPERLINK("https://klasma.github.io/Logging_1783/tillsyn/A 29984-2024 tillsynsbegäran.docx", "A 29984-2024")</f>
        <v/>
      </c>
      <c r="AB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46221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Y8">
        <f>HYPERLINK("https://klasma.github.io/Logging_1783/klagomål/A 40910-2023 FSC-klagomål.docx", "A 40910-2023")</f>
        <v/>
      </c>
      <c r="Z8">
        <f>HYPERLINK("https://klasma.github.io/Logging_1783/klagomålsmail/A 40910-2023 FSC-klagomål mail.docx", "A 40910-2023")</f>
        <v/>
      </c>
      <c r="AA8">
        <f>HYPERLINK("https://klasma.github.io/Logging_1783/tillsyn/A 40910-2023 tillsynsbegäran.docx", "A 40910-2023")</f>
        <v/>
      </c>
      <c r="AB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46221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HYPERLINK("https://klasma.github.io/Logging_1783/knärot/A 56054-2025 karta knärot.png", "A 56054-2025")</f>
        <v/>
      </c>
      <c r="Y9">
        <f>HYPERLINK("https://klasma.github.io/Logging_1783/klagomål/A 56054-2025 FSC-klagomål.docx", "A 56054-2025")</f>
        <v/>
      </c>
      <c r="Z9">
        <f>HYPERLINK("https://klasma.github.io/Logging_1783/klagomålsmail/A 56054-2025 FSC-klagomål mail.docx", "A 56054-2025")</f>
        <v/>
      </c>
      <c r="AA9">
        <f>HYPERLINK("https://klasma.github.io/Logging_1783/tillsyn/A 56054-2025 tillsynsbegäran.docx", "A 56054-2025")</f>
        <v/>
      </c>
      <c r="AB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46221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Y10">
        <f>HYPERLINK("https://klasma.github.io/Logging_1783/klagomål/S 614-2026 FSC-klagomål.docx", "S 614-2026")</f>
        <v/>
      </c>
      <c r="Z10">
        <f>HYPERLINK("https://klasma.github.io/Logging_1783/klagomålsmail/S 614-2026 FSC-klagomål mail.docx", "S 614-2026")</f>
        <v/>
      </c>
      <c r="AA10">
        <f>HYPERLINK("https://klasma.github.io/Logging_1783/tillsyn/S 614-2026 tillsynsbegäran.docx", "S 614-2026")</f>
        <v/>
      </c>
      <c r="AB10">
        <f>HYPERLINK("https://klasma.github.io/Logging_1783/tillsynsmail/S 614-2026 tillsynsbegäran mail.docx", "S 614-2026")</f>
        <v/>
      </c>
      <c r="AC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46221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s="2" t="inlineStr">
        <is>
          <t>Bårdlav
Svart trolldruva
Trådticka
Vedticka
Nattviol</t>
        </is>
      </c>
      <c r="V11">
        <f>HYPERLINK("https://klasma.github.io/Logging_1783/artfynd/A 44506-2025 artfynd.xlsx", "A 44506-2025")</f>
        <v/>
      </c>
      <c r="W11">
        <f>HYPERLINK("https://klasma.github.io/Logging_1783/kartor/A 44506-2025 karta.png", "A 44506-2025")</f>
        <v/>
      </c>
      <c r="Y11">
        <f>HYPERLINK("https://klasma.github.io/Logging_1783/klagomål/A 44506-2025 FSC-klagomål.docx", "A 44506-2025")</f>
        <v/>
      </c>
      <c r="Z11">
        <f>HYPERLINK("https://klasma.github.io/Logging_1783/klagomålsmail/A 44506-2025 FSC-klagomål mail.docx", "A 44506-2025")</f>
        <v/>
      </c>
      <c r="AA11">
        <f>HYPERLINK("https://klasma.github.io/Logging_1783/tillsyn/A 44506-2025 tillsynsbegäran.docx", "A 44506-2025")</f>
        <v/>
      </c>
      <c r="AB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46221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s="2" t="inlineStr">
        <is>
          <t>Garnlav
Dropptaggsvamp
Kortskaftad ärgspik
Mörk kolflarnlav
Mindre märgborre</t>
        </is>
      </c>
      <c r="V12">
        <f>HYPERLINK("https://klasma.github.io/Logging_1783/artfynd/A 17619-2023 artfynd.xlsx", "A 17619-2023")</f>
        <v/>
      </c>
      <c r="W12">
        <f>HYPERLINK("https://klasma.github.io/Logging_1783/kartor/A 17619-2023 karta.png", "A 17619-2023")</f>
        <v/>
      </c>
      <c r="Y12">
        <f>HYPERLINK("https://klasma.github.io/Logging_1783/klagomål/A 17619-2023 FSC-klagomål.docx", "A 17619-2023")</f>
        <v/>
      </c>
      <c r="Z12">
        <f>HYPERLINK("https://klasma.github.io/Logging_1783/klagomålsmail/A 17619-2023 FSC-klagomål mail.docx", "A 17619-2023")</f>
        <v/>
      </c>
      <c r="AA12">
        <f>HYPERLINK("https://klasma.github.io/Logging_1783/tillsyn/A 17619-2023 tillsynsbegäran.docx", "A 17619-2023")</f>
        <v/>
      </c>
      <c r="AB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46221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Y13">
        <f>HYPERLINK("https://klasma.github.io/Logging_1783/klagomål/A 61205-2024 FSC-klagomål.docx", "A 61205-2024")</f>
        <v/>
      </c>
      <c r="Z13">
        <f>HYPERLINK("https://klasma.github.io/Logging_1783/klagomålsmail/A 61205-2024 FSC-klagomål mail.docx", "A 61205-2024")</f>
        <v/>
      </c>
      <c r="AA13">
        <f>HYPERLINK("https://klasma.github.io/Logging_1783/tillsyn/A 61205-2024 tillsynsbegäran.docx", "A 61205-2024")</f>
        <v/>
      </c>
      <c r="AB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46221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Y14">
        <f>HYPERLINK("https://klasma.github.io/Logging_1783/klagomål/A 21457-2024 FSC-klagomål.docx", "A 21457-2024")</f>
        <v/>
      </c>
      <c r="Z14">
        <f>HYPERLINK("https://klasma.github.io/Logging_1783/klagomålsmail/A 21457-2024 FSC-klagomål mail.docx", "A 21457-2024")</f>
        <v/>
      </c>
      <c r="AA14">
        <f>HYPERLINK("https://klasma.github.io/Logging_1783/tillsyn/A 21457-2024 tillsynsbegäran.docx", "A 21457-2024")</f>
        <v/>
      </c>
      <c r="AB14">
        <f>HYPERLINK("https://klasma.github.io/Logging_1783/tillsynsmail/A 21457-2024 tillsynsbegäran mail.docx", "A 21457-2024")</f>
        <v/>
      </c>
      <c r="AC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46221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Lunglav
Vedskivlav
Vedtrappmossa
Skinnlav</t>
        </is>
      </c>
      <c r="V15">
        <f>HYPERLINK("https://klasma.github.io/Logging_1783/artfynd/A 35299-2025 artfynd.xlsx", "A 35299-2025")</f>
        <v/>
      </c>
      <c r="W15">
        <f>HYPERLINK("https://klasma.github.io/Logging_1783/kartor/A 35299-2025 karta.png", "A 35299-2025")</f>
        <v/>
      </c>
      <c r="Y15">
        <f>HYPERLINK("https://klasma.github.io/Logging_1783/klagomål/A 35299-2025 FSC-klagomål.docx", "A 35299-2025")</f>
        <v/>
      </c>
      <c r="Z15">
        <f>HYPERLINK("https://klasma.github.io/Logging_1783/klagomålsmail/A 35299-2025 FSC-klagomål mail.docx", "A 35299-2025")</f>
        <v/>
      </c>
      <c r="AA15">
        <f>HYPERLINK("https://klasma.github.io/Logging_1783/tillsyn/A 35299-2025 tillsynsbegäran.docx", "A 35299-2025")</f>
        <v/>
      </c>
      <c r="AB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46221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s="2" t="inlineStr">
        <is>
          <t>Garnlav
Kolflarnlav
Mörk kolflarnlav
Vedskivlav</t>
        </is>
      </c>
      <c r="V16">
        <f>HYPERLINK("https://klasma.github.io/Logging_1783/artfynd/A 63893-2021 artfynd.xlsx", "A 63893-2021")</f>
        <v/>
      </c>
      <c r="W16">
        <f>HYPERLINK("https://klasma.github.io/Logging_1783/kartor/A 63893-2021 karta.png", "A 63893-2021")</f>
        <v/>
      </c>
      <c r="Y16">
        <f>HYPERLINK("https://klasma.github.io/Logging_1783/klagomål/A 63893-2021 FSC-klagomål.docx", "A 63893-2021")</f>
        <v/>
      </c>
      <c r="Z16">
        <f>HYPERLINK("https://klasma.github.io/Logging_1783/klagomålsmail/A 63893-2021 FSC-klagomål mail.docx", "A 63893-2021")</f>
        <v/>
      </c>
      <c r="AA16">
        <f>HYPERLINK("https://klasma.github.io/Logging_1783/tillsyn/A 63893-2021 tillsynsbegäran.docx", "A 63893-2021")</f>
        <v/>
      </c>
      <c r="AB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46221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s="2" t="inlineStr">
        <is>
          <t>Garnlav
Knärot
Dropptaggsvamp
Tretåig hackspett</t>
        </is>
      </c>
      <c r="V17">
        <f>HYPERLINK("https://klasma.github.io/Logging_1783/artfynd/A 23955-2025 artfynd.xlsx", "A 23955-2025")</f>
        <v/>
      </c>
      <c r="W17">
        <f>HYPERLINK("https://klasma.github.io/Logging_1783/kartor/A 23955-2025 karta.png", "A 23955-2025")</f>
        <v/>
      </c>
      <c r="X17">
        <f>HYPERLINK("https://klasma.github.io/Logging_1783/knärot/A 23955-2025 karta knärot.png", "A 23955-2025")</f>
        <v/>
      </c>
      <c r="Y17">
        <f>HYPERLINK("https://klasma.github.io/Logging_1783/klagomål/A 23955-2025 FSC-klagomål.docx", "A 23955-2025")</f>
        <v/>
      </c>
      <c r="Z17">
        <f>HYPERLINK("https://klasma.github.io/Logging_1783/klagomålsmail/A 23955-2025 FSC-klagomål mail.docx", "A 23955-2025")</f>
        <v/>
      </c>
      <c r="AA17">
        <f>HYPERLINK("https://klasma.github.io/Logging_1783/tillsyn/A 23955-2025 tillsynsbegäran.docx", "A 23955-2025")</f>
        <v/>
      </c>
      <c r="AB17">
        <f>HYPERLINK("https://klasma.github.io/Logging_1783/tillsynsmail/A 23955-2025 tillsynsbegäran mail.docx", "A 23955-2025")</f>
        <v/>
      </c>
      <c r="AC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46221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Y18">
        <f>HYPERLINK("https://klasma.github.io/Logging_1783/klagomål/A 72412-2021 FSC-klagomål.docx", "A 72412-2021")</f>
        <v/>
      </c>
      <c r="Z18">
        <f>HYPERLINK("https://klasma.github.io/Logging_1783/klagomålsmail/A 72412-2021 FSC-klagomål mail.docx", "A 72412-2021")</f>
        <v/>
      </c>
      <c r="AA18">
        <f>HYPERLINK("https://klasma.github.io/Logging_1783/tillsyn/A 72412-2021 tillsynsbegäran.docx", "A 72412-2021")</f>
        <v/>
      </c>
      <c r="AB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46221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Aspgelélav
Lunglav
Korallblylav</t>
        </is>
      </c>
      <c r="V19">
        <f>HYPERLINK("https://klasma.github.io/Logging_1783/artfynd/A 59972-2025 artfynd.xlsx", "A 59972-2025")</f>
        <v/>
      </c>
      <c r="W19">
        <f>HYPERLINK("https://klasma.github.io/Logging_1783/kartor/A 59972-2025 karta.png", "A 59972-2025")</f>
        <v/>
      </c>
      <c r="Y19">
        <f>HYPERLINK("https://klasma.github.io/Logging_1783/klagomål/A 59972-2025 FSC-klagomål.docx", "A 59972-2025")</f>
        <v/>
      </c>
      <c r="Z19">
        <f>HYPERLINK("https://klasma.github.io/Logging_1783/klagomålsmail/A 59972-2025 FSC-klagomål mail.docx", "A 59972-2025")</f>
        <v/>
      </c>
      <c r="AA19">
        <f>HYPERLINK("https://klasma.github.io/Logging_1783/tillsyn/A 59972-2025 tillsynsbegäran.docx", "A 59972-2025")</f>
        <v/>
      </c>
      <c r="AB19">
        <f>HYPERLINK("https://klasma.github.io/Logging_1783/tillsynsmail/A 59972-2025 tillsynsbegäran mail.docx", "A 59972-2025")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46221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s="2" t="inlineStr">
        <is>
          <t>Rynkskinn
Stjärntagging
Ullticka</t>
        </is>
      </c>
      <c r="V20">
        <f>HYPERLINK("https://klasma.github.io/Logging_1783/artfynd/A 15826-2025 artfynd.xlsx", "A 15826-2025")</f>
        <v/>
      </c>
      <c r="W20">
        <f>HYPERLINK("https://klasma.github.io/Logging_1783/kartor/A 15826-2025 karta.png", "A 15826-2025")</f>
        <v/>
      </c>
      <c r="Y20">
        <f>HYPERLINK("https://klasma.github.io/Logging_1783/klagomål/A 15826-2025 FSC-klagomål.docx", "A 15826-2025")</f>
        <v/>
      </c>
      <c r="Z20">
        <f>HYPERLINK("https://klasma.github.io/Logging_1783/klagomålsmail/A 15826-2025 FSC-klagomål mail.docx", "A 15826-2025")</f>
        <v/>
      </c>
      <c r="AA20">
        <f>HYPERLINK("https://klasma.github.io/Logging_1783/tillsyn/A 15826-2025 tillsynsbegäran.docx", "A 15826-2025")</f>
        <v/>
      </c>
      <c r="AB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46221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Garnlav
Tretåig hackspett
Trana</t>
        </is>
      </c>
      <c r="V21">
        <f>HYPERLINK("https://klasma.github.io/Logging_1783/artfynd/A 1387-2024 artfynd.xlsx", "A 1387-2024")</f>
        <v/>
      </c>
      <c r="W21">
        <f>HYPERLINK("https://klasma.github.io/Logging_1783/kartor/A 1387-2024 karta.png", "A 1387-2024")</f>
        <v/>
      </c>
      <c r="Y21">
        <f>HYPERLINK("https://klasma.github.io/Logging_1783/klagomål/A 1387-2024 FSC-klagomål.docx", "A 1387-2024")</f>
        <v/>
      </c>
      <c r="Z21">
        <f>HYPERLINK("https://klasma.github.io/Logging_1783/klagomålsmail/A 1387-2024 FSC-klagomål mail.docx", "A 1387-2024")</f>
        <v/>
      </c>
      <c r="AA21">
        <f>HYPERLINK("https://klasma.github.io/Logging_1783/tillsyn/A 1387-2024 tillsynsbegäran.docx", "A 1387-2024")</f>
        <v/>
      </c>
      <c r="AB21">
        <f>HYPERLINK("https://klasma.github.io/Logging_1783/tillsynsmail/A 1387-2024 tillsynsbegäran mail.docx", "A 1387-2024")</f>
        <v/>
      </c>
      <c r="AC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46221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Y22">
        <f>HYPERLINK("https://klasma.github.io/Logging_1783/klagomål/A 45073-2021 FSC-klagomål.docx", "A 45073-2021")</f>
        <v/>
      </c>
      <c r="Z22">
        <f>HYPERLINK("https://klasma.github.io/Logging_1783/klagomålsmail/A 45073-2021 FSC-klagomål mail.docx", "A 45073-2021")</f>
        <v/>
      </c>
      <c r="AA22">
        <f>HYPERLINK("https://klasma.github.io/Logging_1783/tillsyn/A 45073-2021 tillsynsbegäran.docx", "A 45073-2021")</f>
        <v/>
      </c>
      <c r="AB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46221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Mattlummer
Ärtsångare</t>
        </is>
      </c>
      <c r="V23">
        <f>HYPERLINK("https://klasma.github.io/Logging_1783/artfynd/A 10836-2026 artfynd.xlsx", "A 10836-2026")</f>
        <v/>
      </c>
      <c r="W23">
        <f>HYPERLINK("https://klasma.github.io/Logging_1783/kartor/A 10836-2026 karta.png", "A 10836-2026")</f>
        <v/>
      </c>
      <c r="Y23">
        <f>HYPERLINK("https://klasma.github.io/Logging_1783/klagomål/A 10836-2026 FSC-klagomål.docx", "A 10836-2026")</f>
        <v/>
      </c>
      <c r="Z23">
        <f>HYPERLINK("https://klasma.github.io/Logging_1783/klagomålsmail/A 10836-2026 FSC-klagomål mail.docx", "A 10836-2026")</f>
        <v/>
      </c>
      <c r="AA23">
        <f>HYPERLINK("https://klasma.github.io/Logging_1783/tillsyn/A 10836-2026 tillsynsbegäran.docx", "A 10836-2026")</f>
        <v/>
      </c>
      <c r="AB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46221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Svartvit taggsvamp
Tjäder</t>
        </is>
      </c>
      <c r="V24">
        <f>HYPERLINK("https://klasma.github.io/Logging_1783/artfynd/A 69709-2021 artfynd.xlsx", "A 69709-2021")</f>
        <v/>
      </c>
      <c r="W24">
        <f>HYPERLINK("https://klasma.github.io/Logging_1783/kartor/A 69709-2021 karta.png", "A 69709-2021")</f>
        <v/>
      </c>
      <c r="Y24">
        <f>HYPERLINK("https://klasma.github.io/Logging_1783/klagomål/A 69709-2021 FSC-klagomål.docx", "A 69709-2021")</f>
        <v/>
      </c>
      <c r="Z24">
        <f>HYPERLINK("https://klasma.github.io/Logging_1783/klagomålsmail/A 69709-2021 FSC-klagomål mail.docx", "A 69709-2021")</f>
        <v/>
      </c>
      <c r="AA24">
        <f>HYPERLINK("https://klasma.github.io/Logging_1783/tillsyn/A 69709-2021 tillsynsbegäran.docx", "A 69709-2021")</f>
        <v/>
      </c>
      <c r="AB24">
        <f>HYPERLINK("https://klasma.github.io/Logging_1783/tillsynsmail/A 69709-2021 tillsynsbegäran mail.docx", "A 69709-2021")</f>
        <v/>
      </c>
      <c r="AC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46221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s="2" t="inlineStr">
        <is>
          <t>Gränsticka
Utter</t>
        </is>
      </c>
      <c r="V25">
        <f>HYPERLINK("https://klasma.github.io/Logging_1783/artfynd/A 59330-2024 artfynd.xlsx", "A 59330-2024")</f>
        <v/>
      </c>
      <c r="W25">
        <f>HYPERLINK("https://klasma.github.io/Logging_1783/kartor/A 59330-2024 karta.png", "A 59330-2024")</f>
        <v/>
      </c>
      <c r="Y25">
        <f>HYPERLINK("https://klasma.github.io/Logging_1783/klagomål/A 59330-2024 FSC-klagomål.docx", "A 59330-2024")</f>
        <v/>
      </c>
      <c r="Z25">
        <f>HYPERLINK("https://klasma.github.io/Logging_1783/klagomålsmail/A 59330-2024 FSC-klagomål mail.docx", "A 59330-2024")</f>
        <v/>
      </c>
      <c r="AA25">
        <f>HYPERLINK("https://klasma.github.io/Logging_1783/tillsyn/A 59330-2024 tillsynsbegäran.docx", "A 59330-2024")</f>
        <v/>
      </c>
      <c r="AB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46221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Dvärgbägarlav
Vedskivlav</t>
        </is>
      </c>
      <c r="V26">
        <f>HYPERLINK("https://klasma.github.io/Logging_1783/artfynd/A 656-2022 artfynd.xlsx", "A 656-2022")</f>
        <v/>
      </c>
      <c r="W26">
        <f>HYPERLINK("https://klasma.github.io/Logging_1783/kartor/A 656-2022 karta.png", "A 656-2022")</f>
        <v/>
      </c>
      <c r="Y26">
        <f>HYPERLINK("https://klasma.github.io/Logging_1783/klagomål/A 656-2022 FSC-klagomål.docx", "A 656-2022")</f>
        <v/>
      </c>
      <c r="Z26">
        <f>HYPERLINK("https://klasma.github.io/Logging_1783/klagomålsmail/A 656-2022 FSC-klagomål mail.docx", "A 656-2022")</f>
        <v/>
      </c>
      <c r="AA26">
        <f>HYPERLINK("https://klasma.github.io/Logging_1783/tillsyn/A 656-2022 tillsynsbegäran.docx", "A 656-2022")</f>
        <v/>
      </c>
      <c r="AB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46221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Y27">
        <f>HYPERLINK("https://klasma.github.io/Logging_1783/klagomål/A 35908-2022 FSC-klagomål.docx", "A 35908-2022")</f>
        <v/>
      </c>
      <c r="Z27">
        <f>HYPERLINK("https://klasma.github.io/Logging_1783/klagomålsmail/A 35908-2022 FSC-klagomål mail.docx", "A 35908-2022")</f>
        <v/>
      </c>
      <c r="AA27">
        <f>HYPERLINK("https://klasma.github.io/Logging_1783/tillsyn/A 35908-2022 tillsynsbegäran.docx", "A 35908-2022")</f>
        <v/>
      </c>
      <c r="AB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46221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Y28">
        <f>HYPERLINK("https://klasma.github.io/Logging_1783/klagomål/S 927-2022 FSC-klagomål.docx", "S 927-2022")</f>
        <v/>
      </c>
      <c r="Z28">
        <f>HYPERLINK("https://klasma.github.io/Logging_1783/klagomålsmail/S 927-2022 FSC-klagomål mail.docx", "S 927-2022")</f>
        <v/>
      </c>
      <c r="AA28">
        <f>HYPERLINK("https://klasma.github.io/Logging_1783/tillsyn/S 927-2022 tillsynsbegäran.docx", "S 927-2022")</f>
        <v/>
      </c>
      <c r="AB28">
        <f>HYPERLINK("https://klasma.github.io/Logging_1783/tillsynsmail/S 927-2022 tillsynsbegäran mail.docx", "S 927-2022")</f>
        <v/>
      </c>
      <c r="AC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46221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Y29">
        <f>HYPERLINK("https://klasma.github.io/Logging_1783/klagomål/S 4153-2023 FSC-klagomål.docx", "S 4153-2023")</f>
        <v/>
      </c>
      <c r="Z29">
        <f>HYPERLINK("https://klasma.github.io/Logging_1783/klagomålsmail/S 4153-2023 FSC-klagomål mail.docx", "S 4153-2023")</f>
        <v/>
      </c>
      <c r="AA29">
        <f>HYPERLINK("https://klasma.github.io/Logging_1783/tillsyn/S 4153-2023 tillsynsbegäran.docx", "S 4153-2023")</f>
        <v/>
      </c>
      <c r="AB29">
        <f>HYPERLINK("https://klasma.github.io/Logging_1783/tillsynsmail/S 4153-2023 tillsynsbegäran mail.docx", "S 4153-2023")</f>
        <v/>
      </c>
      <c r="AC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46221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Y30">
        <f>HYPERLINK("https://klasma.github.io/Logging_1783/klagomål/S 740-2025 FSC-klagomål.docx", "S 740-2025")</f>
        <v/>
      </c>
      <c r="Z30">
        <f>HYPERLINK("https://klasma.github.io/Logging_1783/klagomålsmail/S 740-2025 FSC-klagomål mail.docx", "S 740-2025")</f>
        <v/>
      </c>
      <c r="AA30">
        <f>HYPERLINK("https://klasma.github.io/Logging_1783/tillsyn/S 740-2025 tillsynsbegäran.docx", "S 740-2025")</f>
        <v/>
      </c>
      <c r="AB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46221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Y31">
        <f>HYPERLINK("https://klasma.github.io/Logging_1783/klagomål/A 15738-2022 FSC-klagomål.docx", "A 15738-2022")</f>
        <v/>
      </c>
      <c r="Z31">
        <f>HYPERLINK("https://klasma.github.io/Logging_1783/klagomålsmail/A 15738-2022 FSC-klagomål mail.docx", "A 15738-2022")</f>
        <v/>
      </c>
      <c r="AA31">
        <f>HYPERLINK("https://klasma.github.io/Logging_1783/tillsyn/A 15738-2022 tillsynsbegäran.docx", "A 15738-2022")</f>
        <v/>
      </c>
      <c r="AB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46221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Dropptaggsvamp</t>
        </is>
      </c>
      <c r="V32">
        <f>HYPERLINK("https://klasma.github.io/Logging_1783/artfynd/A 56083-2022 artfynd.xlsx", "A 56083-2022")</f>
        <v/>
      </c>
      <c r="W32">
        <f>HYPERLINK("https://klasma.github.io/Logging_1783/kartor/A 56083-2022 karta.png", "A 56083-2022")</f>
        <v/>
      </c>
      <c r="Y32">
        <f>HYPERLINK("https://klasma.github.io/Logging_1783/klagomål/A 56083-2022 FSC-klagomål.docx", "A 56083-2022")</f>
        <v/>
      </c>
      <c r="Z32">
        <f>HYPERLINK("https://klasma.github.io/Logging_1783/klagomålsmail/A 56083-2022 FSC-klagomål mail.docx", "A 56083-2022")</f>
        <v/>
      </c>
      <c r="AA32">
        <f>HYPERLINK("https://klasma.github.io/Logging_1783/tillsyn/A 56083-2022 tillsynsbegäran.docx", "A 56083-2022")</f>
        <v/>
      </c>
      <c r="AB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46221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Tallticka</t>
        </is>
      </c>
      <c r="V33">
        <f>HYPERLINK("https://klasma.github.io/Logging_1783/artfynd/A 38267-2024 artfynd.xlsx", "A 38267-2024")</f>
        <v/>
      </c>
      <c r="W33">
        <f>HYPERLINK("https://klasma.github.io/Logging_1783/kartor/A 38267-2024 karta.png", "A 38267-2024")</f>
        <v/>
      </c>
      <c r="Y33">
        <f>HYPERLINK("https://klasma.github.io/Logging_1783/klagomål/A 38267-2024 FSC-klagomål.docx", "A 38267-2024")</f>
        <v/>
      </c>
      <c r="Z33">
        <f>HYPERLINK("https://klasma.github.io/Logging_1783/klagomålsmail/A 38267-2024 FSC-klagomål mail.docx", "A 38267-2024")</f>
        <v/>
      </c>
      <c r="AA33">
        <f>HYPERLINK("https://klasma.github.io/Logging_1783/tillsyn/A 38267-2024 tillsynsbegäran.docx", "A 38267-2024")</f>
        <v/>
      </c>
      <c r="AB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46221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Y34">
        <f>HYPERLINK("https://klasma.github.io/Logging_1783/klagomål/A 37152-2023 FSC-klagomål.docx", "A 37152-2023")</f>
        <v/>
      </c>
      <c r="Z34">
        <f>HYPERLINK("https://klasma.github.io/Logging_1783/klagomålsmail/A 37152-2023 FSC-klagomål mail.docx", "A 37152-2023")</f>
        <v/>
      </c>
      <c r="AA34">
        <f>HYPERLINK("https://klasma.github.io/Logging_1783/tillsyn/A 37152-2023 tillsynsbegäran.docx", "A 37152-2023")</f>
        <v/>
      </c>
      <c r="AB34">
        <f>HYPERLINK("https://klasma.github.io/Logging_1783/tillsynsmail/A 37152-2023 tillsynsbegäran mail.docx", "A 37152-2023")</f>
        <v/>
      </c>
      <c r="AC34">
        <f>HYPERLINK("https://klasma.github.io/Logging_1783/fåglar/A 37152-2023 prioriterade fågelarter.docx", "A 37152-2023")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46221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HYPERLINK("https://klasma.github.io/Logging_1783/artfynd/A 26624-2025 artfynd.xlsx", "A 26624-2025")</f>
        <v/>
      </c>
      <c r="W35">
        <f>HYPERLINK("https://klasma.github.io/Logging_1783/kartor/A 26624-2025 karta.png", "A 26624-2025")</f>
        <v/>
      </c>
      <c r="Y35">
        <f>HYPERLINK("https://klasma.github.io/Logging_1783/klagomål/A 26624-2025 FSC-klagomål.docx", "A 26624-2025")</f>
        <v/>
      </c>
      <c r="Z35">
        <f>HYPERLINK("https://klasma.github.io/Logging_1783/klagomålsmail/A 26624-2025 FSC-klagomål mail.docx", "A 26624-2025")</f>
        <v/>
      </c>
      <c r="AA35">
        <f>HYPERLINK("https://klasma.github.io/Logging_1783/tillsyn/A 26624-2025 tillsynsbegäran.docx", "A 26624-2025")</f>
        <v/>
      </c>
      <c r="AB35">
        <f>HYPERLINK("https://klasma.github.io/Logging_1783/tillsynsmail/A 26624-2025 tillsynsbegäran mail.docx", "A 26624-2025")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46221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Borsttagging</t>
        </is>
      </c>
      <c r="V36">
        <f>HYPERLINK("https://klasma.github.io/Logging_1783/artfynd/A 15219-2025 artfynd.xlsx", "A 15219-2025")</f>
        <v/>
      </c>
      <c r="W36">
        <f>HYPERLINK("https://klasma.github.io/Logging_1783/kartor/A 15219-2025 karta.png", "A 15219-2025")</f>
        <v/>
      </c>
      <c r="Y36">
        <f>HYPERLINK("https://klasma.github.io/Logging_1783/klagomål/A 15219-2025 FSC-klagomål.docx", "A 15219-2025")</f>
        <v/>
      </c>
      <c r="Z36">
        <f>HYPERLINK("https://klasma.github.io/Logging_1783/klagomålsmail/A 15219-2025 FSC-klagomål mail.docx", "A 15219-2025")</f>
        <v/>
      </c>
      <c r="AA36">
        <f>HYPERLINK("https://klasma.github.io/Logging_1783/tillsyn/A 15219-2025 tillsynsbegäran.docx", "A 15219-2025")</f>
        <v/>
      </c>
      <c r="AB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46221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Utter</t>
        </is>
      </c>
      <c r="V37">
        <f>HYPERLINK("https://klasma.github.io/Logging_1783/artfynd/A 33848-2025 artfynd.xlsx", "A 33848-2025")</f>
        <v/>
      </c>
      <c r="W37">
        <f>HYPERLINK("https://klasma.github.io/Logging_1783/kartor/A 33848-2025 karta.png", "A 33848-2025")</f>
        <v/>
      </c>
      <c r="Y37">
        <f>HYPERLINK("https://klasma.github.io/Logging_1783/klagomål/A 33848-2025 FSC-klagomål.docx", "A 33848-2025")</f>
        <v/>
      </c>
      <c r="Z37">
        <f>HYPERLINK("https://klasma.github.io/Logging_1783/klagomålsmail/A 33848-2025 FSC-klagomål mail.docx", "A 33848-2025")</f>
        <v/>
      </c>
      <c r="AA37">
        <f>HYPERLINK("https://klasma.github.io/Logging_1783/tillsyn/A 33848-2025 tillsynsbegäran.docx", "A 33848-2025")</f>
        <v/>
      </c>
      <c r="AB37">
        <f>HYPERLINK("https://klasma.github.io/Logging_1783/tillsynsmail/A 33848-2025 tillsynsbegäran mail.docx", "A 33848-2025")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46221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HYPERLINK("https://klasma.github.io/Logging_1783/artfynd/A 20119-2025 artfynd.xlsx", "A 20119-2025")</f>
        <v/>
      </c>
      <c r="W38">
        <f>HYPERLINK("https://klasma.github.io/Logging_1783/kartor/A 20119-2025 karta.png", "A 20119-2025")</f>
        <v/>
      </c>
      <c r="Y38">
        <f>HYPERLINK("https://klasma.github.io/Logging_1783/klagomål/A 20119-2025 FSC-klagomål.docx", "A 20119-2025")</f>
        <v/>
      </c>
      <c r="Z38">
        <f>HYPERLINK("https://klasma.github.io/Logging_1783/klagomålsmail/A 20119-2025 FSC-klagomål mail.docx", "A 20119-2025")</f>
        <v/>
      </c>
      <c r="AA38">
        <f>HYPERLINK("https://klasma.github.io/Logging_1783/tillsyn/A 20119-2025 tillsynsbegäran.docx", "A 20119-2025")</f>
        <v/>
      </c>
      <c r="AB38">
        <f>HYPERLINK("https://klasma.github.io/Logging_1783/tillsynsmail/A 20119-2025 tillsynsbegäran mail.docx", "A 20119-2025")</f>
        <v/>
      </c>
      <c r="AC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46221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Utter</t>
        </is>
      </c>
      <c r="V39">
        <f>HYPERLINK("https://klasma.github.io/Logging_1783/artfynd/A 33905-2025 artfynd.xlsx", "A 33905-2025")</f>
        <v/>
      </c>
      <c r="W39">
        <f>HYPERLINK("https://klasma.github.io/Logging_1783/kartor/A 33905-2025 karta.png", "A 33905-2025")</f>
        <v/>
      </c>
      <c r="Y39">
        <f>HYPERLINK("https://klasma.github.io/Logging_1783/klagomål/A 33905-2025 FSC-klagomål.docx", "A 33905-2025")</f>
        <v/>
      </c>
      <c r="Z39">
        <f>HYPERLINK("https://klasma.github.io/Logging_1783/klagomålsmail/A 33905-2025 FSC-klagomål mail.docx", "A 33905-2025")</f>
        <v/>
      </c>
      <c r="AA39">
        <f>HYPERLINK("https://klasma.github.io/Logging_1783/tillsyn/A 33905-2025 tillsynsbegäran.docx", "A 33905-2025")</f>
        <v/>
      </c>
      <c r="AB39">
        <f>HYPERLINK("https://klasma.github.io/Logging_1783/tillsynsmail/A 33905-2025 tillsynsbegäran mail.docx", "A 33905-2025")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46221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Svart trolldruva</t>
        </is>
      </c>
      <c r="V40">
        <f>HYPERLINK("https://klasma.github.io/Logging_1783/artfynd/A 50030-2025 artfynd.xlsx", "A 50030-2025")</f>
        <v/>
      </c>
      <c r="W40">
        <f>HYPERLINK("https://klasma.github.io/Logging_1783/kartor/A 50030-2025 karta.png", "A 50030-2025")</f>
        <v/>
      </c>
      <c r="Y40">
        <f>HYPERLINK("https://klasma.github.io/Logging_1783/klagomål/A 50030-2025 FSC-klagomål.docx", "A 50030-2025")</f>
        <v/>
      </c>
      <c r="Z40">
        <f>HYPERLINK("https://klasma.github.io/Logging_1783/klagomålsmail/A 50030-2025 FSC-klagomål mail.docx", "A 50030-2025")</f>
        <v/>
      </c>
      <c r="AA40">
        <f>HYPERLINK("https://klasma.github.io/Logging_1783/tillsyn/A 50030-2025 tillsynsbegäran.docx", "A 50030-2025")</f>
        <v/>
      </c>
      <c r="AB40">
        <f>HYPERLINK("https://klasma.github.io/Logging_1783/tillsynsmail/A 50030-2025 tillsynsbegäran mail.docx", "A 50030-2025")</f>
        <v/>
      </c>
    </row>
    <row r="41" ht="15" customHeight="1">
      <c r="A41" t="inlineStr">
        <is>
          <t>A 8254-2026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46221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Ullticka</t>
        </is>
      </c>
      <c r="V41">
        <f>HYPERLINK("https://klasma.github.io/Logging_1783/artfynd/A 8254-2026 artfynd.xlsx", "A 8254-2026")</f>
        <v/>
      </c>
      <c r="W41">
        <f>HYPERLINK("https://klasma.github.io/Logging_1783/kartor/A 8254-2026 karta.png", "A 8254-2026")</f>
        <v/>
      </c>
      <c r="Y41">
        <f>HYPERLINK("https://klasma.github.io/Logging_1783/klagomål/A 8254-2026 FSC-klagomål.docx", "A 8254-2026")</f>
        <v/>
      </c>
      <c r="Z41">
        <f>HYPERLINK("https://klasma.github.io/Logging_1783/klagomålsmail/A 8254-2026 FSC-klagomål mail.docx", "A 8254-2026")</f>
        <v/>
      </c>
      <c r="AA41">
        <f>HYPERLINK("https://klasma.github.io/Logging_1783/tillsyn/A 8254-2026 tillsynsbegäran.docx", "A 8254-2026")</f>
        <v/>
      </c>
      <c r="AB41">
        <f>HYPERLINK("https://klasma.github.io/Logging_1783/tillsynsmail/A 8254-2026 tillsynsbegäran mail.docx", "A 8254-2026")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46221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Ullticka</t>
        </is>
      </c>
      <c r="V42">
        <f>HYPERLINK("https://klasma.github.io/Logging_1783/artfynd/A 16319-2023 artfynd.xlsx", "A 16319-2023")</f>
        <v/>
      </c>
      <c r="W42">
        <f>HYPERLINK("https://klasma.github.io/Logging_1783/kartor/A 16319-2023 karta.png", "A 16319-2023")</f>
        <v/>
      </c>
      <c r="Y42">
        <f>HYPERLINK("https://klasma.github.io/Logging_1783/klagomål/A 16319-2023 FSC-klagomål.docx", "A 16319-2023")</f>
        <v/>
      </c>
      <c r="Z42">
        <f>HYPERLINK("https://klasma.github.io/Logging_1783/klagomålsmail/A 16319-2023 FSC-klagomål mail.docx", "A 16319-2023")</f>
        <v/>
      </c>
      <c r="AA42">
        <f>HYPERLINK("https://klasma.github.io/Logging_1783/tillsyn/A 16319-2023 tillsynsbegäran.docx", "A 16319-2023")</f>
        <v/>
      </c>
      <c r="AB42">
        <f>HYPERLINK("https://klasma.github.io/Logging_1783/tillsynsmail/A 16319-2023 tillsynsbegäran mail.docx", "A 16319-2023")</f>
        <v/>
      </c>
    </row>
    <row r="43" ht="15" customHeight="1">
      <c r="A43" t="inlineStr">
        <is>
          <t>A 54700-2025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45966</v>
      </c>
      <c r="E43" s="1" t="n">
        <v>46221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HYPERLINK("https://klasma.github.io/Logging_1783/artfynd/A 54700-2025 artfynd.xlsx", "A 54700-2025")</f>
        <v/>
      </c>
      <c r="W43">
        <f>HYPERLINK("https://klasma.github.io/Logging_1783/kartor/A 54700-2025 karta.png", "A 54700-2025")</f>
        <v/>
      </c>
      <c r="Y43">
        <f>HYPERLINK("https://klasma.github.io/Logging_1783/klagomål/A 54700-2025 FSC-klagomål.docx", "A 54700-2025")</f>
        <v/>
      </c>
      <c r="Z43">
        <f>HYPERLINK("https://klasma.github.io/Logging_1783/klagomålsmail/A 54700-2025 FSC-klagomål mail.docx", "A 54700-2025")</f>
        <v/>
      </c>
      <c r="AA43">
        <f>HYPERLINK("https://klasma.github.io/Logging_1783/tillsyn/A 54700-2025 tillsynsbegäran.docx", "A 54700-2025")</f>
        <v/>
      </c>
      <c r="AB43">
        <f>HYPERLINK("https://klasma.github.io/Logging_1783/tillsynsmail/A 54700-2025 tillsynsbegäran mail.docx", "A 54700-2025")</f>
        <v/>
      </c>
      <c r="AC43">
        <f>HYPERLINK("https://klasma.github.io/Logging_1783/fåglar/A 54700-2025 prioriterade fågelarter.docx", "A 54700-2025")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46221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 sköldmossa</t>
        </is>
      </c>
      <c r="V44">
        <f>HYPERLINK("https://klasma.github.io/Logging_1783/artfynd/A 55484-2025 artfynd.xlsx", "A 55484-2025")</f>
        <v/>
      </c>
      <c r="W44">
        <f>HYPERLINK("https://klasma.github.io/Logging_1783/kartor/A 55484-2025 karta.png", "A 55484-2025")</f>
        <v/>
      </c>
      <c r="Y44">
        <f>HYPERLINK("https://klasma.github.io/Logging_1783/klagomål/A 55484-2025 FSC-klagomål.docx", "A 55484-2025")</f>
        <v/>
      </c>
      <c r="Z44">
        <f>HYPERLINK("https://klasma.github.io/Logging_1783/klagomålsmail/A 55484-2025 FSC-klagomål mail.docx", "A 55484-2025")</f>
        <v/>
      </c>
      <c r="AA44">
        <f>HYPERLINK("https://klasma.github.io/Logging_1783/tillsyn/A 55484-2025 tillsynsbegäran.docx", "A 55484-2025")</f>
        <v/>
      </c>
      <c r="AB44">
        <f>HYPERLINK("https://klasma.github.io/Logging_1783/tillsynsmail/A 55484-2025 tillsynsbegäran mail.docx", "A 55484-2025")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46221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HYPERLINK("https://klasma.github.io/Logging_1783/artfynd/A 12445-2026 artfynd.xlsx", "A 12445-2026")</f>
        <v/>
      </c>
      <c r="W45">
        <f>HYPERLINK("https://klasma.github.io/Logging_1783/kartor/A 12445-2026 karta.png", "A 12445-2026")</f>
        <v/>
      </c>
      <c r="Y45">
        <f>HYPERLINK("https://klasma.github.io/Logging_1783/klagomål/A 12445-2026 FSC-klagomål.docx", "A 12445-2026")</f>
        <v/>
      </c>
      <c r="Z45">
        <f>HYPERLINK("https://klasma.github.io/Logging_1783/klagomålsmail/A 12445-2026 FSC-klagomål mail.docx", "A 12445-2026")</f>
        <v/>
      </c>
      <c r="AA45">
        <f>HYPERLINK("https://klasma.github.io/Logging_1783/tillsyn/A 12445-2026 tillsynsbegäran.docx", "A 12445-2026")</f>
        <v/>
      </c>
      <c r="AB45">
        <f>HYPERLINK("https://klasma.github.io/Logging_1783/tillsynsmail/A 12445-2026 tillsynsbegäran mail.docx", "A 12445-2026")</f>
        <v/>
      </c>
      <c r="AC45">
        <f>HYPERLINK("https://klasma.github.io/Logging_1783/fåglar/A 12445-2026 prioriterade fågelarter.docx", "A 12445-2026")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46221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Kråka</t>
        </is>
      </c>
      <c r="V46">
        <f>HYPERLINK("https://klasma.github.io/Logging_1783/artfynd/A 62954-2025 artfynd.xlsx", "A 62954-2025")</f>
        <v/>
      </c>
      <c r="W46">
        <f>HYPERLINK("https://klasma.github.io/Logging_1783/kartor/A 62954-2025 karta.png", "A 62954-2025")</f>
        <v/>
      </c>
      <c r="Y46">
        <f>HYPERLINK("https://klasma.github.io/Logging_1783/klagomål/A 62954-2025 FSC-klagomål.docx", "A 62954-2025")</f>
        <v/>
      </c>
      <c r="Z46">
        <f>HYPERLINK("https://klasma.github.io/Logging_1783/klagomålsmail/A 62954-2025 FSC-klagomål mail.docx", "A 62954-2025")</f>
        <v/>
      </c>
      <c r="AA46">
        <f>HYPERLINK("https://klasma.github.io/Logging_1783/tillsyn/A 62954-2025 tillsynsbegäran.docx", "A 62954-2025")</f>
        <v/>
      </c>
      <c r="AB46">
        <f>HYPERLINK("https://klasma.github.io/Logging_1783/tillsynsmail/A 62954-2025 tillsynsbegäran mail.docx", "A 62954-2025")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46221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Vedticka</t>
        </is>
      </c>
      <c r="V47">
        <f>HYPERLINK("https://klasma.github.io/Logging_1783/artfynd/A 6986-2022 artfynd.xlsx", "A 6986-2022")</f>
        <v/>
      </c>
      <c r="W47">
        <f>HYPERLINK("https://klasma.github.io/Logging_1783/kartor/A 6986-2022 karta.png", "A 6986-2022")</f>
        <v/>
      </c>
      <c r="Y47">
        <f>HYPERLINK("https://klasma.github.io/Logging_1783/klagomål/A 6986-2022 FSC-klagomål.docx", "A 6986-2022")</f>
        <v/>
      </c>
      <c r="Z47">
        <f>HYPERLINK("https://klasma.github.io/Logging_1783/klagomålsmail/A 6986-2022 FSC-klagomål mail.docx", "A 6986-2022")</f>
        <v/>
      </c>
      <c r="AA47">
        <f>HYPERLINK("https://klasma.github.io/Logging_1783/tillsyn/A 6986-2022 tillsynsbegäran.docx", "A 6986-2022")</f>
        <v/>
      </c>
      <c r="AB47">
        <f>HYPERLINK("https://klasma.github.io/Logging_1783/tillsynsmail/A 6986-2022 tillsynsbegäran mail.docx", "A 6986-2022")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46221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HYPERLINK("https://klasma.github.io/Logging_1783/artfynd/A 19362-2026 artfynd.xlsx", "A 19362-2026")</f>
        <v/>
      </c>
      <c r="W48">
        <f>HYPERLINK("https://klasma.github.io/Logging_1783/kartor/A 19362-2026 karta.png", "A 19362-2026")</f>
        <v/>
      </c>
      <c r="Y48">
        <f>HYPERLINK("https://klasma.github.io/Logging_1783/klagomål/A 19362-2026 FSC-klagomål.docx", "A 19362-2026")</f>
        <v/>
      </c>
      <c r="Z48">
        <f>HYPERLINK("https://klasma.github.io/Logging_1783/klagomålsmail/A 19362-2026 FSC-klagomål mail.docx", "A 19362-2026")</f>
        <v/>
      </c>
      <c r="AA48">
        <f>HYPERLINK("https://klasma.github.io/Logging_1783/tillsyn/A 19362-2026 tillsynsbegäran.docx", "A 19362-2026")</f>
        <v/>
      </c>
      <c r="AB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46221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Kolflarnlav</t>
        </is>
      </c>
      <c r="V49">
        <f>HYPERLINK("https://klasma.github.io/Logging_1783/artfynd/A 30524-2022 artfynd.xlsx", "A 30524-2022")</f>
        <v/>
      </c>
      <c r="W49">
        <f>HYPERLINK("https://klasma.github.io/Logging_1783/kartor/A 30524-2022 karta.png", "A 30524-2022")</f>
        <v/>
      </c>
      <c r="Y49">
        <f>HYPERLINK("https://klasma.github.io/Logging_1783/klagomål/A 30524-2022 FSC-klagomål.docx", "A 30524-2022")</f>
        <v/>
      </c>
      <c r="Z49">
        <f>HYPERLINK("https://klasma.github.io/Logging_1783/klagomålsmail/A 30524-2022 FSC-klagomål mail.docx", "A 30524-2022")</f>
        <v/>
      </c>
      <c r="AA49">
        <f>HYPERLINK("https://klasma.github.io/Logging_1783/tillsyn/A 30524-2022 tillsynsbegäran.docx", "A 30524-2022")</f>
        <v/>
      </c>
      <c r="AB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46221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HYPERLINK("https://klasma.github.io/Logging_1783/artfynd/A 44095-2023 artfynd.xlsx", "A 44095-2023")</f>
        <v/>
      </c>
      <c r="W50">
        <f>HYPERLINK("https://klasma.github.io/Logging_1783/kartor/A 44095-2023 karta.png", "A 44095-2023")</f>
        <v/>
      </c>
      <c r="Y50">
        <f>HYPERLINK("https://klasma.github.io/Logging_1783/klagomål/A 44095-2023 FSC-klagomål.docx", "A 44095-2023")</f>
        <v/>
      </c>
      <c r="Z50">
        <f>HYPERLINK("https://klasma.github.io/Logging_1783/klagomålsmail/A 44095-2023 FSC-klagomål mail.docx", "A 44095-2023")</f>
        <v/>
      </c>
      <c r="AA50">
        <f>HYPERLINK("https://klasma.github.io/Logging_1783/tillsyn/A 44095-2023 tillsynsbegäran.docx", "A 44095-2023")</f>
        <v/>
      </c>
      <c r="AB50">
        <f>HYPERLINK("https://klasma.github.io/Logging_1783/tillsynsmail/A 44095-2023 tillsynsbegäran mail.docx", "A 44095-2023")</f>
        <v/>
      </c>
    </row>
    <row r="51" ht="15" customHeight="1">
      <c r="A51" t="inlineStr">
        <is>
          <t>A 26189-2026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46221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Sävsparv</t>
        </is>
      </c>
      <c r="V51">
        <f>HYPERLINK("https://klasma.github.io/Logging_1783/artfynd/A 26189-2026 artfynd.xlsx", "A 26189-2026")</f>
        <v/>
      </c>
      <c r="W51">
        <f>HYPERLINK("https://klasma.github.io/Logging_1783/kartor/A 26189-2026 karta.png", "A 26189-2026")</f>
        <v/>
      </c>
      <c r="Y51">
        <f>HYPERLINK("https://klasma.github.io/Logging_1783/klagomål/A 26189-2026 FSC-klagomål.docx", "A 26189-2026")</f>
        <v/>
      </c>
      <c r="Z51">
        <f>HYPERLINK("https://klasma.github.io/Logging_1783/klagomålsmail/A 26189-2026 FSC-klagomål mail.docx", "A 26189-2026")</f>
        <v/>
      </c>
      <c r="AA51">
        <f>HYPERLINK("https://klasma.github.io/Logging_1783/tillsyn/A 26189-2026 tillsynsbegäran.docx", "A 26189-2026")</f>
        <v/>
      </c>
      <c r="AB51">
        <f>HYPERLINK("https://klasma.github.io/Logging_1783/tillsynsmail/A 26189-2026 tillsynsbegäran mail.docx", "A 26189-2026")</f>
        <v/>
      </c>
      <c r="AC51">
        <f>HYPERLINK("https://klasma.github.io/Logging_1783/fåglar/A 26189-2026 prioriterade fågelarter.docx", "A 26189-2026")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46221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Korallblylav</t>
        </is>
      </c>
      <c r="V52">
        <f>HYPERLINK("https://klasma.github.io/Logging_1783/artfynd/A 34158-2025 artfynd.xlsx", "A 34158-2025")</f>
        <v/>
      </c>
      <c r="W52">
        <f>HYPERLINK("https://klasma.github.io/Logging_1783/kartor/A 34158-2025 karta.png", "A 34158-2025")</f>
        <v/>
      </c>
      <c r="Y52">
        <f>HYPERLINK("https://klasma.github.io/Logging_1783/klagomål/A 34158-2025 FSC-klagomål.docx", "A 34158-2025")</f>
        <v/>
      </c>
      <c r="Z52">
        <f>HYPERLINK("https://klasma.github.io/Logging_1783/klagomålsmail/A 34158-2025 FSC-klagomål mail.docx", "A 34158-2025")</f>
        <v/>
      </c>
      <c r="AA52">
        <f>HYPERLINK("https://klasma.github.io/Logging_1783/tillsyn/A 34158-2025 tillsynsbegäran.docx", "A 34158-2025")</f>
        <v/>
      </c>
      <c r="AB52">
        <f>HYPERLINK("https://klasma.github.io/Logging_1783/tillsynsmail/A 34158-2025 tillsynsbegäran mail.docx", "A 34158-2025")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46221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Garnlav</t>
        </is>
      </c>
      <c r="V53">
        <f>HYPERLINK("https://klasma.github.io/Logging_1783/artfynd/A 51194-2022 artfynd.xlsx", "A 51194-2022")</f>
        <v/>
      </c>
      <c r="W53">
        <f>HYPERLINK("https://klasma.github.io/Logging_1783/kartor/A 51194-2022 karta.png", "A 51194-2022")</f>
        <v/>
      </c>
      <c r="Y53">
        <f>HYPERLINK("https://klasma.github.io/Logging_1783/klagomål/A 51194-2022 FSC-klagomål.docx", "A 51194-2022")</f>
        <v/>
      </c>
      <c r="Z53">
        <f>HYPERLINK("https://klasma.github.io/Logging_1783/klagomålsmail/A 51194-2022 FSC-klagomål mail.docx", "A 51194-2022")</f>
        <v/>
      </c>
      <c r="AA53">
        <f>HYPERLINK("https://klasma.github.io/Logging_1783/tillsyn/A 51194-2022 tillsynsbegäran.docx", "A 51194-2022")</f>
        <v/>
      </c>
      <c r="AB53">
        <f>HYPERLINK("https://klasma.github.io/Logging_1783/tillsynsmail/A 51194-2022 tillsynsbegäran mail.docx", "A 51194-2022")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46221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Strutbräken</t>
        </is>
      </c>
      <c r="V54">
        <f>HYPERLINK("https://klasma.github.io/Logging_1783/artfynd/A 42446-2024 artfynd.xlsx", "A 42446-2024")</f>
        <v/>
      </c>
      <c r="W54">
        <f>HYPERLINK("https://klasma.github.io/Logging_1783/kartor/A 42446-2024 karta.png", "A 42446-2024")</f>
        <v/>
      </c>
      <c r="Y54">
        <f>HYPERLINK("https://klasma.github.io/Logging_1783/klagomål/A 42446-2024 FSC-klagomål.docx", "A 42446-2024")</f>
        <v/>
      </c>
      <c r="Z54">
        <f>HYPERLINK("https://klasma.github.io/Logging_1783/klagomålsmail/A 42446-2024 FSC-klagomål mail.docx", "A 42446-2024")</f>
        <v/>
      </c>
      <c r="AA54">
        <f>HYPERLINK("https://klasma.github.io/Logging_1783/tillsyn/A 42446-2024 tillsynsbegäran.docx", "A 42446-2024")</f>
        <v/>
      </c>
      <c r="AB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46221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Vedtrappmossa</t>
        </is>
      </c>
      <c r="V55">
        <f>HYPERLINK("https://klasma.github.io/Logging_1783/artfynd/A 29432-2026 artfynd.xlsx", "A 29432-2026")</f>
        <v/>
      </c>
      <c r="W55">
        <f>HYPERLINK("https://klasma.github.io/Logging_1783/kartor/A 29432-2026 karta.png", "A 29432-2026")</f>
        <v/>
      </c>
      <c r="Y55">
        <f>HYPERLINK("https://klasma.github.io/Logging_1783/klagomål/A 29432-2026 FSC-klagomål.docx", "A 29432-2026")</f>
        <v/>
      </c>
      <c r="Z55">
        <f>HYPERLINK("https://klasma.github.io/Logging_1783/klagomålsmail/A 29432-2026 FSC-klagomål mail.docx", "A 29432-2026")</f>
        <v/>
      </c>
      <c r="AA55">
        <f>HYPERLINK("https://klasma.github.io/Logging_1783/tillsyn/A 29432-2026 tillsynsbegäran.docx", "A 29432-2026")</f>
        <v/>
      </c>
      <c r="AB55">
        <f>HYPERLINK("https://klasma.github.io/Logging_1783/tillsynsmail/A 29432-2026 tillsynsbegäran mail.docx", "A 29432-2026")</f>
        <v/>
      </c>
    </row>
    <row r="56" ht="15" customHeight="1">
      <c r="A56" t="inlineStr">
        <is>
          <t>A 24659-2026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46221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Garnlav</t>
        </is>
      </c>
      <c r="V56">
        <f>HYPERLINK("https://klasma.github.io/Logging_1783/artfynd/A 24659-2026 artfynd.xlsx", "A 24659-2026")</f>
        <v/>
      </c>
      <c r="W56">
        <f>HYPERLINK("https://klasma.github.io/Logging_1783/kartor/A 24659-2026 karta.png", "A 24659-2026")</f>
        <v/>
      </c>
      <c r="Y56">
        <f>HYPERLINK("https://klasma.github.io/Logging_1783/klagomål/A 24659-2026 FSC-klagomål.docx", "A 24659-2026")</f>
        <v/>
      </c>
      <c r="Z56">
        <f>HYPERLINK("https://klasma.github.io/Logging_1783/klagomålsmail/A 24659-2026 FSC-klagomål mail.docx", "A 24659-2026")</f>
        <v/>
      </c>
      <c r="AA56">
        <f>HYPERLINK("https://klasma.github.io/Logging_1783/tillsyn/A 24659-2026 tillsynsbegäran.docx", "A 24659-2026")</f>
        <v/>
      </c>
      <c r="AB56">
        <f>HYPERLINK("https://klasma.github.io/Logging_1783/tillsynsmail/A 24659-2026 tillsynsbegäran mail.docx", "A 24659-2026")</f>
        <v/>
      </c>
    </row>
    <row r="57" ht="15" customHeight="1">
      <c r="A57" t="inlineStr">
        <is>
          <t>A 24716-2026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46221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24716-2026 artfynd.xlsx", "A 24716-2026")</f>
        <v/>
      </c>
      <c r="W57">
        <f>HYPERLINK("https://klasma.github.io/Logging_1783/kartor/A 24716-2026 karta.png", "A 24716-2026")</f>
        <v/>
      </c>
      <c r="Y57">
        <f>HYPERLINK("https://klasma.github.io/Logging_1783/klagomål/A 24716-2026 FSC-klagomål.docx", "A 24716-2026")</f>
        <v/>
      </c>
      <c r="Z57">
        <f>HYPERLINK("https://klasma.github.io/Logging_1783/klagomålsmail/A 24716-2026 FSC-klagomål mail.docx", "A 24716-2026")</f>
        <v/>
      </c>
      <c r="AA57">
        <f>HYPERLINK("https://klasma.github.io/Logging_1783/tillsyn/A 24716-2026 tillsynsbegäran.docx", "A 24716-2026")</f>
        <v/>
      </c>
      <c r="AB57">
        <f>HYPERLINK("https://klasma.github.io/Logging_1783/tillsynsmail/A 24716-2026 tillsynsbegäran mail.docx", "A 24716-2026")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46221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Rödlånke</t>
        </is>
      </c>
      <c r="V58">
        <f>HYPERLINK("https://klasma.github.io/Logging_1783/artfynd/A 22484-2025 artfynd.xlsx", "A 22484-2025")</f>
        <v/>
      </c>
      <c r="W58">
        <f>HYPERLINK("https://klasma.github.io/Logging_1783/kartor/A 22484-2025 karta.png", "A 22484-2025")</f>
        <v/>
      </c>
      <c r="Y58">
        <f>HYPERLINK("https://klasma.github.io/Logging_1783/klagomål/A 22484-2025 FSC-klagomål.docx", "A 22484-2025")</f>
        <v/>
      </c>
      <c r="Z58">
        <f>HYPERLINK("https://klasma.github.io/Logging_1783/klagomålsmail/A 22484-2025 FSC-klagomål mail.docx", "A 22484-2025")</f>
        <v/>
      </c>
      <c r="AA58">
        <f>HYPERLINK("https://klasma.github.io/Logging_1783/tillsyn/A 22484-2025 tillsynsbegäran.docx", "A 22484-2025")</f>
        <v/>
      </c>
      <c r="AB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46221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Mörk husmossa</t>
        </is>
      </c>
      <c r="V59">
        <f>HYPERLINK("https://klasma.github.io/Logging_1783/artfynd/A 24885-2025 artfynd.xlsx", "A 24885-2025")</f>
        <v/>
      </c>
      <c r="W59">
        <f>HYPERLINK("https://klasma.github.io/Logging_1783/kartor/A 24885-2025 karta.png", "A 24885-2025")</f>
        <v/>
      </c>
      <c r="Y59">
        <f>HYPERLINK("https://klasma.github.io/Logging_1783/klagomål/A 24885-2025 FSC-klagomål.docx", "A 24885-2025")</f>
        <v/>
      </c>
      <c r="Z59">
        <f>HYPERLINK("https://klasma.github.io/Logging_1783/klagomålsmail/A 24885-2025 FSC-klagomål mail.docx", "A 24885-2025")</f>
        <v/>
      </c>
      <c r="AA59">
        <f>HYPERLINK("https://klasma.github.io/Logging_1783/tillsyn/A 24885-2025 tillsynsbegäran.docx", "A 24885-2025")</f>
        <v/>
      </c>
      <c r="AB59">
        <f>HYPERLINK("https://klasma.github.io/Logging_1783/tillsynsmail/A 24885-2025 tillsynsbegäran mail.docx", "A 24885-2025")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46221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Y60">
        <f>HYPERLINK("https://klasma.github.io/Logging_1783/klagomål/S 412-2024 FSC-klagomål.docx", "S 412-2024")</f>
        <v/>
      </c>
      <c r="Z60">
        <f>HYPERLINK("https://klasma.github.io/Logging_1783/klagomålsmail/S 412-2024 FSC-klagomål mail.docx", "S 412-2024")</f>
        <v/>
      </c>
      <c r="AA60">
        <f>HYPERLINK("https://klasma.github.io/Logging_1783/tillsyn/S 412-2024 tillsynsbegäran.docx", "S 412-2024")</f>
        <v/>
      </c>
      <c r="AB60">
        <f>HYPERLINK("https://klasma.github.io/Logging_1783/tillsynsmail/S 412-2024 tillsynsbegäran mail.docx", "S 412-2024")</f>
        <v/>
      </c>
      <c r="AC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46221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Y61">
        <f>HYPERLINK("https://klasma.github.io/Logging_1783/klagomål/S 4427-2023 FSC-klagomål.docx", "S 4427-2023")</f>
        <v/>
      </c>
      <c r="Z61">
        <f>HYPERLINK("https://klasma.github.io/Logging_1783/klagomålsmail/S 4427-2023 FSC-klagomål mail.docx", "S 4427-2023")</f>
        <v/>
      </c>
      <c r="AA61">
        <f>HYPERLINK("https://klasma.github.io/Logging_1783/tillsyn/S 4427-2023 tillsynsbegäran.docx", "S 4427-2023")</f>
        <v/>
      </c>
      <c r="AB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46221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Y62">
        <f>HYPERLINK("https://klasma.github.io/Logging_1783/klagomål/S 61-2026 FSC-klagomål.docx", "S 61-2026")</f>
        <v/>
      </c>
      <c r="Z62">
        <f>HYPERLINK("https://klasma.github.io/Logging_1783/klagomålsmail/S 61-2026 FSC-klagomål mail.docx", "S 61-2026")</f>
        <v/>
      </c>
      <c r="AA62">
        <f>HYPERLINK("https://klasma.github.io/Logging_1783/tillsyn/S 61-2026 tillsynsbegäran.docx", "S 61-2026")</f>
        <v/>
      </c>
      <c r="AB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46221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65299-2021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46221</v>
      </c>
      <c r="F64" t="inlineStr">
        <is>
          <t>VÄRMLANDS LÄN</t>
        </is>
      </c>
      <c r="G64" t="inlineStr">
        <is>
          <t>HAGFORS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44414</v>
      </c>
      <c r="E65" s="1" t="n">
        <v>46221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44417</v>
      </c>
      <c r="E66" s="1" t="n">
        <v>46221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46221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46221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46221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46221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46221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46221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46221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46221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46221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46221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46221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46221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46221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46221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46221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46221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46221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46221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46221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46221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46221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46221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46221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46221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46221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46221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46221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46221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46221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46221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46221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46221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46221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46221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46221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44699</v>
      </c>
      <c r="E102" s="1" t="n">
        <v>46221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46221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46221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46221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46221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46221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46221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46221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46221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46221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46221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46221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46221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46221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46221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46221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46221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46221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46221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8842-2025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46221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55137-2024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46221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46221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46221</v>
      </c>
      <c r="F124" t="inlineStr">
        <is>
          <t>VÄRMLANDS LÄN</t>
        </is>
      </c>
      <c r="G124" t="inlineStr">
        <is>
          <t>HAGFORS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46221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46221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46221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46221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45338</v>
      </c>
      <c r="E129" s="1" t="n">
        <v>46221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46221</v>
      </c>
      <c r="F130" t="inlineStr">
        <is>
          <t>VÄRMLANDS LÄN</t>
        </is>
      </c>
      <c r="G130" t="inlineStr">
        <is>
          <t>HAGFORS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17297-2024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46221</v>
      </c>
      <c r="F131" t="inlineStr">
        <is>
          <t>VÄRMLANDS LÄN</t>
        </is>
      </c>
      <c r="G131" t="inlineStr">
        <is>
          <t>HAGFORS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17329-2024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45414</v>
      </c>
      <c r="E132" s="1" t="n">
        <v>46221</v>
      </c>
      <c r="F132" t="inlineStr">
        <is>
          <t>VÄRMLANDS LÄN</t>
        </is>
      </c>
      <c r="G132" t="inlineStr">
        <is>
          <t>HAGFORS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15228-2024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46221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31178-2022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44770</v>
      </c>
      <c r="E134" s="1" t="n">
        <v>46221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15538-2024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45401</v>
      </c>
      <c r="E135" s="1" t="n">
        <v>46221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21451-2024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45441</v>
      </c>
      <c r="E136" s="1" t="n">
        <v>46221</v>
      </c>
      <c r="F136" t="inlineStr">
        <is>
          <t>VÄRMLANDS LÄN</t>
        </is>
      </c>
      <c r="G136" t="inlineStr">
        <is>
          <t>HAGFORS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46221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46221</v>
      </c>
      <c r="F138" t="inlineStr">
        <is>
          <t>VÄRMLANDS LÄN</t>
        </is>
      </c>
      <c r="G138" t="inlineStr">
        <is>
          <t>HAGFORS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46221</v>
      </c>
      <c r="F139" t="inlineStr">
        <is>
          <t>VÄRMLANDS LÄN</t>
        </is>
      </c>
      <c r="G139" t="inlineStr">
        <is>
          <t>HAGFORS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39211-2022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46221</v>
      </c>
      <c r="F140" t="inlineStr">
        <is>
          <t>VÄRMLANDS LÄN</t>
        </is>
      </c>
      <c r="G140" t="inlineStr">
        <is>
          <t>HAGFORS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12673-2024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45384</v>
      </c>
      <c r="E141" s="1" t="n">
        <v>46221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46221</v>
      </c>
      <c r="F142" t="inlineStr">
        <is>
          <t>VÄRMLANDS LÄN</t>
        </is>
      </c>
      <c r="G142" t="inlineStr">
        <is>
          <t>HAGFORS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46221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46221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14897-2024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46221</v>
      </c>
      <c r="F145" t="inlineStr">
        <is>
          <t>VÄRMLANDS LÄN</t>
        </is>
      </c>
      <c r="G145" t="inlineStr">
        <is>
          <t>HAGFORS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46221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35088-2024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46221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46221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46221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46221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52830-2023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46221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46221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35994-2024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46221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11126-2024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46221</v>
      </c>
      <c r="F154" t="inlineStr">
        <is>
          <t>VÄRMLANDS LÄN</t>
        </is>
      </c>
      <c r="G154" t="inlineStr">
        <is>
          <t>HAGFORS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60167-2023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45258</v>
      </c>
      <c r="E155" s="1" t="n">
        <v>46221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46221</v>
      </c>
      <c r="F156" t="inlineStr">
        <is>
          <t>VÄRMLANDS LÄN</t>
        </is>
      </c>
      <c r="G156" t="inlineStr">
        <is>
          <t>HAGFORS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9795-2023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46221</v>
      </c>
      <c r="F157" t="inlineStr">
        <is>
          <t>VÄRMLANDS LÄN</t>
        </is>
      </c>
      <c r="G157" t="inlineStr">
        <is>
          <t>HAGFORS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46221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46221</v>
      </c>
      <c r="F159" t="inlineStr">
        <is>
          <t>VÄRMLANDS LÄN</t>
        </is>
      </c>
      <c r="G159" t="inlineStr">
        <is>
          <t>HAGFORS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58808-2022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46221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45621</v>
      </c>
      <c r="E161" s="1" t="n">
        <v>46221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61169-2024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45645</v>
      </c>
      <c r="E162" s="1" t="n">
        <v>46221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46221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58084-2024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46221</v>
      </c>
      <c r="F164" t="inlineStr">
        <is>
          <t>VÄRMLANDS LÄN</t>
        </is>
      </c>
      <c r="G164" t="inlineStr">
        <is>
          <t>HAGFORS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46221</v>
      </c>
      <c r="F165" t="inlineStr">
        <is>
          <t>VÄRMLANDS LÄN</t>
        </is>
      </c>
      <c r="G165" t="inlineStr">
        <is>
          <t>HAGFORS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71447-2021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46221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45148</v>
      </c>
      <c r="E167" s="1" t="n">
        <v>46221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27739-2024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46221</v>
      </c>
      <c r="F168" t="inlineStr">
        <is>
          <t>VÄRMLANDS LÄN</t>
        </is>
      </c>
      <c r="G168" t="inlineStr">
        <is>
          <t>HAGFORS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46221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20444-2024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46221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20447-2024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46221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33823-2025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46221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46221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38474-2024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46221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26463-2025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45807</v>
      </c>
      <c r="E175" s="1" t="n">
        <v>46221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46221</v>
      </c>
      <c r="F176" t="inlineStr">
        <is>
          <t>VÄRMLANDS LÄN</t>
        </is>
      </c>
      <c r="G176" t="inlineStr">
        <is>
          <t>HAGFORS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16755-2025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46221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26617-2025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45810</v>
      </c>
      <c r="E178" s="1" t="n">
        <v>46221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46221</v>
      </c>
      <c r="F179" t="inlineStr">
        <is>
          <t>VÄRMLANDS LÄN</t>
        </is>
      </c>
      <c r="G179" t="inlineStr">
        <is>
          <t>HAGFORS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46221</v>
      </c>
      <c r="F180" t="inlineStr">
        <is>
          <t>VÄRMLANDS LÄN</t>
        </is>
      </c>
      <c r="G180" t="inlineStr">
        <is>
          <t>HAGFORS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26980-2025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46221</v>
      </c>
      <c r="F181" t="inlineStr">
        <is>
          <t>VÄRMLANDS LÄN</t>
        </is>
      </c>
      <c r="G181" t="inlineStr">
        <is>
          <t>HAGFORS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26982-2025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46221</v>
      </c>
      <c r="F182" t="inlineStr">
        <is>
          <t>VÄRMLANDS LÄN</t>
        </is>
      </c>
      <c r="G182" t="inlineStr">
        <is>
          <t>HAGFORS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46221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46221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46221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42170-2024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46221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46221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46221</v>
      </c>
      <c r="F188" t="inlineStr">
        <is>
          <t>VÄRMLANDS LÄN</t>
        </is>
      </c>
      <c r="G188" t="inlineStr">
        <is>
          <t>HAGFORS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46221</v>
      </c>
      <c r="F189" t="inlineStr">
        <is>
          <t>VÄRMLANDS LÄN</t>
        </is>
      </c>
      <c r="G189" t="inlineStr">
        <is>
          <t>HAGFORS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46221</v>
      </c>
      <c r="F190" t="inlineStr">
        <is>
          <t>VÄRMLANDS LÄN</t>
        </is>
      </c>
      <c r="G190" t="inlineStr">
        <is>
          <t>HAGFORS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27181-2025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46221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27195-2025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46221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46221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45492</v>
      </c>
      <c r="E194" s="1" t="n">
        <v>46221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46221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40843-2021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44421</v>
      </c>
      <c r="E196" s="1" t="n">
        <v>46221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46221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28594-2023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46221</v>
      </c>
      <c r="F198" t="inlineStr">
        <is>
          <t>VÄRMLANDS LÄN</t>
        </is>
      </c>
      <c r="G198" t="inlineStr">
        <is>
          <t>HAGFORS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46221</v>
      </c>
      <c r="F199" t="inlineStr">
        <is>
          <t>VÄRMLANDS LÄN</t>
        </is>
      </c>
      <c r="G199" t="inlineStr">
        <is>
          <t>HAGFORS</t>
        </is>
      </c>
      <c r="I199" t="n">
        <v>13.1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46221</v>
      </c>
      <c r="F200" t="inlineStr">
        <is>
          <t>VÄRMLANDS LÄN</t>
        </is>
      </c>
      <c r="G200" t="inlineStr">
        <is>
          <t>HAGFORS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46221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16824-2023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45033</v>
      </c>
      <c r="E202" s="1" t="n">
        <v>46221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54757-2022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46221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18170-2024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46221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47021-2023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46221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46221</v>
      </c>
      <c r="F206" t="inlineStr">
        <is>
          <t>VÄRMLANDS LÄN</t>
        </is>
      </c>
      <c r="G206" t="inlineStr">
        <is>
          <t>HAGFORS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46221</v>
      </c>
      <c r="F207" t="inlineStr">
        <is>
          <t>VÄRMLANDS LÄN</t>
        </is>
      </c>
      <c r="G207" t="inlineStr">
        <is>
          <t>HAGFORS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46221</v>
      </c>
      <c r="F208" t="inlineStr">
        <is>
          <t>VÄRMLANDS LÄN</t>
        </is>
      </c>
      <c r="G208" t="inlineStr">
        <is>
          <t>HAGFORS</t>
        </is>
      </c>
      <c r="H208" t="inlineStr">
        <is>
          <t>Kyrkan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46221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46221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29115-2025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46221</v>
      </c>
      <c r="F211" t="inlineStr">
        <is>
          <t>VÄRMLANDS LÄN</t>
        </is>
      </c>
      <c r="G211" t="inlineStr">
        <is>
          <t>HAGFORS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39249-2025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46221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12426-2024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45379</v>
      </c>
      <c r="E213" s="1" t="n">
        <v>46221</v>
      </c>
      <c r="F213" t="inlineStr">
        <is>
          <t>VÄRMLANDS LÄN</t>
        </is>
      </c>
      <c r="G213" t="inlineStr">
        <is>
          <t>HAGFORS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46221</v>
      </c>
      <c r="F214" t="inlineStr">
        <is>
          <t>VÄRMLANDS LÄN</t>
        </is>
      </c>
      <c r="G214" t="inlineStr">
        <is>
          <t>HAGFORS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46221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46221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46221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46221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46221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46221</v>
      </c>
      <c r="F220" t="inlineStr">
        <is>
          <t>VÄRMLANDS LÄN</t>
        </is>
      </c>
      <c r="G220" t="inlineStr">
        <is>
          <t>HAGFORS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46221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46221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13990-2025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45739</v>
      </c>
      <c r="E223" s="1" t="n">
        <v>46221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41153-2025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46221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41154-2025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46221</v>
      </c>
      <c r="F225" t="inlineStr">
        <is>
          <t>VÄRMLANDS LÄN</t>
        </is>
      </c>
      <c r="G225" t="inlineStr">
        <is>
          <t>HAGFORS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22332-2024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46221</v>
      </c>
      <c r="F226" t="inlineStr">
        <is>
          <t>VÄRMLANDS LÄN</t>
        </is>
      </c>
      <c r="G226" t="inlineStr">
        <is>
          <t>HAGFORS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64936-2023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45282</v>
      </c>
      <c r="E227" s="1" t="n">
        <v>46221</v>
      </c>
      <c r="F227" t="inlineStr">
        <is>
          <t>VÄRMLANDS LÄN</t>
        </is>
      </c>
      <c r="G227" t="inlineStr">
        <is>
          <t>HAGFORS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46221</v>
      </c>
      <c r="F228" t="inlineStr">
        <is>
          <t>VÄRMLANDS LÄN</t>
        </is>
      </c>
      <c r="G228" t="inlineStr">
        <is>
          <t>HAGFORS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30778-2025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46221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41739-2025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45902</v>
      </c>
      <c r="E230" s="1" t="n">
        <v>46221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46221</v>
      </c>
      <c r="F231" t="inlineStr">
        <is>
          <t>VÄRMLANDS LÄN</t>
        </is>
      </c>
      <c r="G231" t="inlineStr">
        <is>
          <t>HAGFORS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46221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46221</v>
      </c>
      <c r="F233" t="inlineStr">
        <is>
          <t>VÄRMLANDS LÄN</t>
        </is>
      </c>
      <c r="G233" t="inlineStr">
        <is>
          <t>HAGFORS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46221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46221</v>
      </c>
      <c r="F235" t="inlineStr">
        <is>
          <t>VÄRMLANDS LÄN</t>
        </is>
      </c>
      <c r="G235" t="inlineStr">
        <is>
          <t>HAGFORS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46221</v>
      </c>
      <c r="F236" t="inlineStr">
        <is>
          <t>VÄRMLANDS LÄN</t>
        </is>
      </c>
      <c r="G236" t="inlineStr">
        <is>
          <t>HAGFORS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46221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13635-2024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46221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46221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46221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46221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19.2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46221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46221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46221</v>
      </c>
      <c r="F244" t="inlineStr">
        <is>
          <t>VÄRMLANDS LÄN</t>
        </is>
      </c>
      <c r="G244" t="inlineStr">
        <is>
          <t>HAGFORS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46221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32235-2025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46221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46221</v>
      </c>
      <c r="F247" t="inlineStr">
        <is>
          <t>VÄRMLANDS LÄN</t>
        </is>
      </c>
      <c r="G247" t="inlineStr">
        <is>
          <t>HAGFORS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46221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29447-2025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46221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46221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19072-2025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45765</v>
      </c>
      <c r="E251" s="1" t="n">
        <v>46221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46221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46221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46221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33440-2025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45841</v>
      </c>
      <c r="E255" s="1" t="n">
        <v>46221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46221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46221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46221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46221</v>
      </c>
      <c r="F259" t="inlineStr">
        <is>
          <t>VÄRMLANDS LÄN</t>
        </is>
      </c>
      <c r="G259" t="inlineStr">
        <is>
          <t>HAGFORS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46221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45355-2025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46221</v>
      </c>
      <c r="F261" t="inlineStr">
        <is>
          <t>VÄRMLANDS LÄN</t>
        </is>
      </c>
      <c r="G261" t="inlineStr">
        <is>
          <t>HAGFORS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45361-2025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46221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46221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46221</v>
      </c>
      <c r="F264" t="inlineStr">
        <is>
          <t>VÄRMLANDS LÄN</t>
        </is>
      </c>
      <c r="G264" t="inlineStr">
        <is>
          <t>HAGFORS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46221</v>
      </c>
      <c r="F265" t="inlineStr">
        <is>
          <t>VÄRMLANDS LÄN</t>
        </is>
      </c>
      <c r="G265" t="inlineStr">
        <is>
          <t>HAGFORS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34149-2025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46221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46221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21954-2025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46221</v>
      </c>
      <c r="F268" t="inlineStr">
        <is>
          <t>VÄRMLANDS LÄN</t>
        </is>
      </c>
      <c r="G268" t="inlineStr">
        <is>
          <t>HAGFORS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46221</v>
      </c>
      <c r="F269" t="inlineStr">
        <is>
          <t>VÄRMLANDS LÄN</t>
        </is>
      </c>
      <c r="G269" t="inlineStr">
        <is>
          <t>HAGFORS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46221</v>
      </c>
      <c r="F270" t="inlineStr">
        <is>
          <t>VÄRMLANDS LÄN</t>
        </is>
      </c>
      <c r="G270" t="inlineStr">
        <is>
          <t>HAGFORS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46371-2025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46221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46221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44125-2021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44434</v>
      </c>
      <c r="E273" s="1" t="n">
        <v>46221</v>
      </c>
      <c r="F273" t="inlineStr">
        <is>
          <t>VÄRMLANDS LÄN</t>
        </is>
      </c>
      <c r="G273" t="inlineStr">
        <is>
          <t>HAGFORS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46221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46221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46221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46221</v>
      </c>
      <c r="F277" t="inlineStr">
        <is>
          <t>VÄRMLANDS LÄN</t>
        </is>
      </c>
      <c r="G277" t="inlineStr">
        <is>
          <t>HAGFORS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46221</v>
      </c>
      <c r="F278" t="inlineStr">
        <is>
          <t>VÄRMLANDS LÄN</t>
        </is>
      </c>
      <c r="G278" t="inlineStr">
        <is>
          <t>HAGFORS</t>
        </is>
      </c>
      <c r="H278" t="inlineStr">
        <is>
          <t>Kyrkan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45853</v>
      </c>
      <c r="E279" s="1" t="n">
        <v>46221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46832-2025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46221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52494-2024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45609</v>
      </c>
      <c r="E281" s="1" t="n">
        <v>46221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46221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46221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55758-2024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45623</v>
      </c>
      <c r="E284" s="1" t="n">
        <v>46221</v>
      </c>
      <c r="F284" t="inlineStr">
        <is>
          <t>VÄRMLANDS LÄN</t>
        </is>
      </c>
      <c r="G284" t="inlineStr">
        <is>
          <t>HAGFORS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46831-2025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46221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45928</v>
      </c>
      <c r="E286" s="1" t="n">
        <v>46221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46221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34404-2023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46221</v>
      </c>
      <c r="F288" t="inlineStr">
        <is>
          <t>VÄRMLANDS LÄN</t>
        </is>
      </c>
      <c r="G288" t="inlineStr">
        <is>
          <t>HAGFORS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46221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46221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13657-2023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46221</v>
      </c>
      <c r="F291" t="inlineStr">
        <is>
          <t>VÄRMLANDS LÄN</t>
        </is>
      </c>
      <c r="G291" t="inlineStr">
        <is>
          <t>HAGFORS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48108-2025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46221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45865</v>
      </c>
      <c r="E293" s="1" t="n">
        <v>46221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19783-2023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45051</v>
      </c>
      <c r="E294" s="1" t="n">
        <v>46221</v>
      </c>
      <c r="F294" t="inlineStr">
        <is>
          <t>VÄRMLANDS LÄN</t>
        </is>
      </c>
      <c r="G294" t="inlineStr">
        <is>
          <t>HAGFORS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24947-2024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46221</v>
      </c>
      <c r="F295" t="inlineStr">
        <is>
          <t>VÄRMLANDS LÄN</t>
        </is>
      </c>
      <c r="G295" t="inlineStr">
        <is>
          <t>HAGFORS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46221</v>
      </c>
      <c r="F296" t="inlineStr">
        <is>
          <t>VÄRMLANDS LÄN</t>
        </is>
      </c>
      <c r="G296" t="inlineStr">
        <is>
          <t>HAGFORS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46221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46221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49146-2025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46221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46221</v>
      </c>
      <c r="F300" t="inlineStr">
        <is>
          <t>VÄRMLANDS LÄN</t>
        </is>
      </c>
      <c r="G300" t="inlineStr">
        <is>
          <t>HAGFORS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46221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38555-2023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46221</v>
      </c>
      <c r="F302" t="inlineStr">
        <is>
          <t>VÄRMLANDS LÄN</t>
        </is>
      </c>
      <c r="G302" t="inlineStr">
        <is>
          <t>HAGFORS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46221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20682-2024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46221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46221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46221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37027-2025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46221</v>
      </c>
      <c r="F307" t="inlineStr">
        <is>
          <t>VÄRMLANDS LÄN</t>
        </is>
      </c>
      <c r="G307" t="inlineStr">
        <is>
          <t>HAGFORS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46221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46221</v>
      </c>
      <c r="F309" t="inlineStr">
        <is>
          <t>VÄRMLANDS LÄN</t>
        </is>
      </c>
      <c r="G309" t="inlineStr">
        <is>
          <t>HAGFORS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8830-2024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46221</v>
      </c>
      <c r="F310" t="inlineStr">
        <is>
          <t>VÄRMLANDS LÄN</t>
        </is>
      </c>
      <c r="G310" t="inlineStr">
        <is>
          <t>HAGFORS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45569</v>
      </c>
      <c r="E311" s="1" t="n">
        <v>46221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46221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50752-2025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46221</v>
      </c>
      <c r="F313" t="inlineStr">
        <is>
          <t>VÄRMLANDS LÄN</t>
        </is>
      </c>
      <c r="G313" t="inlineStr">
        <is>
          <t>HAGFORS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46221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45750</v>
      </c>
      <c r="E315" s="1" t="n">
        <v>46221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27185-2025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46221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53813-2024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46221</v>
      </c>
      <c r="F317" t="inlineStr">
        <is>
          <t>VÄRMLANDS LÄN</t>
        </is>
      </c>
      <c r="G317" t="inlineStr">
        <is>
          <t>HAGFORS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30180-2022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46221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46221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46221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45949</v>
      </c>
      <c r="E321" s="1" t="n">
        <v>46221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44694</v>
      </c>
      <c r="E322" s="1" t="n">
        <v>46221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46221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46221</v>
      </c>
      <c r="F324" t="inlineStr">
        <is>
          <t>VÄRMLANDS LÄN</t>
        </is>
      </c>
      <c r="G324" t="inlineStr">
        <is>
          <t>HAGFORS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31166-2022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44770</v>
      </c>
      <c r="E325" s="1" t="n">
        <v>46221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52479-2025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46221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46221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46221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46221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57379-2022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44896</v>
      </c>
      <c r="E330" s="1" t="n">
        <v>46221</v>
      </c>
      <c r="F330" t="inlineStr">
        <is>
          <t>VÄRMLANDS LÄN</t>
        </is>
      </c>
      <c r="G330" t="inlineStr">
        <is>
          <t>HAGFORS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8555-2026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46221</v>
      </c>
      <c r="F331" t="inlineStr">
        <is>
          <t>VÄRMLANDS LÄN</t>
        </is>
      </c>
      <c r="G331" t="inlineStr">
        <is>
          <t>HAGFORS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47019-2023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46221</v>
      </c>
      <c r="F332" t="inlineStr">
        <is>
          <t>VÄRMLANDS LÄN</t>
        </is>
      </c>
      <c r="G332" t="inlineStr">
        <is>
          <t>HAGFORS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53620-2025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46221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16525-2023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45029</v>
      </c>
      <c r="E334" s="1" t="n">
        <v>46221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39029-2022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46221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61981-2024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46221</v>
      </c>
      <c r="F336" t="inlineStr">
        <is>
          <t>VÄRMLANDS LÄN</t>
        </is>
      </c>
      <c r="G336" t="inlineStr">
        <is>
          <t>HAGFORS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21155-2023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46221</v>
      </c>
      <c r="F337" t="inlineStr">
        <is>
          <t>VÄRMLANDS LÄN</t>
        </is>
      </c>
      <c r="G337" t="inlineStr">
        <is>
          <t>HAGFORS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46221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20652-2022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44700</v>
      </c>
      <c r="E339" s="1" t="n">
        <v>46221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53811-2025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46221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46221</v>
      </c>
      <c r="F341" t="inlineStr">
        <is>
          <t>VÄRMLANDS LÄN</t>
        </is>
      </c>
      <c r="G341" t="inlineStr">
        <is>
          <t>HAGFORS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10382-2025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46221</v>
      </c>
      <c r="F342" t="inlineStr">
        <is>
          <t>VÄRMLANDS LÄN</t>
        </is>
      </c>
      <c r="G342" t="inlineStr">
        <is>
          <t>HAGFORS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9670-2026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46221</v>
      </c>
      <c r="F343" t="inlineStr">
        <is>
          <t>VÄRMLANDS LÄN</t>
        </is>
      </c>
      <c r="G343" t="inlineStr">
        <is>
          <t>HAGFORS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46221</v>
      </c>
      <c r="F344" t="inlineStr">
        <is>
          <t>VÄRMLANDS LÄN</t>
        </is>
      </c>
      <c r="G344" t="inlineStr">
        <is>
          <t>HAGFORS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46221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46221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46221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10271-2026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46221</v>
      </c>
      <c r="F348" t="inlineStr">
        <is>
          <t>VÄRMLANDS LÄN</t>
        </is>
      </c>
      <c r="G348" t="inlineStr">
        <is>
          <t>HAGFORS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46221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46221</v>
      </c>
      <c r="F350" t="inlineStr">
        <is>
          <t>VÄRMLANDS LÄN</t>
        </is>
      </c>
      <c r="G350" t="inlineStr">
        <is>
          <t>HAGFORS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44937</v>
      </c>
      <c r="E351" s="1" t="n">
        <v>46221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46221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55519-2025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46221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37085-2023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46221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46221</v>
      </c>
      <c r="F355" t="inlineStr">
        <is>
          <t>VÄRMLANDS LÄN</t>
        </is>
      </c>
      <c r="G355" t="inlineStr">
        <is>
          <t>HAGFORS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37463-2022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44809</v>
      </c>
      <c r="E356" s="1" t="n">
        <v>46221</v>
      </c>
      <c r="F356" t="inlineStr">
        <is>
          <t>VÄRMLANDS LÄN</t>
        </is>
      </c>
      <c r="G356" t="inlineStr">
        <is>
          <t>HAGFORS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44851</v>
      </c>
      <c r="E357" s="1" t="n">
        <v>46221</v>
      </c>
      <c r="F357" t="inlineStr">
        <is>
          <t>VÄRMLANDS LÄN</t>
        </is>
      </c>
      <c r="G357" t="inlineStr">
        <is>
          <t>HAGFORS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46221</v>
      </c>
      <c r="F358" t="inlineStr">
        <is>
          <t>VÄRMLANDS LÄN</t>
        </is>
      </c>
      <c r="G358" t="inlineStr">
        <is>
          <t>HAGFORS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34540-2024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46221</v>
      </c>
      <c r="F359" t="inlineStr">
        <is>
          <t>VÄRMLANDS LÄN</t>
        </is>
      </c>
      <c r="G359" t="inlineStr">
        <is>
          <t>HAGFORS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46221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46221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46221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33969-2022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44790</v>
      </c>
      <c r="E363" s="1" t="n">
        <v>46221</v>
      </c>
      <c r="F363" t="inlineStr">
        <is>
          <t>VÄRMLANDS LÄN</t>
        </is>
      </c>
      <c r="G363" t="inlineStr">
        <is>
          <t>HAGFORS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46221</v>
      </c>
      <c r="F364" t="inlineStr">
        <is>
          <t>VÄRMLANDS LÄN</t>
        </is>
      </c>
      <c r="G364" t="inlineStr">
        <is>
          <t>HAGFORS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46221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57198-2025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46221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24814-2024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46221</v>
      </c>
      <c r="F367" t="inlineStr">
        <is>
          <t>VÄRMLANDS LÄN</t>
        </is>
      </c>
      <c r="G367" t="inlineStr">
        <is>
          <t>HAGFORS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46221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46087</v>
      </c>
      <c r="E369" s="1" t="n">
        <v>46221</v>
      </c>
      <c r="F369" t="inlineStr">
        <is>
          <t>VÄRMLANDS LÄN</t>
        </is>
      </c>
      <c r="G369" t="inlineStr">
        <is>
          <t>HAGFORS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61311-2023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46221</v>
      </c>
      <c r="F370" t="inlineStr">
        <is>
          <t>VÄRMLANDS LÄN</t>
        </is>
      </c>
      <c r="G370" t="inlineStr">
        <is>
          <t>HAGFORS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46221</v>
      </c>
      <c r="F371" t="inlineStr">
        <is>
          <t>VÄRMLANDS LÄN</t>
        </is>
      </c>
      <c r="G371" t="inlineStr">
        <is>
          <t>HAGFORS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58278-2025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46221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70712-2021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44537</v>
      </c>
      <c r="E373" s="1" t="n">
        <v>46221</v>
      </c>
      <c r="F373" t="inlineStr">
        <is>
          <t>VÄRMLANDS LÄN</t>
        </is>
      </c>
      <c r="G373" t="inlineStr">
        <is>
          <t>HAGFORS</t>
        </is>
      </c>
      <c r="H373" t="inlineStr">
        <is>
          <t>Kommuner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59047-2025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45988</v>
      </c>
      <c r="E374" s="1" t="n">
        <v>46221</v>
      </c>
      <c r="F374" t="inlineStr">
        <is>
          <t>VÄRMLANDS LÄN</t>
        </is>
      </c>
      <c r="G374" t="inlineStr">
        <is>
          <t>HAGFORS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46221</v>
      </c>
      <c r="F375" t="inlineStr">
        <is>
          <t>VÄRMLANDS LÄN</t>
        </is>
      </c>
      <c r="G375" t="inlineStr">
        <is>
          <t>HAGFORS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44571</v>
      </c>
      <c r="E376" s="1" t="n">
        <v>46221</v>
      </c>
      <c r="F376" t="inlineStr">
        <is>
          <t>VÄRMLANDS LÄN</t>
        </is>
      </c>
      <c r="G376" t="inlineStr">
        <is>
          <t>HAGFORS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17882-2025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46221</v>
      </c>
      <c r="F377" t="inlineStr">
        <is>
          <t>VÄRMLANDS LÄN</t>
        </is>
      </c>
      <c r="G377" t="inlineStr">
        <is>
          <t>HAGFORS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62546-2022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46221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59642-2025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46221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61140-2023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45261</v>
      </c>
      <c r="E380" s="1" t="n">
        <v>46221</v>
      </c>
      <c r="F380" t="inlineStr">
        <is>
          <t>VÄRMLANDS LÄN</t>
        </is>
      </c>
      <c r="G380" t="inlineStr">
        <is>
          <t>HAGFORS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12611-2026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46221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12534-2026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46090</v>
      </c>
      <c r="E382" s="1" t="n">
        <v>46221</v>
      </c>
      <c r="F382" t="inlineStr">
        <is>
          <t>VÄRMLANDS LÄN</t>
        </is>
      </c>
      <c r="G382" t="inlineStr">
        <is>
          <t>HAGFORS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14435-2025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45741</v>
      </c>
      <c r="E383" s="1" t="n">
        <v>46221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57359-2022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46221</v>
      </c>
      <c r="F384" t="inlineStr">
        <is>
          <t>VÄRMLANDS LÄN</t>
        </is>
      </c>
      <c r="G384" t="inlineStr">
        <is>
          <t>HAGFORS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46221</v>
      </c>
      <c r="F385" t="inlineStr">
        <is>
          <t>VÄRMLANDS LÄN</t>
        </is>
      </c>
      <c r="G385" t="inlineStr">
        <is>
          <t>HAGFORS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46221</v>
      </c>
      <c r="F386" t="inlineStr">
        <is>
          <t>VÄRMLANDS LÄN</t>
        </is>
      </c>
      <c r="G386" t="inlineStr">
        <is>
          <t>HAGFORS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25759-2023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45090</v>
      </c>
      <c r="E387" s="1" t="n">
        <v>46221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46221</v>
      </c>
      <c r="F388" t="inlineStr">
        <is>
          <t>VÄRMLANDS LÄN</t>
        </is>
      </c>
      <c r="G388" t="inlineStr">
        <is>
          <t>HAGFORS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13338-2026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46221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13411-2026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46221</v>
      </c>
      <c r="F390" t="inlineStr">
        <is>
          <t>VÄRMLANDS LÄN</t>
        </is>
      </c>
      <c r="G390" t="inlineStr">
        <is>
          <t>HAGFORS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13360-2026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46221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13466-2026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46221</v>
      </c>
      <c r="F392" t="inlineStr">
        <is>
          <t>VÄRMLANDS LÄN</t>
        </is>
      </c>
      <c r="G392" t="inlineStr">
        <is>
          <t>HAGFORS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46221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60648-2025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46221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60841-2025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46221</v>
      </c>
      <c r="F395" t="inlineStr">
        <is>
          <t>VÄRMLANDS LÄN</t>
        </is>
      </c>
      <c r="G395" t="inlineStr">
        <is>
          <t>HAGFORS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45218-2021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46221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61818-2023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46221</v>
      </c>
      <c r="F397" t="inlineStr">
        <is>
          <t>VÄRMLANDS LÄN</t>
        </is>
      </c>
      <c r="G397" t="inlineStr">
        <is>
          <t>HAGFORS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14284-2026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46221</v>
      </c>
      <c r="F398" t="inlineStr">
        <is>
          <t>VÄRMLANDS LÄN</t>
        </is>
      </c>
      <c r="G398" t="inlineStr">
        <is>
          <t>HAGFORS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46221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54751-2022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44883</v>
      </c>
      <c r="E400" s="1" t="n">
        <v>46221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13926-2026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46221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46221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61718-2025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46002</v>
      </c>
      <c r="E403" s="1" t="n">
        <v>46221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46221</v>
      </c>
      <c r="F404" t="inlineStr">
        <is>
          <t>VÄRMLANDS LÄN</t>
        </is>
      </c>
      <c r="G404" t="inlineStr">
        <is>
          <t>HAGFORS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46098</v>
      </c>
      <c r="E405" s="1" t="n">
        <v>46221</v>
      </c>
      <c r="F405" t="inlineStr">
        <is>
          <t>VÄRMLANDS LÄN</t>
        </is>
      </c>
      <c r="G405" t="inlineStr">
        <is>
          <t>HAGFORS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61910-2025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46221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46221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46221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46221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61998-2025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46221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62168-2025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46006</v>
      </c>
      <c r="E411" s="1" t="n">
        <v>46221</v>
      </c>
      <c r="F411" t="inlineStr">
        <is>
          <t>VÄRMLANDS LÄN</t>
        </is>
      </c>
      <c r="G411" t="inlineStr">
        <is>
          <t>HAGFORS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62240-2025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46221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20081-2025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46221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61843-2025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46003</v>
      </c>
      <c r="E414" s="1" t="n">
        <v>46221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14574-2026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46221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62099-2025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46221</v>
      </c>
      <c r="F416" t="inlineStr">
        <is>
          <t>VÄRMLANDS LÄN</t>
        </is>
      </c>
      <c r="G416" t="inlineStr">
        <is>
          <t>HAGFORS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62749-2025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46221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62542-2025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46221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19554-2024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45429</v>
      </c>
      <c r="E419" s="1" t="n">
        <v>46221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62632-2025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46221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28654-2023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46221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41502-2024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46221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59449-2024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45638</v>
      </c>
      <c r="E423" s="1" t="n">
        <v>46221</v>
      </c>
      <c r="F423" t="inlineStr">
        <is>
          <t>VÄRMLANDS LÄN</t>
        </is>
      </c>
      <c r="G423" t="inlineStr">
        <is>
          <t>HAGFORS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46221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22503-2024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45447</v>
      </c>
      <c r="E425" s="1" t="n">
        <v>46221</v>
      </c>
      <c r="F425" t="inlineStr">
        <is>
          <t>VÄRMLANDS LÄN</t>
        </is>
      </c>
      <c r="G425" t="inlineStr">
        <is>
          <t>HAGFORS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63361-2025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46221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46221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42168-2024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46221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46221</v>
      </c>
      <c r="F429" t="inlineStr">
        <is>
          <t>VÄRMLANDS LÄN</t>
        </is>
      </c>
      <c r="G429" t="inlineStr">
        <is>
          <t>HAGFORS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46221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46221</v>
      </c>
      <c r="F431" t="inlineStr">
        <is>
          <t>VÄRMLANDS LÄN</t>
        </is>
      </c>
      <c r="G431" t="inlineStr">
        <is>
          <t>HAGFORS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44728-2023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46221</v>
      </c>
      <c r="F432" t="inlineStr">
        <is>
          <t>VÄRMLANDS LÄN</t>
        </is>
      </c>
      <c r="G432" t="inlineStr">
        <is>
          <t>HAGFORS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63831-2025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46221</v>
      </c>
      <c r="F433" t="inlineStr">
        <is>
          <t>VÄRMLANDS LÄN</t>
        </is>
      </c>
      <c r="G433" t="inlineStr">
        <is>
          <t>HAGFORS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46221</v>
      </c>
      <c r="F434" t="inlineStr">
        <is>
          <t>VÄRMLANDS LÄN</t>
        </is>
      </c>
      <c r="G434" t="inlineStr">
        <is>
          <t>HAGFORS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44950</v>
      </c>
      <c r="E435" s="1" t="n">
        <v>46221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63764-2025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46018</v>
      </c>
      <c r="E436" s="1" t="n">
        <v>46221</v>
      </c>
      <c r="F436" t="inlineStr">
        <is>
          <t>VÄRMLANDS LÄN</t>
        </is>
      </c>
      <c r="G436" t="inlineStr">
        <is>
          <t>HAGFORS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46018</v>
      </c>
      <c r="E437" s="1" t="n">
        <v>46221</v>
      </c>
      <c r="F437" t="inlineStr">
        <is>
          <t>VÄRMLANDS LÄN</t>
        </is>
      </c>
      <c r="G437" t="inlineStr">
        <is>
          <t>HAGFORS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63875-2025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46221</v>
      </c>
      <c r="F438" t="inlineStr">
        <is>
          <t>VÄRMLANDS LÄN</t>
        </is>
      </c>
      <c r="G438" t="inlineStr">
        <is>
          <t>HAGFORS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46020</v>
      </c>
      <c r="E439" s="1" t="n">
        <v>46221</v>
      </c>
      <c r="F439" t="inlineStr">
        <is>
          <t>VÄRMLANDS LÄN</t>
        </is>
      </c>
      <c r="G439" t="inlineStr">
        <is>
          <t>HAGFORS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15213-2026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46221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46221</v>
      </c>
      <c r="F441" t="inlineStr">
        <is>
          <t>VÄRMLANDS LÄN</t>
        </is>
      </c>
      <c r="G441" t="inlineStr">
        <is>
          <t>HAGFORS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60390-2025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46221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46221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65065-2023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45287</v>
      </c>
      <c r="E444" s="1" t="n">
        <v>46221</v>
      </c>
      <c r="F444" t="inlineStr">
        <is>
          <t>VÄRMLANDS LÄN</t>
        </is>
      </c>
      <c r="G444" t="inlineStr">
        <is>
          <t>HAGFORS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58210-2022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44901</v>
      </c>
      <c r="E445" s="1" t="n">
        <v>46221</v>
      </c>
      <c r="F445" t="inlineStr">
        <is>
          <t>VÄRMLANDS LÄN</t>
        </is>
      </c>
      <c r="G445" t="inlineStr">
        <is>
          <t>HAGFORS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48807-2025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45937</v>
      </c>
      <c r="E446" s="1" t="n">
        <v>46221</v>
      </c>
      <c r="F446" t="inlineStr">
        <is>
          <t>VÄRMLANDS LÄN</t>
        </is>
      </c>
      <c r="G446" t="inlineStr">
        <is>
          <t>HAGFORS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46030</v>
      </c>
      <c r="E447" s="1" t="n">
        <v>46221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15656-2026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46221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46221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15666-2026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46221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25258-2023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45079</v>
      </c>
      <c r="E451" s="1" t="n">
        <v>46221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46221</v>
      </c>
      <c r="F452" t="inlineStr">
        <is>
          <t>VÄRMLANDS LÄN</t>
        </is>
      </c>
      <c r="G452" t="inlineStr">
        <is>
          <t>HAGFORS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15554-2026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46221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15577-2026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46221</v>
      </c>
      <c r="F454" t="inlineStr">
        <is>
          <t>VÄRMLANDS LÄN</t>
        </is>
      </c>
      <c r="G454" t="inlineStr">
        <is>
          <t>HAGFORS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15504-2026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46221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46221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15639-2026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46221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33399-2024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45519</v>
      </c>
      <c r="E458" s="1" t="n">
        <v>46221</v>
      </c>
      <c r="F458" t="inlineStr">
        <is>
          <t>VÄRMLANDS LÄN</t>
        </is>
      </c>
      <c r="G458" t="inlineStr">
        <is>
          <t>HAGFORS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15491-2026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46221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46221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30158-2024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45489</v>
      </c>
      <c r="E461" s="1" t="n">
        <v>46221</v>
      </c>
      <c r="F461" t="inlineStr">
        <is>
          <t>VÄRMLANDS LÄN</t>
        </is>
      </c>
      <c r="G461" t="inlineStr">
        <is>
          <t>HAGFORS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16157-2026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46221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38612-2023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46221</v>
      </c>
      <c r="F463" t="inlineStr">
        <is>
          <t>VÄRMLANDS LÄN</t>
        </is>
      </c>
      <c r="G463" t="inlineStr">
        <is>
          <t>HAGFORS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16146-2026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46221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46221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46221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3724-2023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46221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15587-2026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46221</v>
      </c>
      <c r="F468" t="inlineStr">
        <is>
          <t>VÄRMLANDS LÄN</t>
        </is>
      </c>
      <c r="G468" t="inlineStr">
        <is>
          <t>HAGFORS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16977-2026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46221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46221</v>
      </c>
      <c r="F470" t="inlineStr">
        <is>
          <t>VÄRMLANDS LÄN</t>
        </is>
      </c>
      <c r="G470" t="inlineStr">
        <is>
          <t>HAGFORS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6910-2024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46221</v>
      </c>
      <c r="F471" t="inlineStr">
        <is>
          <t>VÄRMLANDS LÄN</t>
        </is>
      </c>
      <c r="G471" t="inlineStr">
        <is>
          <t>HAGFORS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27826-2024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45475</v>
      </c>
      <c r="E472" s="1" t="n">
        <v>46221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45475</v>
      </c>
      <c r="E473" s="1" t="n">
        <v>46221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45428</v>
      </c>
      <c r="E474" s="1" t="n">
        <v>46221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46221</v>
      </c>
      <c r="F475" t="inlineStr">
        <is>
          <t>VÄRMLANDS LÄN</t>
        </is>
      </c>
      <c r="G475" t="inlineStr">
        <is>
          <t>HAGFORS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17305-2023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45035</v>
      </c>
      <c r="E476" s="1" t="n">
        <v>46221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44567</v>
      </c>
      <c r="E477" s="1" t="n">
        <v>46221</v>
      </c>
      <c r="F477" t="inlineStr">
        <is>
          <t>VÄRMLANDS LÄN</t>
        </is>
      </c>
      <c r="G477" t="inlineStr">
        <is>
          <t>HAGFORS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10236-2022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44622</v>
      </c>
      <c r="E478" s="1" t="n">
        <v>46221</v>
      </c>
      <c r="F478" t="inlineStr">
        <is>
          <t>VÄRMLANDS LÄN</t>
        </is>
      </c>
      <c r="G478" t="inlineStr">
        <is>
          <t>HAGFORS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46221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17843-2026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46221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10297-2025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46221</v>
      </c>
      <c r="F481" t="inlineStr">
        <is>
          <t>VÄRMLANDS LÄN</t>
        </is>
      </c>
      <c r="G481" t="inlineStr">
        <is>
          <t>HAGFORS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46221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41603-2023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45175</v>
      </c>
      <c r="E483" s="1" t="n">
        <v>46221</v>
      </c>
      <c r="F483" t="inlineStr">
        <is>
          <t>VÄRMLANDS LÄN</t>
        </is>
      </c>
      <c r="G483" t="inlineStr">
        <is>
          <t>HAGFORS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18217-2026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46221</v>
      </c>
      <c r="F484" t="inlineStr">
        <is>
          <t>VÄRMLANDS LÄN</t>
        </is>
      </c>
      <c r="G484" t="inlineStr">
        <is>
          <t>HAGFORS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18528-2026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46221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46221</v>
      </c>
      <c r="F486" t="inlineStr">
        <is>
          <t>VÄRMLANDS LÄN</t>
        </is>
      </c>
      <c r="G486" t="inlineStr">
        <is>
          <t>HAGFORS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18797-2026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46221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46221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18901-2026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46129</v>
      </c>
      <c r="E489" s="1" t="n">
        <v>46221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18854-2026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46129</v>
      </c>
      <c r="E490" s="1" t="n">
        <v>46221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18895-2026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46221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38887-2024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46221</v>
      </c>
      <c r="F492" t="inlineStr">
        <is>
          <t>VÄRMLANDS LÄN</t>
        </is>
      </c>
      <c r="G492" t="inlineStr">
        <is>
          <t>HAGFORS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46221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35065-2023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45145</v>
      </c>
      <c r="E494" s="1" t="n">
        <v>46221</v>
      </c>
      <c r="F494" t="inlineStr">
        <is>
          <t>VÄRMLANDS LÄN</t>
        </is>
      </c>
      <c r="G494" t="inlineStr">
        <is>
          <t>HAGFORS</t>
        </is>
      </c>
      <c r="I494" t="n">
        <v>13.5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46221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57162-2024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46221</v>
      </c>
      <c r="F496" t="inlineStr">
        <is>
          <t>VÄRMLANDS LÄN</t>
        </is>
      </c>
      <c r="G496" t="inlineStr">
        <is>
          <t>HAGFORS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19339-2026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46221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19548-2026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46221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19459-2026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46221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19307-2026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46221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46221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19530-2026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46221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19421-2026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46221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19363-2026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46221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40692-2022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44824</v>
      </c>
      <c r="E505" s="1" t="n">
        <v>46221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52083-2024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45608</v>
      </c>
      <c r="E506" s="1" t="n">
        <v>46221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46426-2024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46221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28571-2025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46221</v>
      </c>
      <c r="F508" t="inlineStr">
        <is>
          <t>VÄRMLANDS LÄN</t>
        </is>
      </c>
      <c r="G508" t="inlineStr">
        <is>
          <t>HAGFORS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46221</v>
      </c>
      <c r="F509" t="inlineStr">
        <is>
          <t>VÄRMLANDS LÄN</t>
        </is>
      </c>
      <c r="G509" t="inlineStr">
        <is>
          <t>HAGFORS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59552-2024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46221</v>
      </c>
      <c r="F510" t="inlineStr">
        <is>
          <t>VÄRMLANDS LÄN</t>
        </is>
      </c>
      <c r="G510" t="inlineStr">
        <is>
          <t>HAGFORS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6980-2022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46221</v>
      </c>
      <c r="F511" t="inlineStr">
        <is>
          <t>VÄRMLANDS LÄN</t>
        </is>
      </c>
      <c r="G511" t="inlineStr">
        <is>
          <t>HAGFORS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44596</v>
      </c>
      <c r="E512" s="1" t="n">
        <v>46221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50929-2023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46221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41092-2024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46221</v>
      </c>
      <c r="F514" t="inlineStr">
        <is>
          <t>VÄRMLANDS LÄN</t>
        </is>
      </c>
      <c r="G514" t="inlineStr">
        <is>
          <t>HAGFORS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54744-2024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46221</v>
      </c>
      <c r="F515" t="inlineStr">
        <is>
          <t>VÄRMLANDS LÄN</t>
        </is>
      </c>
      <c r="G515" t="inlineStr">
        <is>
          <t>HAGFORS</t>
        </is>
      </c>
      <c r="H515" t="inlineStr">
        <is>
          <t>Kyrkan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22031-2023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45069</v>
      </c>
      <c r="E516" s="1" t="n">
        <v>46221</v>
      </c>
      <c r="F516" t="inlineStr">
        <is>
          <t>VÄRMLANDS LÄN</t>
        </is>
      </c>
      <c r="G516" t="inlineStr">
        <is>
          <t>HAGFORS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60582-2024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46221</v>
      </c>
      <c r="F517" t="inlineStr">
        <is>
          <t>VÄRMLANDS LÄN</t>
        </is>
      </c>
      <c r="G517" t="inlineStr">
        <is>
          <t>HAGFORS</t>
        </is>
      </c>
      <c r="H517" t="inlineStr">
        <is>
          <t>Kyrkan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32688-2025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45838</v>
      </c>
      <c r="E518" s="1" t="n">
        <v>46221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31657-2024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45506</v>
      </c>
      <c r="E519" s="1" t="n">
        <v>46221</v>
      </c>
      <c r="F519" t="inlineStr">
        <is>
          <t>VÄRMLANDS LÄN</t>
        </is>
      </c>
      <c r="G519" t="inlineStr">
        <is>
          <t>HAGFORS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46221</v>
      </c>
      <c r="F520" t="inlineStr">
        <is>
          <t>VÄRMLANDS LÄN</t>
        </is>
      </c>
      <c r="G520" t="inlineStr">
        <is>
          <t>HAGFORS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60991-2024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46221</v>
      </c>
      <c r="F521" t="inlineStr">
        <is>
          <t>VÄRMLANDS LÄN</t>
        </is>
      </c>
      <c r="G521" t="inlineStr">
        <is>
          <t>HAGFORS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15886-2022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46221</v>
      </c>
      <c r="F522" t="inlineStr">
        <is>
          <t>VÄRMLANDS LÄN</t>
        </is>
      </c>
      <c r="G522" t="inlineStr">
        <is>
          <t>HAGFORS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46221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45659</v>
      </c>
      <c r="E524" s="1" t="n">
        <v>46221</v>
      </c>
      <c r="F524" t="inlineStr">
        <is>
          <t>VÄRMLANDS LÄN</t>
        </is>
      </c>
      <c r="G524" t="inlineStr">
        <is>
          <t>HAGFORS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31618-2025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45833</v>
      </c>
      <c r="E525" s="1" t="n">
        <v>46221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21724-2025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45783</v>
      </c>
      <c r="E526" s="1" t="n">
        <v>46221</v>
      </c>
      <c r="F526" t="inlineStr">
        <is>
          <t>VÄRMLANDS LÄN</t>
        </is>
      </c>
      <c r="G526" t="inlineStr">
        <is>
          <t>HAGFORS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20113-2023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45055</v>
      </c>
      <c r="E527" s="1" t="n">
        <v>46221</v>
      </c>
      <c r="F527" t="inlineStr">
        <is>
          <t>VÄRMLANDS LÄN</t>
        </is>
      </c>
      <c r="G527" t="inlineStr">
        <is>
          <t>HAGFORS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19993-2026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46221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26012-2026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46221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46221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22346-2025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45786</v>
      </c>
      <c r="E531" s="1" t="n">
        <v>46221</v>
      </c>
      <c r="F531" t="inlineStr">
        <is>
          <t>VÄRMLANDS LÄN</t>
        </is>
      </c>
      <c r="G531" t="inlineStr">
        <is>
          <t>HAGFORS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33187-2025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46221</v>
      </c>
      <c r="F532" t="inlineStr">
        <is>
          <t>VÄRMLANDS LÄN</t>
        </is>
      </c>
      <c r="G532" t="inlineStr">
        <is>
          <t>HAGFORS</t>
        </is>
      </c>
      <c r="I532" t="n">
        <v>18.2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26342-2026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46221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23047-2024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45450</v>
      </c>
      <c r="E534" s="1" t="n">
        <v>46221</v>
      </c>
      <c r="F534" t="inlineStr">
        <is>
          <t>VÄRMLANDS LÄN</t>
        </is>
      </c>
      <c r="G534" t="inlineStr">
        <is>
          <t>HAGFORS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54112-2023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46221</v>
      </c>
      <c r="F535" t="inlineStr">
        <is>
          <t>VÄRMLANDS LÄN</t>
        </is>
      </c>
      <c r="G535" t="inlineStr">
        <is>
          <t>HAGFORS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32627-2023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46221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9763-2025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45716</v>
      </c>
      <c r="E537" s="1" t="n">
        <v>46221</v>
      </c>
      <c r="F537" t="inlineStr">
        <is>
          <t>VÄRMLANDS LÄN</t>
        </is>
      </c>
      <c r="G537" t="inlineStr">
        <is>
          <t>HAGFORS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46221</v>
      </c>
      <c r="F538" t="inlineStr">
        <is>
          <t>VÄRMLANDS LÄN</t>
        </is>
      </c>
      <c r="G538" t="inlineStr">
        <is>
          <t>HAGFORS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45226</v>
      </c>
      <c r="E539" s="1" t="n">
        <v>46221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13094-2024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46221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8496-2022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46221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45679</v>
      </c>
      <c r="E542" s="1" t="n">
        <v>46221</v>
      </c>
      <c r="F542" t="inlineStr">
        <is>
          <t>VÄRMLANDS LÄN</t>
        </is>
      </c>
      <c r="G542" t="inlineStr">
        <is>
          <t>HAGFORS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26019-2026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46221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34572-2025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45847</v>
      </c>
      <c r="E544" s="1" t="n">
        <v>46221</v>
      </c>
      <c r="F544" t="inlineStr">
        <is>
          <t>VÄRMLANDS LÄN</t>
        </is>
      </c>
      <c r="G544" t="inlineStr">
        <is>
          <t>HAGFORS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63868-2025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46221</v>
      </c>
      <c r="F545" t="inlineStr">
        <is>
          <t>VÄRMLANDS LÄN</t>
        </is>
      </c>
      <c r="G545" t="inlineStr">
        <is>
          <t>HAGFORS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26265-2026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46221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46221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45484</v>
      </c>
      <c r="E548" s="1" t="n">
        <v>46221</v>
      </c>
      <c r="F548" t="inlineStr">
        <is>
          <t>VÄRMLANDS LÄN</t>
        </is>
      </c>
      <c r="G548" t="inlineStr">
        <is>
          <t>HAGFORS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12434-2022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44638</v>
      </c>
      <c r="E549" s="1" t="n">
        <v>46221</v>
      </c>
      <c r="F549" t="inlineStr">
        <is>
          <t>VÄRMLANDS LÄN</t>
        </is>
      </c>
      <c r="G549" t="inlineStr">
        <is>
          <t>HAGFORS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46139</v>
      </c>
      <c r="E550" s="1" t="n">
        <v>46221</v>
      </c>
      <c r="F550" t="inlineStr">
        <is>
          <t>VÄRMLANDS LÄN</t>
        </is>
      </c>
      <c r="G550" t="inlineStr">
        <is>
          <t>HAGFORS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36030-2023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45149</v>
      </c>
      <c r="E551" s="1" t="n">
        <v>46221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32690-2025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46221</v>
      </c>
      <c r="F552" t="inlineStr">
        <is>
          <t>VÄRMLANDS LÄN</t>
        </is>
      </c>
      <c r="G552" t="inlineStr">
        <is>
          <t>HAGFORS</t>
        </is>
      </c>
      <c r="H552" t="inlineStr">
        <is>
          <t>Kyrkan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23179-2025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46221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45703</v>
      </c>
      <c r="E554" s="1" t="n">
        <v>46221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15.9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45873</v>
      </c>
      <c r="E555" s="1" t="n">
        <v>46221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35886-2023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46221</v>
      </c>
      <c r="F556" t="inlineStr">
        <is>
          <t>VÄRMLANDS LÄN</t>
        </is>
      </c>
      <c r="G556" t="inlineStr">
        <is>
          <t>HAGFORS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29855-2023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46221</v>
      </c>
      <c r="F557" t="inlineStr">
        <is>
          <t>VÄRMLANDS LÄN</t>
        </is>
      </c>
      <c r="G557" t="inlineStr">
        <is>
          <t>HAGFORS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18699-2022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44687</v>
      </c>
      <c r="E558" s="1" t="n">
        <v>46221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46221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20594-2026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46221</v>
      </c>
      <c r="F560" t="inlineStr">
        <is>
          <t>VÄRMLANDS LÄN</t>
        </is>
      </c>
      <c r="G560" t="inlineStr">
        <is>
          <t>HAGFORS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24000-2025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46221</v>
      </c>
      <c r="F561" t="inlineStr">
        <is>
          <t>VÄRMLANDS LÄN</t>
        </is>
      </c>
      <c r="G561" t="inlineStr">
        <is>
          <t>HAGFORS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20494-2026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46221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26357-2026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46221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33.4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46221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26615-2024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46221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26628-2024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46221</v>
      </c>
      <c r="F566" t="inlineStr">
        <is>
          <t>VÄRMLANDS LÄN</t>
        </is>
      </c>
      <c r="G566" t="inlineStr">
        <is>
          <t>HAGFORS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46221</v>
      </c>
      <c r="F567" t="inlineStr">
        <is>
          <t>VÄRMLANDS LÄN</t>
        </is>
      </c>
      <c r="G567" t="inlineStr">
        <is>
          <t>HAGFORS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12778-2025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45733</v>
      </c>
      <c r="E568" s="1" t="n">
        <v>46221</v>
      </c>
      <c r="F568" t="inlineStr">
        <is>
          <t>VÄRMLANDS LÄN</t>
        </is>
      </c>
      <c r="G568" t="inlineStr">
        <is>
          <t>HAGFORS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34281-2025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46221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20756-2026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46221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20759-2026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46221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61265-2022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44915</v>
      </c>
      <c r="E572" s="1" t="n">
        <v>46221</v>
      </c>
      <c r="F572" t="inlineStr">
        <is>
          <t>VÄRMLANDS LÄN</t>
        </is>
      </c>
      <c r="G572" t="inlineStr">
        <is>
          <t>HAGFORS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68252-2021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44526</v>
      </c>
      <c r="E573" s="1" t="n">
        <v>46221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40835-2023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45172</v>
      </c>
      <c r="E574" s="1" t="n">
        <v>46221</v>
      </c>
      <c r="F574" t="inlineStr">
        <is>
          <t>VÄRMLANDS LÄN</t>
        </is>
      </c>
      <c r="G574" t="inlineStr">
        <is>
          <t>HAGFORS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52224-2023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45224</v>
      </c>
      <c r="E575" s="1" t="n">
        <v>46221</v>
      </c>
      <c r="F575" t="inlineStr">
        <is>
          <t>VÄRMLANDS LÄN</t>
        </is>
      </c>
      <c r="G575" t="inlineStr">
        <is>
          <t>HAGFORS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20752-2026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46141</v>
      </c>
      <c r="E576" s="1" t="n">
        <v>46221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46221</v>
      </c>
      <c r="F577" t="inlineStr">
        <is>
          <t>VÄRMLANDS LÄN</t>
        </is>
      </c>
      <c r="G577" t="inlineStr">
        <is>
          <t>HAGFORS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9474-2025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46221</v>
      </c>
      <c r="F578" t="inlineStr">
        <is>
          <t>VÄRMLANDS LÄN</t>
        </is>
      </c>
      <c r="G578" t="inlineStr">
        <is>
          <t>HAGFORS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20880-2026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46142</v>
      </c>
      <c r="E579" s="1" t="n">
        <v>46221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26612-2026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46221</v>
      </c>
      <c r="F580" t="inlineStr">
        <is>
          <t>VÄRMLANDS LÄN</t>
        </is>
      </c>
      <c r="G580" t="inlineStr">
        <is>
          <t>HAGFORS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46221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18907-2025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46221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19391-2025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45769</v>
      </c>
      <c r="E583" s="1" t="n">
        <v>46221</v>
      </c>
      <c r="F583" t="inlineStr">
        <is>
          <t>VÄRMLANDS LÄN</t>
        </is>
      </c>
      <c r="G583" t="inlineStr">
        <is>
          <t>HAGFORS</t>
        </is>
      </c>
      <c r="I583" t="n">
        <v>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7087-2026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46221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30180-2023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46221</v>
      </c>
      <c r="F585" t="inlineStr">
        <is>
          <t>VÄRMLANDS LÄN</t>
        </is>
      </c>
      <c r="G585" t="inlineStr">
        <is>
          <t>HAGFORS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26660-2026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46221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40601-2021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44420</v>
      </c>
      <c r="E587" s="1" t="n">
        <v>46221</v>
      </c>
      <c r="F587" t="inlineStr">
        <is>
          <t>VÄRMLANDS LÄN</t>
        </is>
      </c>
      <c r="G587" t="inlineStr">
        <is>
          <t>HAGFORS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20911-2026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46221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20870-2026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46221</v>
      </c>
      <c r="F589" t="inlineStr">
        <is>
          <t>VÄRMLANDS LÄN</t>
        </is>
      </c>
      <c r="G589" t="inlineStr">
        <is>
          <t>HAGFORS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20706-2026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46221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61232-2024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45645</v>
      </c>
      <c r="E591" s="1" t="n">
        <v>46221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46221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64155-2023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46221</v>
      </c>
      <c r="F593" t="inlineStr">
        <is>
          <t>VÄRMLANDS LÄN</t>
        </is>
      </c>
      <c r="G593" t="inlineStr">
        <is>
          <t>HAGFORS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27306-2026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46221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21203-2026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46221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27280-2026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46221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26864-2026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46221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27210-2026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46221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46221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26858-2026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46221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26859-2026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46221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27268-2026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46221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27394-2026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46221</v>
      </c>
      <c r="F603" t="inlineStr">
        <is>
          <t>VÄRMLANDS LÄN</t>
        </is>
      </c>
      <c r="G603" t="inlineStr">
        <is>
          <t>HAGFORS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46221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58437-2023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46221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46221</v>
      </c>
      <c r="F606" t="inlineStr">
        <is>
          <t>VÄRMLANDS LÄN</t>
        </is>
      </c>
      <c r="G606" t="inlineStr">
        <is>
          <t>HAGFORS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45725</v>
      </c>
      <c r="E607" s="1" t="n">
        <v>46221</v>
      </c>
      <c r="F607" t="inlineStr">
        <is>
          <t>VÄRMLANDS LÄN</t>
        </is>
      </c>
      <c r="G607" t="inlineStr">
        <is>
          <t>HAGFORS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30710-2022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44763</v>
      </c>
      <c r="E608" s="1" t="n">
        <v>46221</v>
      </c>
      <c r="F608" t="inlineStr">
        <is>
          <t>VÄRMLANDS LÄN</t>
        </is>
      </c>
      <c r="G608" t="inlineStr">
        <is>
          <t>HAGFORS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46221</v>
      </c>
      <c r="F609" t="inlineStr">
        <is>
          <t>VÄRMLANDS LÄN</t>
        </is>
      </c>
      <c r="G609" t="inlineStr">
        <is>
          <t>HAGFORS</t>
        </is>
      </c>
      <c r="H609" t="inlineStr">
        <is>
          <t>Kyrkan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21879-2026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46221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21776-2026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46221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27929-2026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46191</v>
      </c>
      <c r="E612" s="1" t="n">
        <v>46221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46149</v>
      </c>
      <c r="E613" s="1" t="n">
        <v>46221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49585-2023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46221</v>
      </c>
      <c r="F614" t="inlineStr">
        <is>
          <t>VÄRMLANDS LÄN</t>
        </is>
      </c>
      <c r="G614" t="inlineStr">
        <is>
          <t>HAGFORS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25349-2023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45087</v>
      </c>
      <c r="E615" s="1" t="n">
        <v>46221</v>
      </c>
      <c r="F615" t="inlineStr">
        <is>
          <t>VÄRMLANDS LÄN</t>
        </is>
      </c>
      <c r="G615" t="inlineStr">
        <is>
          <t>HAGFORS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61304-2023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46221</v>
      </c>
      <c r="F616" t="inlineStr">
        <is>
          <t>VÄRMLANDS LÄN</t>
        </is>
      </c>
      <c r="G616" t="inlineStr">
        <is>
          <t>HAGFORS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21762-2026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46150</v>
      </c>
      <c r="E617" s="1" t="n">
        <v>46221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46221</v>
      </c>
      <c r="F618" t="inlineStr">
        <is>
          <t>VÄRMLANDS LÄN</t>
        </is>
      </c>
      <c r="G618" t="inlineStr">
        <is>
          <t>HAGFORS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27799-2026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46191</v>
      </c>
      <c r="E619" s="1" t="n">
        <v>46221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27855-2026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46191</v>
      </c>
      <c r="E620" s="1" t="n">
        <v>46221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30327-2022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44760</v>
      </c>
      <c r="E621" s="1" t="n">
        <v>46221</v>
      </c>
      <c r="F621" t="inlineStr">
        <is>
          <t>VÄRMLANDS LÄN</t>
        </is>
      </c>
      <c r="G621" t="inlineStr">
        <is>
          <t>HAGFORS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54929-2024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45618</v>
      </c>
      <c r="E622" s="1" t="n">
        <v>46221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49753-2023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45212</v>
      </c>
      <c r="E623" s="1" t="n">
        <v>46221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31660-2022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44776</v>
      </c>
      <c r="E624" s="1" t="n">
        <v>46221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56466-2024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45625</v>
      </c>
      <c r="E625" s="1" t="n">
        <v>46221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28185-2026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46221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45673</v>
      </c>
      <c r="E627" s="1" t="n">
        <v>46221</v>
      </c>
      <c r="F627" t="inlineStr">
        <is>
          <t>VÄRMLANDS LÄN</t>
        </is>
      </c>
      <c r="G627" t="inlineStr">
        <is>
          <t>HAGFORS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28087-2024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46221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36206-2024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46221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8129-2024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45351</v>
      </c>
      <c r="E630" s="1" t="n">
        <v>46221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31812-2024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46221</v>
      </c>
      <c r="F631" t="inlineStr">
        <is>
          <t>VÄRMLANDS LÄN</t>
        </is>
      </c>
      <c r="G631" t="inlineStr">
        <is>
          <t>HAGFORS</t>
        </is>
      </c>
      <c r="H631" t="inlineStr">
        <is>
          <t>Kommuner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46221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28788-2026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46221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9.699999999999999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60178-2023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45258</v>
      </c>
      <c r="E634" s="1" t="n">
        <v>46221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22667-2026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46221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22572-2026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46221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22516-2026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46221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15270-2024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46221</v>
      </c>
      <c r="F638" t="inlineStr">
        <is>
          <t>VÄRMLANDS LÄN</t>
        </is>
      </c>
      <c r="G638" t="inlineStr">
        <is>
          <t>HAGFORS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28625-2026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46221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14850-2025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45743</v>
      </c>
      <c r="E640" s="1" t="n">
        <v>46221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46221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28720-2026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46221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8304-2022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44610</v>
      </c>
      <c r="E643" s="1" t="n">
        <v>46221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55447-2022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46221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22588-2026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46221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22648-2026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46221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4260-2023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44953</v>
      </c>
      <c r="E647" s="1" t="n">
        <v>46221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22556-2026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46221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44951</v>
      </c>
      <c r="E649" s="1" t="n">
        <v>46221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22917-2026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46160</v>
      </c>
      <c r="E650" s="1" t="n">
        <v>46221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13850-2022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44649</v>
      </c>
      <c r="E651" s="1" t="n">
        <v>46221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29103-2026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46200</v>
      </c>
      <c r="E652" s="1" t="n">
        <v>46221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29102-2026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46200</v>
      </c>
      <c r="E653" s="1" t="n">
        <v>46221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61902-2021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46221</v>
      </c>
      <c r="F654" t="inlineStr">
        <is>
          <t>VÄRMLANDS LÄN</t>
        </is>
      </c>
      <c r="G654" t="inlineStr">
        <is>
          <t>HAGFORS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58307-2023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46221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11104-2022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44628</v>
      </c>
      <c r="E656" s="1" t="n">
        <v>46221</v>
      </c>
      <c r="F656" t="inlineStr">
        <is>
          <t>VÄRMLANDS LÄN</t>
        </is>
      </c>
      <c r="G656" t="inlineStr">
        <is>
          <t>HAGFORS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39396-2023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45166</v>
      </c>
      <c r="E657" s="1" t="n">
        <v>46221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22911-2026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46221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22925-2026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46221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26740-2026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46221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60664-2023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45259</v>
      </c>
      <c r="E661" s="1" t="n">
        <v>46221</v>
      </c>
      <c r="F661" t="inlineStr">
        <is>
          <t>VÄRMLANDS LÄN</t>
        </is>
      </c>
      <c r="G661" t="inlineStr">
        <is>
          <t>HAGFORS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29580-2026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46221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29438-2026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46221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8820-2024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45356</v>
      </c>
      <c r="E664" s="1" t="n">
        <v>46221</v>
      </c>
      <c r="F664" t="inlineStr">
        <is>
          <t>VÄRMLANDS LÄN</t>
        </is>
      </c>
      <c r="G664" t="inlineStr">
        <is>
          <t>HAGFORS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29428-2026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46221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23129-2026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46161</v>
      </c>
      <c r="E666" s="1" t="n">
        <v>46221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8.699999999999999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46221</v>
      </c>
      <c r="F667" t="inlineStr">
        <is>
          <t>VÄRMLANDS LÄN</t>
        </is>
      </c>
      <c r="G667" t="inlineStr">
        <is>
          <t>HAGFORS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29400-2026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46221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44566</v>
      </c>
      <c r="E669" s="1" t="n">
        <v>46221</v>
      </c>
      <c r="F669" t="inlineStr">
        <is>
          <t>VÄRMLANDS LÄN</t>
        </is>
      </c>
      <c r="G669" t="inlineStr">
        <is>
          <t>HAGFORS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29422-2026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46221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745-2026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46221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59048-2022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44903</v>
      </c>
      <c r="E672" s="1" t="n">
        <v>46221</v>
      </c>
      <c r="F672" t="inlineStr">
        <is>
          <t>VÄRMLANDS LÄN</t>
        </is>
      </c>
      <c r="G672" t="inlineStr">
        <is>
          <t>HAGFORS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46221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29427-2026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46221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46221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60221-2023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45258</v>
      </c>
      <c r="E676" s="1" t="n">
        <v>46221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29430-2026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46203</v>
      </c>
      <c r="E677" s="1" t="n">
        <v>46221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34541-2024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45525</v>
      </c>
      <c r="E678" s="1" t="n">
        <v>46221</v>
      </c>
      <c r="F678" t="inlineStr">
        <is>
          <t>VÄRMLANDS LÄN</t>
        </is>
      </c>
      <c r="G678" t="inlineStr">
        <is>
          <t>HAGFORS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35668-2023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45147</v>
      </c>
      <c r="E679" s="1" t="n">
        <v>46221</v>
      </c>
      <c r="F679" t="inlineStr">
        <is>
          <t>VÄRMLANDS LÄN</t>
        </is>
      </c>
      <c r="G679" t="inlineStr">
        <is>
          <t>HAGFORS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46190-2024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45581</v>
      </c>
      <c r="E680" s="1" t="n">
        <v>46221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23525-2026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46221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2971-2025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45678</v>
      </c>
      <c r="E682" s="1" t="n">
        <v>46221</v>
      </c>
      <c r="F682" t="inlineStr">
        <is>
          <t>VÄRMLANDS LÄN</t>
        </is>
      </c>
      <c r="G682" t="inlineStr">
        <is>
          <t>HAGFORS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23549-2026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46221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23728-2026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46164</v>
      </c>
      <c r="E684" s="1" t="n">
        <v>46221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26859-2024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45470</v>
      </c>
      <c r="E685" s="1" t="n">
        <v>46221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11367-2025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45726</v>
      </c>
      <c r="E686" s="1" t="n">
        <v>46221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46208-2023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45196</v>
      </c>
      <c r="E687" s="1" t="n">
        <v>46221</v>
      </c>
      <c r="F687" t="inlineStr">
        <is>
          <t>VÄRMLANDS LÄN</t>
        </is>
      </c>
      <c r="G687" t="inlineStr">
        <is>
          <t>HAGFORS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52691-2025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45956</v>
      </c>
      <c r="E688" s="1" t="n">
        <v>46221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28.2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30141-2026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46221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46221</v>
      </c>
      <c r="F690" t="inlineStr">
        <is>
          <t>VÄRMLANDS LÄN</t>
        </is>
      </c>
      <c r="G690" t="inlineStr">
        <is>
          <t>HAGFORS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52016-2025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45952</v>
      </c>
      <c r="E691" s="1" t="n">
        <v>46221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31087-2024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45502</v>
      </c>
      <c r="E692" s="1" t="n">
        <v>46221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29373-2023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46221</v>
      </c>
      <c r="F693" t="inlineStr">
        <is>
          <t>VÄRMLANDS LÄN</t>
        </is>
      </c>
      <c r="G693" t="inlineStr">
        <is>
          <t>HAGFORS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23678-2026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46221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4279-2024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46221</v>
      </c>
      <c r="F695" t="inlineStr">
        <is>
          <t>VÄRMLANDS LÄN</t>
        </is>
      </c>
      <c r="G695" t="inlineStr">
        <is>
          <t>HAGFORS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51015-2025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45947</v>
      </c>
      <c r="E696" s="1" t="n">
        <v>46221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36494-2025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45869</v>
      </c>
      <c r="E697" s="1" t="n">
        <v>46221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52378-2021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44465</v>
      </c>
      <c r="E698" s="1" t="n">
        <v>46221</v>
      </c>
      <c r="F698" t="inlineStr">
        <is>
          <t>VÄRMLANDS LÄN</t>
        </is>
      </c>
      <c r="G698" t="inlineStr">
        <is>
          <t>HAGFORS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46221</v>
      </c>
      <c r="F699" t="inlineStr">
        <is>
          <t>VÄRMLANDS LÄN</t>
        </is>
      </c>
      <c r="G699" t="inlineStr">
        <is>
          <t>HAGFORS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46221</v>
      </c>
      <c r="F700" t="inlineStr">
        <is>
          <t>VÄRMLANDS LÄN</t>
        </is>
      </c>
      <c r="G700" t="inlineStr">
        <is>
          <t>HAGFORS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30436-2026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46221</v>
      </c>
      <c r="F701" t="inlineStr">
        <is>
          <t>VÄRMLANDS LÄN</t>
        </is>
      </c>
      <c r="G701" t="inlineStr">
        <is>
          <t>HAGFORS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30437-2026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46221</v>
      </c>
      <c r="F702" t="inlineStr">
        <is>
          <t>VÄRMLANDS LÄN</t>
        </is>
      </c>
      <c r="G702" t="inlineStr">
        <is>
          <t>HAGFORS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30635-2025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46221</v>
      </c>
      <c r="F703" t="inlineStr">
        <is>
          <t>VÄRMLANDS LÄN</t>
        </is>
      </c>
      <c r="G703" t="inlineStr">
        <is>
          <t>HAGFORS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3426-2023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44949</v>
      </c>
      <c r="E704" s="1" t="n">
        <v>46221</v>
      </c>
      <c r="F704" t="inlineStr">
        <is>
          <t>VÄRMLANDS LÄN</t>
        </is>
      </c>
      <c r="G704" t="inlineStr">
        <is>
          <t>HAGFORS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42223-2022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44830</v>
      </c>
      <c r="E705" s="1" t="n">
        <v>46221</v>
      </c>
      <c r="F705" t="inlineStr">
        <is>
          <t>VÄRMLANDS LÄN</t>
        </is>
      </c>
      <c r="G705" t="inlineStr">
        <is>
          <t>HAGFORS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17584-2023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45036</v>
      </c>
      <c r="E706" s="1" t="n">
        <v>46221</v>
      </c>
      <c r="F706" t="inlineStr">
        <is>
          <t>VÄRMLANDS LÄN</t>
        </is>
      </c>
      <c r="G706" t="inlineStr">
        <is>
          <t>HAGFORS</t>
        </is>
      </c>
      <c r="H706" t="inlineStr">
        <is>
          <t>Kommuner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30433-2026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46221</v>
      </c>
      <c r="F707" t="inlineStr">
        <is>
          <t>VÄRMLANDS LÄN</t>
        </is>
      </c>
      <c r="G707" t="inlineStr">
        <is>
          <t>HAGFORS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29950-2026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46205</v>
      </c>
      <c r="E708" s="1" t="n">
        <v>46221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24240-2026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46221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24238-2026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46221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30629-2026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46211</v>
      </c>
      <c r="E711" s="1" t="n">
        <v>46221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32696-2023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46221</v>
      </c>
      <c r="F712" t="inlineStr">
        <is>
          <t>VÄRMLANDS LÄN</t>
        </is>
      </c>
      <c r="G712" t="inlineStr">
        <is>
          <t>HAGFORS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58799-2022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44903</v>
      </c>
      <c r="E713" s="1" t="n">
        <v>46221</v>
      </c>
      <c r="F713" t="inlineStr">
        <is>
          <t>VÄRMLANDS LÄN</t>
        </is>
      </c>
      <c r="G713" t="inlineStr">
        <is>
          <t>HAGFORS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59092-2022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46221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20466-2023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45057</v>
      </c>
      <c r="E715" s="1" t="n">
        <v>46221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32031-2024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45510</v>
      </c>
      <c r="E716" s="1" t="n">
        <v>46221</v>
      </c>
      <c r="F716" t="inlineStr">
        <is>
          <t>VÄRMLANDS LÄN</t>
        </is>
      </c>
      <c r="G716" t="inlineStr">
        <is>
          <t>HAGFORS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53192-2022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46221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24625-2026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46171</v>
      </c>
      <c r="E718" s="1" t="n">
        <v>46221</v>
      </c>
      <c r="F718" t="inlineStr">
        <is>
          <t>VÄRMLANDS LÄN</t>
        </is>
      </c>
      <c r="G718" t="inlineStr">
        <is>
          <t>HAGFORS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46221</v>
      </c>
      <c r="F719" t="inlineStr">
        <is>
          <t>VÄRMLANDS LÄN</t>
        </is>
      </c>
      <c r="G719" t="inlineStr">
        <is>
          <t>HAGFORS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18014-2024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45419</v>
      </c>
      <c r="E720" s="1" t="n">
        <v>46221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24699-2026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46171</v>
      </c>
      <c r="E721" s="1" t="n">
        <v>46221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30914-2026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46221</v>
      </c>
      <c r="F722" t="inlineStr">
        <is>
          <t>VÄRMLANDS LÄN</t>
        </is>
      </c>
      <c r="G722" t="inlineStr">
        <is>
          <t>HAGFORS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24713-2026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46221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24778-2026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46171</v>
      </c>
      <c r="E724" s="1" t="n">
        <v>46221</v>
      </c>
      <c r="F724" t="inlineStr">
        <is>
          <t>VÄRMLANDS LÄN</t>
        </is>
      </c>
      <c r="G724" t="inlineStr">
        <is>
          <t>HAGFORS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24761-2026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46171</v>
      </c>
      <c r="E725" s="1" t="n">
        <v>46221</v>
      </c>
      <c r="F725" t="inlineStr">
        <is>
          <t>VÄRMLANDS LÄN</t>
        </is>
      </c>
      <c r="G725" t="inlineStr">
        <is>
          <t>HAGFORS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46221</v>
      </c>
      <c r="F726" t="inlineStr">
        <is>
          <t>VÄRMLANDS LÄN</t>
        </is>
      </c>
      <c r="G726" t="inlineStr">
        <is>
          <t>HAGFORS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36013-2023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46221</v>
      </c>
      <c r="F727" t="inlineStr">
        <is>
          <t>VÄRMLANDS LÄN</t>
        </is>
      </c>
      <c r="G727" t="inlineStr">
        <is>
          <t>HAGFORS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56895-2023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46221</v>
      </c>
      <c r="F728" t="inlineStr">
        <is>
          <t>VÄRMLANDS LÄN</t>
        </is>
      </c>
      <c r="G728" t="inlineStr">
        <is>
          <t>HAGFORS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35664-2023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45147</v>
      </c>
      <c r="E729" s="1" t="n">
        <v>46221</v>
      </c>
      <c r="F729" t="inlineStr">
        <is>
          <t>VÄRMLANDS LÄN</t>
        </is>
      </c>
      <c r="G729" t="inlineStr">
        <is>
          <t>HAGFORS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24628-2026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46171</v>
      </c>
      <c r="E730" s="1" t="n">
        <v>46221</v>
      </c>
      <c r="F730" t="inlineStr">
        <is>
          <t>VÄRMLANDS LÄN</t>
        </is>
      </c>
      <c r="G730" t="inlineStr">
        <is>
          <t>HAGFORS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24626-2026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46171</v>
      </c>
      <c r="E731" s="1" t="n">
        <v>46221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24677-2026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46221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45699</v>
      </c>
      <c r="E733" s="1" t="n">
        <v>46221</v>
      </c>
      <c r="F733" t="inlineStr">
        <is>
          <t>VÄRMLANDS LÄN</t>
        </is>
      </c>
      <c r="G733" t="inlineStr">
        <is>
          <t>HAGFORS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21309-2023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45062</v>
      </c>
      <c r="E734" s="1" t="n">
        <v>46221</v>
      </c>
      <c r="F734" t="inlineStr">
        <is>
          <t>VÄRMLANDS LÄN</t>
        </is>
      </c>
      <c r="G734" t="inlineStr">
        <is>
          <t>HAGFORS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24862-2026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46174</v>
      </c>
      <c r="E735" s="1" t="n">
        <v>46221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4748-2024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46221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25589-2026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46177</v>
      </c>
      <c r="E737" s="1" t="n">
        <v>46221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25560-2026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46221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45386</v>
      </c>
      <c r="E739" s="1" t="n">
        <v>46221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48276-2024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46221</v>
      </c>
      <c r="F740" t="inlineStr">
        <is>
          <t>VÄRMLANDS LÄN</t>
        </is>
      </c>
      <c r="G740" t="inlineStr">
        <is>
          <t>HAGFORS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25276-2026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46221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25583-2026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46221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57159-2024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45629</v>
      </c>
      <c r="E743" s="1" t="n">
        <v>46221</v>
      </c>
      <c r="F743" t="inlineStr">
        <is>
          <t>VÄRMLANDS LÄN</t>
        </is>
      </c>
      <c r="G743" t="inlineStr">
        <is>
          <t>HAGFORS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33146-2024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45518</v>
      </c>
      <c r="E744" s="1" t="n">
        <v>46221</v>
      </c>
      <c r="F744" t="inlineStr">
        <is>
          <t>VÄRMLANDS LÄN</t>
        </is>
      </c>
      <c r="G744" t="inlineStr">
        <is>
          <t>HAGFORS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51346-2022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44869</v>
      </c>
      <c r="E745" s="1" t="n">
        <v>46221</v>
      </c>
      <c r="F745" t="inlineStr">
        <is>
          <t>VÄRMLANDS LÄN</t>
        </is>
      </c>
      <c r="G745" t="inlineStr">
        <is>
          <t>HAGFORS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25890-2026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46221</v>
      </c>
      <c r="F746" t="inlineStr">
        <is>
          <t>VÄRMLANDS LÄN</t>
        </is>
      </c>
      <c r="G746" t="inlineStr">
        <is>
          <t>HAGFORS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32033-2024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45510</v>
      </c>
      <c r="E747" s="1" t="n">
        <v>46221</v>
      </c>
      <c r="F747" t="inlineStr">
        <is>
          <t>VÄRMLANDS LÄN</t>
        </is>
      </c>
      <c r="G747" t="inlineStr">
        <is>
          <t>HAGFORS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42593-2021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44428</v>
      </c>
      <c r="E748" s="1" t="n">
        <v>46221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56888-2023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45244</v>
      </c>
      <c r="E749" s="1" t="n">
        <v>46221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9288-2025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45714</v>
      </c>
      <c r="E750" s="1" t="n">
        <v>46221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46221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46221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9.300000000000001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35775-2024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45532</v>
      </c>
      <c r="E753" s="1" t="n">
        <v>46221</v>
      </c>
      <c r="F753" t="inlineStr">
        <is>
          <t>VÄRMLANDS LÄN</t>
        </is>
      </c>
      <c r="G753" t="inlineStr">
        <is>
          <t>HAGFORS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45238-2024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45575</v>
      </c>
      <c r="E754" s="1" t="n">
        <v>46221</v>
      </c>
      <c r="F754" t="inlineStr">
        <is>
          <t>VÄRMLANDS LÄN</t>
        </is>
      </c>
      <c r="G754" t="inlineStr">
        <is>
          <t>HAGFORS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32149-2023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45107</v>
      </c>
      <c r="E755" s="1" t="n">
        <v>46221</v>
      </c>
      <c r="F755" t="inlineStr">
        <is>
          <t>VÄRMLANDS LÄN</t>
        </is>
      </c>
      <c r="G755" t="inlineStr">
        <is>
          <t>HAGFORS</t>
        </is>
      </c>
      <c r="I755" t="n">
        <v>9.1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26777-2023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46221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56165-2024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46221</v>
      </c>
      <c r="F757" t="inlineStr">
        <is>
          <t>VÄRMLANDS LÄN</t>
        </is>
      </c>
      <c r="G757" t="inlineStr">
        <is>
          <t>HAGFORS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3980-2025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45684</v>
      </c>
      <c r="E758" s="1" t="n">
        <v>46221</v>
      </c>
      <c r="F758" t="inlineStr">
        <is>
          <t>VÄRMLANDS LÄN</t>
        </is>
      </c>
      <c r="G758" t="inlineStr">
        <is>
          <t>HAGFORS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45684</v>
      </c>
      <c r="E759" s="1" t="n">
        <v>46221</v>
      </c>
      <c r="F759" t="inlineStr">
        <is>
          <t>VÄRMLANDS LÄN</t>
        </is>
      </c>
      <c r="G759" t="inlineStr">
        <is>
          <t>HAGFORS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19894-2024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45433</v>
      </c>
      <c r="E760" s="1" t="n">
        <v>46221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45335</v>
      </c>
      <c r="E761" s="1" t="n">
        <v>46221</v>
      </c>
      <c r="F761" t="inlineStr">
        <is>
          <t>VÄRMLANDS LÄN</t>
        </is>
      </c>
      <c r="G761" t="inlineStr">
        <is>
          <t>HAGFORS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4047-2024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45323</v>
      </c>
      <c r="E762" s="1" t="n">
        <v>46221</v>
      </c>
      <c r="F762" t="inlineStr">
        <is>
          <t>VÄRMLANDS LÄN</t>
        </is>
      </c>
      <c r="G762" t="inlineStr">
        <is>
          <t>HAGFORS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36228-2024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45534</v>
      </c>
      <c r="E763" s="1" t="n">
        <v>46221</v>
      </c>
      <c r="F763" t="inlineStr">
        <is>
          <t>VÄRMLANDS LÄN</t>
        </is>
      </c>
      <c r="G763" t="inlineStr">
        <is>
          <t>HAGFORS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42173-2024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46221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42178-2024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46221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42235-2024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46221</v>
      </c>
      <c r="F766" t="inlineStr">
        <is>
          <t>VÄRMLANDS LÄN</t>
        </is>
      </c>
      <c r="G766" t="inlineStr">
        <is>
          <t>HAGFORS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46221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47425-2024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45587</v>
      </c>
      <c r="E768" s="1" t="n">
        <v>46221</v>
      </c>
      <c r="F768" t="inlineStr">
        <is>
          <t>VÄRMLANDS LÄN</t>
        </is>
      </c>
      <c r="G768" t="inlineStr">
        <is>
          <t>HAGFORS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21729-2025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46221</v>
      </c>
      <c r="F769" t="inlineStr">
        <is>
          <t>VÄRMLANDS LÄN</t>
        </is>
      </c>
      <c r="G769" t="inlineStr">
        <is>
          <t>HAGFORS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45460</v>
      </c>
      <c r="E770" s="1" t="n">
        <v>46221</v>
      </c>
      <c r="F770" t="inlineStr">
        <is>
          <t>VÄRMLANDS LÄN</t>
        </is>
      </c>
      <c r="G770" t="inlineStr">
        <is>
          <t>HAGFORS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40332-2023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45169</v>
      </c>
      <c r="E771" s="1" t="n">
        <v>46221</v>
      </c>
      <c r="F771" t="inlineStr">
        <is>
          <t>VÄRMLANDS LÄN</t>
        </is>
      </c>
      <c r="G771" t="inlineStr">
        <is>
          <t>HAGFORS</t>
        </is>
      </c>
      <c r="I771" t="n">
        <v>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21723-2025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46221</v>
      </c>
      <c r="F772" t="inlineStr">
        <is>
          <t>VÄRMLANDS LÄN</t>
        </is>
      </c>
      <c r="G772" t="inlineStr">
        <is>
          <t>HAGFORS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22231-2025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45785</v>
      </c>
      <c r="E773" s="1" t="n">
        <v>46221</v>
      </c>
      <c r="F773" t="inlineStr">
        <is>
          <t>VÄRMLANDS LÄN</t>
        </is>
      </c>
      <c r="G773" t="inlineStr">
        <is>
          <t>HAGFORS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22461-2025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46221</v>
      </c>
      <c r="F774" t="inlineStr">
        <is>
          <t>VÄRMLANDS LÄN</t>
        </is>
      </c>
      <c r="G774" t="inlineStr">
        <is>
          <t>HAGFORS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17833-2022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44683</v>
      </c>
      <c r="E775" s="1" t="n">
        <v>46221</v>
      </c>
      <c r="F775" t="inlineStr">
        <is>
          <t>VÄRMLANDS LÄN</t>
        </is>
      </c>
      <c r="G775" t="inlineStr">
        <is>
          <t>HAGFORS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22917-2025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46221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45790</v>
      </c>
      <c r="E777" s="1" t="n">
        <v>46221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22799-2025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46221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23268-2025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46221</v>
      </c>
      <c r="F779" t="inlineStr">
        <is>
          <t>VÄRMLANDS LÄN</t>
        </is>
      </c>
      <c r="G779" t="inlineStr">
        <is>
          <t>HAGFORS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23556-2025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45792</v>
      </c>
      <c r="E780" s="1" t="n">
        <v>46221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23525-2025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45792</v>
      </c>
      <c r="E781" s="1" t="n">
        <v>46221</v>
      </c>
      <c r="F781" t="inlineStr">
        <is>
          <t>VÄRMLANDS LÄN</t>
        </is>
      </c>
      <c r="G781" t="inlineStr">
        <is>
          <t>HAGFORS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38239-2024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45545</v>
      </c>
      <c r="E782" s="1" t="n">
        <v>46221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54008-2024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46221</v>
      </c>
      <c r="F783" t="inlineStr">
        <is>
          <t>VÄRMLANDS LÄN</t>
        </is>
      </c>
      <c r="G783" t="inlineStr">
        <is>
          <t>HAGFORS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55950-2024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46221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23674-2025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46221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15643-2024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45404</v>
      </c>
      <c r="E786" s="1" t="n">
        <v>46221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46221</v>
      </c>
      <c r="F787" t="inlineStr">
        <is>
          <t>VÄRMLANDS LÄN</t>
        </is>
      </c>
      <c r="G787" t="inlineStr">
        <is>
          <t>HAGFORS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24435-2025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45797</v>
      </c>
      <c r="E788" s="1" t="n">
        <v>46221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16798-2025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46221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24434-2025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46221</v>
      </c>
      <c r="F790" t="inlineStr">
        <is>
          <t>VÄRMLANDS LÄN</t>
        </is>
      </c>
      <c r="G790" t="inlineStr">
        <is>
          <t>HAGFORS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13524-2025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46221</v>
      </c>
      <c r="F791" t="inlineStr">
        <is>
          <t>VÄRMLANDS LÄN</t>
        </is>
      </c>
      <c r="G791" t="inlineStr">
        <is>
          <t>HAGFORS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24438-2025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46221</v>
      </c>
      <c r="F792" t="inlineStr">
        <is>
          <t>VÄRMLANDS LÄN</t>
        </is>
      </c>
      <c r="G792" t="inlineStr">
        <is>
          <t>HAGFORS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24895-2025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45799</v>
      </c>
      <c r="E793" s="1" t="n">
        <v>46221</v>
      </c>
      <c r="F793" t="inlineStr">
        <is>
          <t>VÄRMLANDS LÄN</t>
        </is>
      </c>
      <c r="G793" t="inlineStr">
        <is>
          <t>HAGFORS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24793-2025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45799</v>
      </c>
      <c r="E794" s="1" t="n">
        <v>46221</v>
      </c>
      <c r="F794" t="inlineStr">
        <is>
          <t>VÄRMLANDS LÄN</t>
        </is>
      </c>
      <c r="G794" t="inlineStr">
        <is>
          <t>HAGFORS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25031-2025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45799</v>
      </c>
      <c r="E795" s="1" t="n">
        <v>46221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46221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46221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46221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46221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46221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46221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46221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46221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46221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46221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46221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46221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46221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46221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46221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46221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46221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46221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46221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46221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46221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46221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46221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46221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46221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46221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46221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46221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46221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46221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46221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46221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46221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46221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46221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46221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46221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46221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46221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46221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46221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2026-07-18T01:24:32Z</dcterms:created>
  <dcterms:modified xmlns:dcterms="http://purl.org/dc/terms/" xmlns:xsi="http://www.w3.org/2001/XMLSchema-instance" xsi:type="dcterms:W3CDTF">2026-07-18T01:24:33Z</dcterms:modified>
</cp:coreProperties>
</file>