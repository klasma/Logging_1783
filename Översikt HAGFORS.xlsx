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46311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46311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61205-2024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45645</v>
      </c>
      <c r="E12" s="1" t="n">
        <v>46311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17.7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Vårärt
Dvärghäxört
Svart trolldruva
Tibast
Underviol</t>
        </is>
      </c>
      <c r="W12">
        <f>HYPERLINK("https://klasma.github.io/Logging_1783/artfynd/A 61205-2024 artfynd.xlsx", "A 61205-2024")</f>
        <v/>
      </c>
      <c r="X12">
        <f>HYPERLINK("https://klasma.github.io/Logging_1783/kartor/A 61205-2024 karta.png", "A 61205-2024")</f>
        <v/>
      </c>
      <c r="Y12">
        <f>HYPERLINK("https://klasma.github.io/Logging_1783/kartor_geotiff/A 61205-2024 georefererad karta.tif", "A 61205-2024")</f>
        <v/>
      </c>
      <c r="AA12">
        <f>HYPERLINK("https://klasma.github.io/Logging_1783/klagomål/A 61205-2024 FSC-klagomål.docx", "A 61205-2024")</f>
        <v/>
      </c>
      <c r="AB12">
        <f>HYPERLINK("https://klasma.github.io/Logging_1783/klagomålsmail/A 61205-2024 FSC-klagomål mail.docx", "A 61205-2024")</f>
        <v/>
      </c>
      <c r="AC12">
        <f>HYPERLINK("https://klasma.github.io/Logging_1783/tillsyn/A 61205-2024 tillsynsbegäran.docx", "A 61205-2024")</f>
        <v/>
      </c>
      <c r="AD12">
        <f>HYPERLINK("https://klasma.github.io/Logging_1783/tillsynsmail/A 61205-2024 tillsynsbegäran mail.docx", "A 61205-2024")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46311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46311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46311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46311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46311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46311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46311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46311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46311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46311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46311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46311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46311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42725-2026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46309</v>
      </c>
      <c r="E27" s="1" t="n">
        <v>46311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Luddfingersvamp
Slaguggla</t>
        </is>
      </c>
      <c r="W27">
        <f>HYPERLINK("https://klasma.github.io/Logging_1783/artfynd/A 42725-2026 artfynd.xlsx", "A 42725-2026")</f>
        <v/>
      </c>
      <c r="X27">
        <f>HYPERLINK("https://klasma.github.io/Logging_1783/kartor/A 42725-2026 karta.png", "A 42725-2026")</f>
        <v/>
      </c>
      <c r="Y27">
        <f>HYPERLINK("https://klasma.github.io/Logging_1783/kartor_geotiff/A 42725-2026 georefererad karta.tif", "A 42725-2026")</f>
        <v/>
      </c>
      <c r="AA27">
        <f>HYPERLINK("https://klasma.github.io/Logging_1783/klagomål/A 42725-2026 FSC-klagomål.docx", "A 42725-2026")</f>
        <v/>
      </c>
      <c r="AB27">
        <f>HYPERLINK("https://klasma.github.io/Logging_1783/klagomålsmail/A 42725-2026 FSC-klagomål mail.docx", "A 42725-2026")</f>
        <v/>
      </c>
      <c r="AC27">
        <f>HYPERLINK("https://klasma.github.io/Logging_1783/tillsyn/A 42725-2026 tillsynsbegäran.docx", "A 42725-2026")</f>
        <v/>
      </c>
      <c r="AD27">
        <f>HYPERLINK("https://klasma.github.io/Logging_1783/tillsynsmail/A 42725-2026 tillsynsbegäran mail.docx", "A 42725-2026")</f>
        <v/>
      </c>
      <c r="AE27">
        <f>HYPERLINK("https://klasma.github.io/Logging_1783/fåglar/A 42725-2026 prioriterade fågelarter.docx", "A 42725-2026")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46311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46311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HYPERLINK("https://klasma.github.io/Logging_1783/artfynd/A 26624-2025 artfynd.xlsx", "A 26624-2025")</f>
        <v/>
      </c>
      <c r="X33">
        <f>HYPERLINK("https://klasma.github.io/Logging_1783/kartor/A 26624-2025 karta.png", "A 26624-2025")</f>
        <v/>
      </c>
      <c r="Y33">
        <f>HYPERLINK("https://klasma.github.io/Logging_1783/kartor_geotiff/A 26624-2025 georefererad karta.tif", "A 26624-2025")</f>
        <v/>
      </c>
      <c r="AA33">
        <f>HYPERLINK("https://klasma.github.io/Logging_1783/klagomål/A 26624-2025 FSC-klagomål.docx", "A 26624-2025")</f>
        <v/>
      </c>
      <c r="AB33">
        <f>HYPERLINK("https://klasma.github.io/Logging_1783/klagomålsmail/A 26624-2025 FSC-klagomål mail.docx", "A 26624-2025")</f>
        <v/>
      </c>
      <c r="AC33">
        <f>HYPERLINK("https://klasma.github.io/Logging_1783/tillsyn/A 26624-2025 tillsynsbegäran.docx", "A 26624-2025")</f>
        <v/>
      </c>
      <c r="AD33">
        <f>HYPERLINK("https://klasma.github.io/Logging_1783/tillsynsmail/A 26624-2025 tillsynsbegäran mail.docx", "A 26624-2025")</f>
        <v/>
      </c>
    </row>
    <row r="34" ht="15" customHeight="1">
      <c r="A34" t="inlineStr">
        <is>
          <t>A 33848-2025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46311</v>
      </c>
      <c r="F34" t="inlineStr">
        <is>
          <t>VÄRMLANDS LÄN</t>
        </is>
      </c>
      <c r="G34" t="inlineStr">
        <is>
          <t>HAGFORS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HYPERLINK("https://klasma.github.io/Logging_1783/artfynd/A 33848-2025 artfynd.xlsx", "A 33848-2025")</f>
        <v/>
      </c>
      <c r="X34">
        <f>HYPERLINK("https://klasma.github.io/Logging_1783/kartor/A 33848-2025 karta.png", "A 33848-2025")</f>
        <v/>
      </c>
      <c r="Y34">
        <f>HYPERLINK("https://klasma.github.io/Logging_1783/kartor_geotiff/A 33848-2025 georefererad karta.tif", "A 33848-2025")</f>
        <v/>
      </c>
      <c r="AA34">
        <f>HYPERLINK("https://klasma.github.io/Logging_1783/klagomål/A 33848-2025 FSC-klagomål.docx", "A 33848-2025")</f>
        <v/>
      </c>
      <c r="AB34">
        <f>HYPERLINK("https://klasma.github.io/Logging_1783/klagomålsmail/A 33848-2025 FSC-klagomål mail.docx", "A 33848-2025")</f>
        <v/>
      </c>
      <c r="AC34">
        <f>HYPERLINK("https://klasma.github.io/Logging_1783/tillsyn/A 33848-2025 tillsynsbegäran.docx", "A 33848-2025")</f>
        <v/>
      </c>
      <c r="AD34">
        <f>HYPERLINK("https://klasma.github.io/Logging_1783/tillsynsmail/A 33848-2025 tillsynsbegäran mail.docx", "A 33848-2025")</f>
        <v/>
      </c>
    </row>
    <row r="35" ht="15" customHeight="1">
      <c r="A35" t="inlineStr">
        <is>
          <t>A 56083-2022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44889</v>
      </c>
      <c r="E35" s="1" t="n">
        <v>46311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19.1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HYPERLINK("https://klasma.github.io/Logging_1783/artfynd/A 56083-2022 artfynd.xlsx", "A 56083-2022")</f>
        <v/>
      </c>
      <c r="X35">
        <f>HYPERLINK("https://klasma.github.io/Logging_1783/kartor/A 56083-2022 karta.png", "A 56083-2022")</f>
        <v/>
      </c>
      <c r="Y35">
        <f>HYPERLINK("https://klasma.github.io/Logging_1783/kartor_geotiff/A 56083-2022 georefererad karta.tif", "A 56083-2022")</f>
        <v/>
      </c>
      <c r="AA35">
        <f>HYPERLINK("https://klasma.github.io/Logging_1783/klagomål/A 56083-2022 FSC-klagomål.docx", "A 56083-2022")</f>
        <v/>
      </c>
      <c r="AB35">
        <f>HYPERLINK("https://klasma.github.io/Logging_1783/klagomålsmail/A 56083-2022 FSC-klagomål mail.docx", "A 56083-2022")</f>
        <v/>
      </c>
      <c r="AC35">
        <f>HYPERLINK("https://klasma.github.io/Logging_1783/tillsyn/A 56083-2022 tillsynsbegäran.docx", "A 56083-2022")</f>
        <v/>
      </c>
      <c r="AD35">
        <f>HYPERLINK("https://klasma.github.io/Logging_1783/tillsynsmail/A 56083-2022 tillsynsbegäran mail.docx", "A 56083-2022")</f>
        <v/>
      </c>
    </row>
    <row r="36" ht="15" customHeight="1">
      <c r="A36" t="inlineStr">
        <is>
          <t>A 20119-2025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46311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HYPERLINK("https://klasma.github.io/Logging_1783/artfynd/A 20119-2025 artfynd.xlsx", "A 20119-2025")</f>
        <v/>
      </c>
      <c r="X36">
        <f>HYPERLINK("https://klasma.github.io/Logging_1783/kartor/A 20119-2025 karta.png", "A 20119-2025")</f>
        <v/>
      </c>
      <c r="Y36">
        <f>HYPERLINK("https://klasma.github.io/Logging_1783/kartor_geotiff/A 20119-2025 georefererad karta.tif", "A 20119-2025")</f>
        <v/>
      </c>
      <c r="AA36">
        <f>HYPERLINK("https://klasma.github.io/Logging_1783/klagomål/A 20119-2025 FSC-klagomål.docx", "A 20119-2025")</f>
        <v/>
      </c>
      <c r="AB36">
        <f>HYPERLINK("https://klasma.github.io/Logging_1783/klagomålsmail/A 20119-2025 FSC-klagomål mail.docx", "A 20119-2025")</f>
        <v/>
      </c>
      <c r="AC36">
        <f>HYPERLINK("https://klasma.github.io/Logging_1783/tillsyn/A 20119-2025 tillsynsbegäran.docx", "A 20119-2025")</f>
        <v/>
      </c>
      <c r="AD36">
        <f>HYPERLINK("https://klasma.github.io/Logging_1783/tillsynsmail/A 20119-2025 tillsynsbegäran mail.docx", "A 20119-2025")</f>
        <v/>
      </c>
      <c r="AE36">
        <f>HYPERLINK("https://klasma.github.io/Logging_1783/fåglar/A 20119-2025 prioriterade fågelarter.docx", "A 20119-2025")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46311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38267-2024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46311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HYPERLINK("https://klasma.github.io/Logging_1783/artfynd/A 38267-2024 artfynd.xlsx", "A 38267-2024")</f>
        <v/>
      </c>
      <c r="X38">
        <f>HYPERLINK("https://klasma.github.io/Logging_1783/kartor/A 38267-2024 karta.png", "A 38267-2024")</f>
        <v/>
      </c>
      <c r="Y38">
        <f>HYPERLINK("https://klasma.github.io/Logging_1783/kartor_geotiff/A 38267-2024 georefererad karta.tif", "A 38267-2024")</f>
        <v/>
      </c>
      <c r="AA38">
        <f>HYPERLINK("https://klasma.github.io/Logging_1783/klagomål/A 38267-2024 FSC-klagomål.docx", "A 38267-2024")</f>
        <v/>
      </c>
      <c r="AB38">
        <f>HYPERLINK("https://klasma.github.io/Logging_1783/klagomålsmail/A 38267-2024 FSC-klagomål mail.docx", "A 38267-2024")</f>
        <v/>
      </c>
      <c r="AC38">
        <f>HYPERLINK("https://klasma.github.io/Logging_1783/tillsyn/A 38267-2024 tillsynsbegäran.docx", "A 38267-2024")</f>
        <v/>
      </c>
      <c r="AD38">
        <f>HYPERLINK("https://klasma.github.io/Logging_1783/tillsynsmail/A 38267-2024 tillsynsbegäran mail.docx", "A 38267-2024")</f>
        <v/>
      </c>
    </row>
    <row r="39" ht="15" customHeight="1">
      <c r="A39" t="inlineStr">
        <is>
          <t>A 6986-2022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46311</v>
      </c>
      <c r="F39" t="inlineStr">
        <is>
          <t>VÄRMLANDS LÄN</t>
        </is>
      </c>
      <c r="G39" t="inlineStr">
        <is>
          <t>HAGFORS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HYPERLINK("https://klasma.github.io/Logging_1783/artfynd/A 6986-2022 artfynd.xlsx", "A 6986-2022")</f>
        <v/>
      </c>
      <c r="X39">
        <f>HYPERLINK("https://klasma.github.io/Logging_1783/kartor/A 6986-2022 karta.png", "A 6986-2022")</f>
        <v/>
      </c>
      <c r="Y39">
        <f>HYPERLINK("https://klasma.github.io/Logging_1783/kartor_geotiff/A 6986-2022 georefererad karta.tif", "A 6986-2022")</f>
        <v/>
      </c>
      <c r="AA39">
        <f>HYPERLINK("https://klasma.github.io/Logging_1783/klagomål/A 6986-2022 FSC-klagomål.docx", "A 6986-2022")</f>
        <v/>
      </c>
      <c r="AB39">
        <f>HYPERLINK("https://klasma.github.io/Logging_1783/klagomålsmail/A 6986-2022 FSC-klagomål mail.docx", "A 6986-2022")</f>
        <v/>
      </c>
      <c r="AC39">
        <f>HYPERLINK("https://klasma.github.io/Logging_1783/tillsyn/A 6986-2022 tillsynsbegäran.docx", "A 6986-2022")</f>
        <v/>
      </c>
      <c r="AD39">
        <f>HYPERLINK("https://klasma.github.io/Logging_1783/tillsynsmail/A 6986-2022 tillsynsbegäran mail.docx", "A 6986-2022")</f>
        <v/>
      </c>
    </row>
    <row r="40" ht="15" customHeight="1">
      <c r="A40" t="inlineStr">
        <is>
          <t>A 37152-2023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46311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Hökuggla</t>
        </is>
      </c>
      <c r="W40">
        <f>HYPERLINK("https://klasma.github.io/Logging_1783/artfynd/A 37152-2023 artfynd.xlsx", "A 37152-2023")</f>
        <v/>
      </c>
      <c r="X40">
        <f>HYPERLINK("https://klasma.github.io/Logging_1783/kartor/A 37152-2023 karta.png", "A 37152-2023")</f>
        <v/>
      </c>
      <c r="Y40">
        <f>HYPERLINK("https://klasma.github.io/Logging_1783/kartor_geotiff/A 37152-2023 georefererad karta.tif", "A 37152-2023")</f>
        <v/>
      </c>
      <c r="AA40">
        <f>HYPERLINK("https://klasma.github.io/Logging_1783/klagomål/A 37152-2023 FSC-klagomål.docx", "A 37152-2023")</f>
        <v/>
      </c>
      <c r="AB40">
        <f>HYPERLINK("https://klasma.github.io/Logging_1783/klagomålsmail/A 37152-2023 FSC-klagomål mail.docx", "A 37152-2023")</f>
        <v/>
      </c>
      <c r="AC40">
        <f>HYPERLINK("https://klasma.github.io/Logging_1783/tillsyn/A 37152-2023 tillsynsbegäran.docx", "A 37152-2023")</f>
        <v/>
      </c>
      <c r="AD40">
        <f>HYPERLINK("https://klasma.github.io/Logging_1783/tillsynsmail/A 37152-2023 tillsynsbegäran mail.docx", "A 37152-2023")</f>
        <v/>
      </c>
      <c r="AE40">
        <f>HYPERLINK("https://klasma.github.io/Logging_1783/fåglar/A 37152-2023 prioriterade fågelarter.docx", "A 37152-2023")</f>
        <v/>
      </c>
    </row>
    <row r="41" ht="15" customHeight="1">
      <c r="A41" t="inlineStr">
        <is>
          <t>A 19362-2026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46133</v>
      </c>
      <c r="E41" s="1" t="n">
        <v>46311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8.5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19362-2026 artfynd.xlsx", "A 19362-2026")</f>
        <v/>
      </c>
      <c r="X41">
        <f>HYPERLINK("https://klasma.github.io/Logging_1783/kartor/A 19362-2026 karta.png", "A 19362-2026")</f>
        <v/>
      </c>
      <c r="Y41">
        <f>HYPERLINK("https://klasma.github.io/Logging_1783/kartor_geotiff/A 19362-2026 georefererad karta.tif", "A 19362-2026")</f>
        <v/>
      </c>
      <c r="AA41">
        <f>HYPERLINK("https://klasma.github.io/Logging_1783/klagomål/A 19362-2026 FSC-klagomål.docx", "A 19362-2026")</f>
        <v/>
      </c>
      <c r="AB41">
        <f>HYPERLINK("https://klasma.github.io/Logging_1783/klagomålsmail/A 19362-2026 FSC-klagomål mail.docx", "A 19362-2026")</f>
        <v/>
      </c>
      <c r="AC41">
        <f>HYPERLINK("https://klasma.github.io/Logging_1783/tillsyn/A 19362-2026 tillsynsbegäran.docx", "A 19362-2026")</f>
        <v/>
      </c>
      <c r="AD41">
        <f>HYPERLINK("https://klasma.github.io/Logging_1783/tillsynsmail/A 19362-2026 tillsynsbegäran mail.docx", "A 19362-2026")</f>
        <v/>
      </c>
    </row>
    <row r="42" ht="15" customHeight="1">
      <c r="A42" t="inlineStr">
        <is>
          <t>A 30524-2022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44762</v>
      </c>
      <c r="E42" s="1" t="n">
        <v>46311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Kolflarnlav</t>
        </is>
      </c>
      <c r="W42">
        <f>HYPERLINK("https://klasma.github.io/Logging_1783/artfynd/A 30524-2022 artfynd.xlsx", "A 30524-2022")</f>
        <v/>
      </c>
      <c r="X42">
        <f>HYPERLINK("https://klasma.github.io/Logging_1783/kartor/A 30524-2022 karta.png", "A 30524-2022")</f>
        <v/>
      </c>
      <c r="Y42">
        <f>HYPERLINK("https://klasma.github.io/Logging_1783/kartor_geotiff/A 30524-2022 georefererad karta.tif", "A 30524-2022")</f>
        <v/>
      </c>
      <c r="AA42">
        <f>HYPERLINK("https://klasma.github.io/Logging_1783/klagomål/A 30524-2022 FSC-klagomål.docx", "A 30524-2022")</f>
        <v/>
      </c>
      <c r="AB42">
        <f>HYPERLINK("https://klasma.github.io/Logging_1783/klagomålsmail/A 30524-2022 FSC-klagomål mail.docx", "A 30524-2022")</f>
        <v/>
      </c>
      <c r="AC42">
        <f>HYPERLINK("https://klasma.github.io/Logging_1783/tillsyn/A 30524-2022 tillsynsbegäran.docx", "A 30524-2022")</f>
        <v/>
      </c>
      <c r="AD42">
        <f>HYPERLINK("https://klasma.github.io/Logging_1783/tillsynsmail/A 30524-2022 tillsynsbegäran mail.docx", "A 30524-2022")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46311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34158-2025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45845</v>
      </c>
      <c r="E44" s="1" t="n">
        <v>46311</v>
      </c>
      <c r="F44" t="inlineStr">
        <is>
          <t>VÄRMLANDS LÄN</t>
        </is>
      </c>
      <c r="G44" t="inlineStr">
        <is>
          <t>HAGFORS</t>
        </is>
      </c>
      <c r="I44" t="n">
        <v>5.8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Korallblylav</t>
        </is>
      </c>
      <c r="W44">
        <f>HYPERLINK("https://klasma.github.io/Logging_1783/artfynd/A 34158-2025 artfynd.xlsx", "A 34158-2025")</f>
        <v/>
      </c>
      <c r="X44">
        <f>HYPERLINK("https://klasma.github.io/Logging_1783/kartor/A 34158-2025 karta.png", "A 34158-2025")</f>
        <v/>
      </c>
      <c r="Y44">
        <f>HYPERLINK("https://klasma.github.io/Logging_1783/kartor_geotiff/A 34158-2025 georefererad karta.tif", "A 34158-2025")</f>
        <v/>
      </c>
      <c r="AA44">
        <f>HYPERLINK("https://klasma.github.io/Logging_1783/klagomål/A 34158-2025 FSC-klagomål.docx", "A 34158-2025")</f>
        <v/>
      </c>
      <c r="AB44">
        <f>HYPERLINK("https://klasma.github.io/Logging_1783/klagomålsmail/A 34158-2025 FSC-klagomål mail.docx", "A 34158-2025")</f>
        <v/>
      </c>
      <c r="AC44">
        <f>HYPERLINK("https://klasma.github.io/Logging_1783/tillsyn/A 34158-2025 tillsynsbegäran.docx", "A 34158-2025")</f>
        <v/>
      </c>
      <c r="AD44">
        <f>HYPERLINK("https://klasma.github.io/Logging_1783/tillsynsmail/A 34158-2025 tillsynsbegäran mail.docx", "A 34158-2025")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46311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15219-2025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45744</v>
      </c>
      <c r="E46" s="1" t="n">
        <v>46311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15.8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Borsttagging</t>
        </is>
      </c>
      <c r="W46">
        <f>HYPERLINK("https://klasma.github.io/Logging_1783/artfynd/A 15219-2025 artfynd.xlsx", "A 15219-2025")</f>
        <v/>
      </c>
      <c r="X46">
        <f>HYPERLINK("https://klasma.github.io/Logging_1783/kartor/A 15219-2025 karta.png", "A 15219-2025")</f>
        <v/>
      </c>
      <c r="Y46">
        <f>HYPERLINK("https://klasma.github.io/Logging_1783/kartor_geotiff/A 15219-2025 georefererad karta.tif", "A 15219-2025")</f>
        <v/>
      </c>
      <c r="AA46">
        <f>HYPERLINK("https://klasma.github.io/Logging_1783/klagomål/A 15219-2025 FSC-klagomål.docx", "A 15219-2025")</f>
        <v/>
      </c>
      <c r="AB46">
        <f>HYPERLINK("https://klasma.github.io/Logging_1783/klagomålsmail/A 15219-2025 FSC-klagomål mail.docx", "A 15219-2025")</f>
        <v/>
      </c>
      <c r="AC46">
        <f>HYPERLINK("https://klasma.github.io/Logging_1783/tillsyn/A 15219-2025 tillsynsbegäran.docx", "A 15219-2025")</f>
        <v/>
      </c>
      <c r="AD46">
        <f>HYPERLINK("https://klasma.github.io/Logging_1783/tillsynsmail/A 15219-2025 tillsynsbegäran mail.docx", "A 15219-2025")</f>
        <v/>
      </c>
    </row>
    <row r="47" ht="15" customHeight="1">
      <c r="A47" t="inlineStr">
        <is>
          <t>A 51194-2022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46311</v>
      </c>
      <c r="F47" t="inlineStr">
        <is>
          <t>VÄRMLANDS LÄN</t>
        </is>
      </c>
      <c r="G47" t="inlineStr">
        <is>
          <t>HAGFORS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HYPERLINK("https://klasma.github.io/Logging_1783/artfynd/A 51194-2022 artfynd.xlsx", "A 51194-2022")</f>
        <v/>
      </c>
      <c r="X47">
        <f>HYPERLINK("https://klasma.github.io/Logging_1783/kartor/A 51194-2022 karta.png", "A 51194-2022")</f>
        <v/>
      </c>
      <c r="Y47">
        <f>HYPERLINK("https://klasma.github.io/Logging_1783/kartor_geotiff/A 51194-2022 georefererad karta.tif", "A 51194-2022")</f>
        <v/>
      </c>
      <c r="AA47">
        <f>HYPERLINK("https://klasma.github.io/Logging_1783/klagomål/A 51194-2022 FSC-klagomål.docx", "A 51194-2022")</f>
        <v/>
      </c>
      <c r="AB47">
        <f>HYPERLINK("https://klasma.github.io/Logging_1783/klagomålsmail/A 51194-2022 FSC-klagomål mail.docx", "A 51194-2022")</f>
        <v/>
      </c>
      <c r="AC47">
        <f>HYPERLINK("https://klasma.github.io/Logging_1783/tillsyn/A 51194-2022 tillsynsbegäran.docx", "A 51194-2022")</f>
        <v/>
      </c>
      <c r="AD47">
        <f>HYPERLINK("https://klasma.github.io/Logging_1783/tillsynsmail/A 51194-2022 tillsynsbegäran mail.docx", "A 51194-2022")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46311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46311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14850-2025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45743</v>
      </c>
      <c r="E50" s="1" t="n">
        <v>46311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HYPERLINK("https://klasma.github.io/Logging_1783/artfynd/A 14850-2025 artfynd.xlsx", "A 14850-2025")</f>
        <v/>
      </c>
      <c r="X50">
        <f>HYPERLINK("https://klasma.github.io/Logging_1783/kartor/A 14850-2025 karta.png", "A 14850-2025")</f>
        <v/>
      </c>
      <c r="Y50">
        <f>HYPERLINK("https://klasma.github.io/Logging_1783/kartor_geotiff/A 14850-2025 georefererad karta.tif", "A 14850-2025")</f>
        <v/>
      </c>
      <c r="AA50">
        <f>HYPERLINK("https://klasma.github.io/Logging_1783/klagomål/A 14850-2025 FSC-klagomål.docx", "A 14850-2025")</f>
        <v/>
      </c>
      <c r="AB50">
        <f>HYPERLINK("https://klasma.github.io/Logging_1783/klagomålsmail/A 14850-2025 FSC-klagomål mail.docx", "A 14850-2025")</f>
        <v/>
      </c>
      <c r="AC50">
        <f>HYPERLINK("https://klasma.github.io/Logging_1783/tillsyn/A 14850-2025 tillsynsbegäran.docx", "A 14850-2025")</f>
        <v/>
      </c>
      <c r="AD50">
        <f>HYPERLINK("https://klasma.github.io/Logging_1783/tillsynsmail/A 14850-2025 tillsynsbegäran mail.docx", "A 14850-2025")</f>
        <v/>
      </c>
    </row>
    <row r="51" ht="15" customHeight="1">
      <c r="A51" t="inlineStr">
        <is>
          <t>A 26189-2026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46311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Sävsparv</t>
        </is>
      </c>
      <c r="W51">
        <f>HYPERLINK("https://klasma.github.io/Logging_1783/artfynd/A 26189-2026 artfynd.xlsx", "A 26189-2026")</f>
        <v/>
      </c>
      <c r="X51">
        <f>HYPERLINK("https://klasma.github.io/Logging_1783/kartor/A 26189-2026 karta.png", "A 26189-2026")</f>
        <v/>
      </c>
      <c r="Y51">
        <f>HYPERLINK("https://klasma.github.io/Logging_1783/kartor_geotiff/A 26189-2026 georefererad karta.tif", "A 26189-2026")</f>
        <v/>
      </c>
      <c r="AA51">
        <f>HYPERLINK("https://klasma.github.io/Logging_1783/klagomål/A 26189-2026 FSC-klagomål.docx", "A 26189-2026")</f>
        <v/>
      </c>
      <c r="AB51">
        <f>HYPERLINK("https://klasma.github.io/Logging_1783/klagomålsmail/A 26189-2026 FSC-klagomål mail.docx", "A 26189-2026")</f>
        <v/>
      </c>
      <c r="AC51">
        <f>HYPERLINK("https://klasma.github.io/Logging_1783/tillsyn/A 26189-2026 tillsynsbegäran.docx", "A 26189-2026")</f>
        <v/>
      </c>
      <c r="AD51">
        <f>HYPERLINK("https://klasma.github.io/Logging_1783/tillsynsmail/A 26189-2026 tillsynsbegäran mail.docx", "A 26189-2026")</f>
        <v/>
      </c>
      <c r="AE51">
        <f>HYPERLINK("https://klasma.github.io/Logging_1783/fåglar/A 26189-2026 prioriterade fågelarter.docx", "A 26189-2026")</f>
        <v/>
      </c>
    </row>
    <row r="52" ht="15" customHeight="1">
      <c r="A52" t="inlineStr">
        <is>
          <t>A 50030-2025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45943</v>
      </c>
      <c r="E52" s="1" t="n">
        <v>46311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9.9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Svart trolldruva</t>
        </is>
      </c>
      <c r="W52">
        <f>HYPERLINK("https://klasma.github.io/Logging_1783/artfynd/A 50030-2025 artfynd.xlsx", "A 50030-2025")</f>
        <v/>
      </c>
      <c r="X52">
        <f>HYPERLINK("https://klasma.github.io/Logging_1783/kartor/A 50030-2025 karta.png", "A 50030-2025")</f>
        <v/>
      </c>
      <c r="Y52">
        <f>HYPERLINK("https://klasma.github.io/Logging_1783/kartor_geotiff/A 50030-2025 georefererad karta.tif", "A 50030-2025")</f>
        <v/>
      </c>
      <c r="AA52">
        <f>HYPERLINK("https://klasma.github.io/Logging_1783/klagomål/A 50030-2025 FSC-klagomål.docx", "A 50030-2025")</f>
        <v/>
      </c>
      <c r="AB52">
        <f>HYPERLINK("https://klasma.github.io/Logging_1783/klagomålsmail/A 50030-2025 FSC-klagomål mail.docx", "A 50030-2025")</f>
        <v/>
      </c>
      <c r="AC52">
        <f>HYPERLINK("https://klasma.github.io/Logging_1783/tillsyn/A 50030-2025 tillsynsbegäran.docx", "A 50030-2025")</f>
        <v/>
      </c>
      <c r="AD52">
        <f>HYPERLINK("https://klasma.github.io/Logging_1783/tillsynsmail/A 50030-2025 tillsynsbegäran mail.docx", "A 50030-2025")</f>
        <v/>
      </c>
    </row>
    <row r="53" ht="15" customHeight="1">
      <c r="A53" t="inlineStr">
        <is>
          <t>A 29432-2026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46203</v>
      </c>
      <c r="E53" s="1" t="n">
        <v>46311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Vedtrappmossa</t>
        </is>
      </c>
      <c r="W53">
        <f>HYPERLINK("https://klasma.github.io/Logging_1783/artfynd/A 29432-2026 artfynd.xlsx", "A 29432-2026")</f>
        <v/>
      </c>
      <c r="X53">
        <f>HYPERLINK("https://klasma.github.io/Logging_1783/kartor/A 29432-2026 karta.png", "A 29432-2026")</f>
        <v/>
      </c>
      <c r="Y53">
        <f>HYPERLINK("https://klasma.github.io/Logging_1783/kartor_geotiff/A 29432-2026 georefererad karta.tif", "A 29432-2026")</f>
        <v/>
      </c>
      <c r="AA53">
        <f>HYPERLINK("https://klasma.github.io/Logging_1783/klagomål/A 29432-2026 FSC-klagomål.docx", "A 29432-2026")</f>
        <v/>
      </c>
      <c r="AB53">
        <f>HYPERLINK("https://klasma.github.io/Logging_1783/klagomålsmail/A 29432-2026 FSC-klagomål mail.docx", "A 29432-2026")</f>
        <v/>
      </c>
      <c r="AC53">
        <f>HYPERLINK("https://klasma.github.io/Logging_1783/tillsyn/A 29432-2026 tillsynsbegäran.docx", "A 29432-2026")</f>
        <v/>
      </c>
      <c r="AD53">
        <f>HYPERLINK("https://klasma.github.io/Logging_1783/tillsynsmail/A 29432-2026 tillsynsbegäran mail.docx", "A 29432-2026")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46311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21309-2023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46311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Kattfot</t>
        </is>
      </c>
      <c r="W55">
        <f>HYPERLINK("https://klasma.github.io/Logging_1783/artfynd/A 21309-2023 artfynd.xlsx", "A 21309-2023")</f>
        <v/>
      </c>
      <c r="X55">
        <f>HYPERLINK("https://klasma.github.io/Logging_1783/kartor/A 21309-2023 karta.png", "A 21309-2023")</f>
        <v/>
      </c>
      <c r="Y55">
        <f>HYPERLINK("https://klasma.github.io/Logging_1783/kartor_geotiff/A 21309-2023 georefererad karta.tif", "A 21309-2023")</f>
        <v/>
      </c>
      <c r="AA55">
        <f>HYPERLINK("https://klasma.github.io/Logging_1783/klagomål/A 21309-2023 FSC-klagomål.docx", "A 21309-2023")</f>
        <v/>
      </c>
      <c r="AB55">
        <f>HYPERLINK("https://klasma.github.io/Logging_1783/klagomålsmail/A 21309-2023 FSC-klagomål mail.docx", "A 21309-2023")</f>
        <v/>
      </c>
      <c r="AC55">
        <f>HYPERLINK("https://klasma.github.io/Logging_1783/tillsyn/A 21309-2023 tillsynsbegäran.docx", "A 21309-2023")</f>
        <v/>
      </c>
      <c r="AD55">
        <f>HYPERLINK("https://klasma.github.io/Logging_1783/tillsynsmail/A 21309-2023 tillsynsbegäran mail.docx", "A 21309-2023")</f>
        <v/>
      </c>
    </row>
    <row r="56" ht="15" customHeight="1">
      <c r="A56" t="inlineStr">
        <is>
          <t>A 55484-2025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46311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HYPERLINK("https://klasma.github.io/Logging_1783/artfynd/A 55484-2025 artfynd.xlsx", "A 55484-2025")</f>
        <v/>
      </c>
      <c r="X56">
        <f>HYPERLINK("https://klasma.github.io/Logging_1783/kartor/A 55484-2025 karta.png", "A 55484-2025")</f>
        <v/>
      </c>
      <c r="Y56">
        <f>HYPERLINK("https://klasma.github.io/Logging_1783/kartor_geotiff/A 55484-2025 georefererad karta.tif", "A 55484-2025")</f>
        <v/>
      </c>
      <c r="AA56">
        <f>HYPERLINK("https://klasma.github.io/Logging_1783/klagomål/A 55484-2025 FSC-klagomål.docx", "A 55484-2025")</f>
        <v/>
      </c>
      <c r="AB56">
        <f>HYPERLINK("https://klasma.github.io/Logging_1783/klagomålsmail/A 55484-2025 FSC-klagomål mail.docx", "A 55484-2025")</f>
        <v/>
      </c>
      <c r="AC56">
        <f>HYPERLINK("https://klasma.github.io/Logging_1783/tillsyn/A 55484-2025 tillsynsbegäran.docx", "A 55484-2025")</f>
        <v/>
      </c>
      <c r="AD56">
        <f>HYPERLINK("https://klasma.github.io/Logging_1783/tillsynsmail/A 55484-2025 tillsynsbegäran mail.docx", "A 55484-2025")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46311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40211-2026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46290</v>
      </c>
      <c r="E58" s="1" t="n">
        <v>46311</v>
      </c>
      <c r="F58" t="inlineStr">
        <is>
          <t>VÄRMLANDS LÄN</t>
        </is>
      </c>
      <c r="G58" t="inlineStr">
        <is>
          <t>HAGFORS</t>
        </is>
      </c>
      <c r="I58" t="n">
        <v>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HYPERLINK("https://klasma.github.io/Logging_1783/artfynd/A 40211-2026 artfynd.xlsx", "A 40211-2026")</f>
        <v/>
      </c>
      <c r="X58">
        <f>HYPERLINK("https://klasma.github.io/Logging_1783/kartor/A 40211-2026 karta.png", "A 40211-2026")</f>
        <v/>
      </c>
      <c r="Y58">
        <f>HYPERLINK("https://klasma.github.io/Logging_1783/kartor_geotiff/A 40211-2026 georefererad karta.tif", "A 40211-2026")</f>
        <v/>
      </c>
      <c r="AA58">
        <f>HYPERLINK("https://klasma.github.io/Logging_1783/klagomål/A 40211-2026 FSC-klagomål.docx", "A 40211-2026")</f>
        <v/>
      </c>
      <c r="AB58">
        <f>HYPERLINK("https://klasma.github.io/Logging_1783/klagomålsmail/A 40211-2026 FSC-klagomål mail.docx", "A 40211-2026")</f>
        <v/>
      </c>
      <c r="AC58">
        <f>HYPERLINK("https://klasma.github.io/Logging_1783/tillsyn/A 40211-2026 tillsynsbegäran.docx", "A 40211-2026")</f>
        <v/>
      </c>
      <c r="AD58">
        <f>HYPERLINK("https://klasma.github.io/Logging_1783/tillsynsmail/A 40211-2026 tillsynsbegäran mail.docx", "A 40211-2026")</f>
        <v/>
      </c>
    </row>
    <row r="59" ht="15" customHeight="1">
      <c r="A59" t="inlineStr">
        <is>
          <t>A 22484-2025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46311</v>
      </c>
      <c r="F59" t="inlineStr">
        <is>
          <t>VÄRMLANDS LÄN</t>
        </is>
      </c>
      <c r="G59" t="inlineStr">
        <is>
          <t>HAGFORS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Rödlånke</t>
        </is>
      </c>
      <c r="W59">
        <f>HYPERLINK("https://klasma.github.io/Logging_1783/artfynd/A 22484-2025 artfynd.xlsx", "A 22484-2025")</f>
        <v/>
      </c>
      <c r="X59">
        <f>HYPERLINK("https://klasma.github.io/Logging_1783/kartor/A 22484-2025 karta.png", "A 22484-2025")</f>
        <v/>
      </c>
      <c r="Y59">
        <f>HYPERLINK("https://klasma.github.io/Logging_1783/kartor_geotiff/A 22484-2025 georefererad karta.tif", "A 22484-2025")</f>
        <v/>
      </c>
      <c r="AA59">
        <f>HYPERLINK("https://klasma.github.io/Logging_1783/klagomål/A 22484-2025 FSC-klagomål.docx", "A 22484-2025")</f>
        <v/>
      </c>
      <c r="AB59">
        <f>HYPERLINK("https://klasma.github.io/Logging_1783/klagomålsmail/A 22484-2025 FSC-klagomål mail.docx", "A 22484-2025")</f>
        <v/>
      </c>
      <c r="AC59">
        <f>HYPERLINK("https://klasma.github.io/Logging_1783/tillsyn/A 22484-2025 tillsynsbegäran.docx", "A 22484-2025")</f>
        <v/>
      </c>
      <c r="AD59">
        <f>HYPERLINK("https://klasma.github.io/Logging_1783/tillsynsmail/A 22484-2025 tillsynsbegäran mail.docx", "A 22484-2025")</f>
        <v/>
      </c>
    </row>
    <row r="60" ht="15" customHeight="1">
      <c r="A60" t="inlineStr">
        <is>
          <t>A 62954-2025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46311</v>
      </c>
      <c r="F60" t="inlineStr">
        <is>
          <t>VÄRMLANDS LÄN</t>
        </is>
      </c>
      <c r="G60" t="inlineStr">
        <is>
          <t>HAGFORS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HYPERLINK("https://klasma.github.io/Logging_1783/artfynd/A 62954-2025 artfynd.xlsx", "A 62954-2025")</f>
        <v/>
      </c>
      <c r="X60">
        <f>HYPERLINK("https://klasma.github.io/Logging_1783/kartor/A 62954-2025 karta.png", "A 62954-2025")</f>
        <v/>
      </c>
      <c r="Y60">
        <f>HYPERLINK("https://klasma.github.io/Logging_1783/kartor_geotiff/A 62954-2025 georefererad karta.tif", "A 62954-2025")</f>
        <v/>
      </c>
      <c r="AA60">
        <f>HYPERLINK("https://klasma.github.io/Logging_1783/klagomål/A 62954-2025 FSC-klagomål.docx", "A 62954-2025")</f>
        <v/>
      </c>
      <c r="AB60">
        <f>HYPERLINK("https://klasma.github.io/Logging_1783/klagomålsmail/A 62954-2025 FSC-klagomål mail.docx", "A 62954-2025")</f>
        <v/>
      </c>
      <c r="AC60">
        <f>HYPERLINK("https://klasma.github.io/Logging_1783/tillsyn/A 62954-2025 tillsynsbegäran.docx", "A 62954-2025")</f>
        <v/>
      </c>
      <c r="AD60">
        <f>HYPERLINK("https://klasma.github.io/Logging_1783/tillsynsmail/A 62954-2025 tillsynsbegäran mail.docx", "A 62954-2025")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46311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46311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3199-2022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46311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Tofsmes</t>
        </is>
      </c>
      <c r="W63">
        <f>HYPERLINK("https://klasma.github.io/Logging_1783/artfynd/A 3199-2022 artfynd.xlsx", "A 3199-2022")</f>
        <v/>
      </c>
      <c r="X63">
        <f>HYPERLINK("https://klasma.github.io/Logging_1783/kartor/A 3199-2022 karta.png", "A 3199-2022")</f>
        <v/>
      </c>
      <c r="Y63">
        <f>HYPERLINK("https://klasma.github.io/Logging_1783/kartor_geotiff/A 3199-2022 georefererad karta.tif", "A 3199-2022")</f>
        <v/>
      </c>
      <c r="AA63">
        <f>HYPERLINK("https://klasma.github.io/Logging_1783/klagomål/A 3199-2022 FSC-klagomål.docx", "A 3199-2022")</f>
        <v/>
      </c>
      <c r="AB63">
        <f>HYPERLINK("https://klasma.github.io/Logging_1783/klagomålsmail/A 3199-2022 FSC-klagomål mail.docx", "A 3199-2022")</f>
        <v/>
      </c>
      <c r="AC63">
        <f>HYPERLINK("https://klasma.github.io/Logging_1783/tillsyn/A 3199-2022 tillsynsbegäran.docx", "A 3199-2022")</f>
        <v/>
      </c>
      <c r="AD63">
        <f>HYPERLINK("https://klasma.github.io/Logging_1783/tillsynsmail/A 3199-2022 tillsynsbegäran mail.docx", "A 3199-2022")</f>
        <v/>
      </c>
    </row>
    <row r="64" ht="15" customHeight="1">
      <c r="A64" t="inlineStr">
        <is>
          <t>A 8254-2026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46064</v>
      </c>
      <c r="E64" s="1" t="n">
        <v>46311</v>
      </c>
      <c r="F64" t="inlineStr">
        <is>
          <t>VÄRMLANDS LÄN</t>
        </is>
      </c>
      <c r="G64" t="inlineStr">
        <is>
          <t>HAGFORS</t>
        </is>
      </c>
      <c r="I64" t="n">
        <v>1.1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Ullticka</t>
        </is>
      </c>
      <c r="W64">
        <f>HYPERLINK("https://klasma.github.io/Logging_1783/artfynd/A 8254-2026 artfynd.xlsx", "A 8254-2026")</f>
        <v/>
      </c>
      <c r="X64">
        <f>HYPERLINK("https://klasma.github.io/Logging_1783/kartor/A 8254-2026 karta.png", "A 8254-2026")</f>
        <v/>
      </c>
      <c r="Y64">
        <f>HYPERLINK("https://klasma.github.io/Logging_1783/kartor_geotiff/A 8254-2026 georefererad karta.tif", "A 8254-2026")</f>
        <v/>
      </c>
      <c r="AA64">
        <f>HYPERLINK("https://klasma.github.io/Logging_1783/klagomål/A 8254-2026 FSC-klagomål.docx", "A 8254-2026")</f>
        <v/>
      </c>
      <c r="AB64">
        <f>HYPERLINK("https://klasma.github.io/Logging_1783/klagomålsmail/A 8254-2026 FSC-klagomål mail.docx", "A 8254-2026")</f>
        <v/>
      </c>
      <c r="AC64">
        <f>HYPERLINK("https://klasma.github.io/Logging_1783/tillsyn/A 8254-2026 tillsynsbegäran.docx", "A 8254-2026")</f>
        <v/>
      </c>
      <c r="AD64">
        <f>HYPERLINK("https://klasma.github.io/Logging_1783/tillsynsmail/A 8254-2026 tillsynsbegäran mail.docx", "A 8254-2026")</f>
        <v/>
      </c>
    </row>
    <row r="65" ht="15" customHeight="1">
      <c r="A65" t="inlineStr">
        <is>
          <t>A 36223-2026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46268</v>
      </c>
      <c r="E65" s="1" t="n">
        <v>46311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8.699999999999999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HYPERLINK("https://klasma.github.io/Logging_1783/artfynd/A 36223-2026 artfynd.xlsx", "A 36223-2026")</f>
        <v/>
      </c>
      <c r="X65">
        <f>HYPERLINK("https://klasma.github.io/Logging_1783/kartor/A 36223-2026 karta.png", "A 36223-2026")</f>
        <v/>
      </c>
      <c r="Y65">
        <f>HYPERLINK("https://klasma.github.io/Logging_1783/kartor_geotiff/A 36223-2026 georefererad karta.tif", "A 36223-2026")</f>
        <v/>
      </c>
      <c r="AA65">
        <f>HYPERLINK("https://klasma.github.io/Logging_1783/klagomål/A 36223-2026 FSC-klagomål.docx", "A 36223-2026")</f>
        <v/>
      </c>
      <c r="AB65">
        <f>HYPERLINK("https://klasma.github.io/Logging_1783/klagomålsmail/A 36223-2026 FSC-klagomål mail.docx", "A 36223-2026")</f>
        <v/>
      </c>
      <c r="AC65">
        <f>HYPERLINK("https://klasma.github.io/Logging_1783/tillsyn/A 36223-2026 tillsynsbegäran.docx", "A 36223-2026")</f>
        <v/>
      </c>
      <c r="AD65">
        <f>HYPERLINK("https://klasma.github.io/Logging_1783/tillsynsmail/A 36223-2026 tillsynsbegäran mail.docx", "A 36223-2026")</f>
        <v/>
      </c>
      <c r="AE65">
        <f>HYPERLINK("https://klasma.github.io/Logging_1783/fåglar/A 36223-2026 prioriterade fågelarter.docx", "A 36223-2026")</f>
        <v/>
      </c>
    </row>
    <row r="66" ht="15" customHeight="1">
      <c r="A66" t="inlineStr">
        <is>
          <t>A 12445-2026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46311</v>
      </c>
      <c r="F66" t="inlineStr">
        <is>
          <t>VÄRMLANDS LÄN</t>
        </is>
      </c>
      <c r="G66" t="inlineStr">
        <is>
          <t>HAGFORS</t>
        </is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HYPERLINK("https://klasma.github.io/Logging_1783/artfynd/A 12445-2026 artfynd.xlsx", "A 12445-2026")</f>
        <v/>
      </c>
      <c r="X66">
        <f>HYPERLINK("https://klasma.github.io/Logging_1783/kartor/A 12445-2026 karta.png", "A 12445-2026")</f>
        <v/>
      </c>
      <c r="Y66">
        <f>HYPERLINK("https://klasma.github.io/Logging_1783/kartor_geotiff/A 12445-2026 georefererad karta.tif", "A 12445-2026")</f>
        <v/>
      </c>
      <c r="AA66">
        <f>HYPERLINK("https://klasma.github.io/Logging_1783/klagomål/A 12445-2026 FSC-klagomål.docx", "A 12445-2026")</f>
        <v/>
      </c>
      <c r="AB66">
        <f>HYPERLINK("https://klasma.github.io/Logging_1783/klagomålsmail/A 12445-2026 FSC-klagomål mail.docx", "A 12445-2026")</f>
        <v/>
      </c>
      <c r="AC66">
        <f>HYPERLINK("https://klasma.github.io/Logging_1783/tillsyn/A 12445-2026 tillsynsbegäran.docx", "A 12445-2026")</f>
        <v/>
      </c>
      <c r="AD66">
        <f>HYPERLINK("https://klasma.github.io/Logging_1783/tillsynsmail/A 12445-2026 tillsynsbegäran mail.docx", "A 12445-2026")</f>
        <v/>
      </c>
      <c r="AE66">
        <f>HYPERLINK("https://klasma.github.io/Logging_1783/fåglar/A 12445-2026 prioriterade fågelarter.docx", "A 12445-2026")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46311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46311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46311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46311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46311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46311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46311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46311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46311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46311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46311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46311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46311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46311</v>
      </c>
      <c r="F81" t="inlineStr">
        <is>
          <t>VÄRMLANDS LÄN</t>
        </is>
      </c>
      <c r="G81" t="inlineStr">
        <is>
          <t>HAGFORS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46311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46311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46311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46311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46311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46311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46311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46311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46311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46311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46311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46311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46311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46311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46311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46311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46311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46311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65565-2021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46311</v>
      </c>
      <c r="F103" t="inlineStr">
        <is>
          <t>VÄRMLANDS LÄN</t>
        </is>
      </c>
      <c r="G103" t="inlineStr">
        <is>
          <t>HAGFORS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17402-2022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44678</v>
      </c>
      <c r="E104" s="1" t="n">
        <v>46311</v>
      </c>
      <c r="F104" t="inlineStr">
        <is>
          <t>VÄRMLANDS LÄN</t>
        </is>
      </c>
      <c r="G104" t="inlineStr">
        <is>
          <t>HAGFORS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46311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46311</v>
      </c>
      <c r="F106" t="inlineStr">
        <is>
          <t>VÄRMLANDS LÄN</t>
        </is>
      </c>
      <c r="G106" t="inlineStr">
        <is>
          <t>HAGFORS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37085-2023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46311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46311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46311</v>
      </c>
      <c r="F109" t="inlineStr">
        <is>
          <t>VÄRMLANDS LÄN</t>
        </is>
      </c>
      <c r="G109" t="inlineStr">
        <is>
          <t>HAGFORS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46311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46311</v>
      </c>
      <c r="F111" t="inlineStr">
        <is>
          <t>VÄRMLANDS LÄN</t>
        </is>
      </c>
      <c r="G111" t="inlineStr">
        <is>
          <t>HAGFORS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46311</v>
      </c>
      <c r="F112" t="inlineStr">
        <is>
          <t>VÄRMLANDS LÄN</t>
        </is>
      </c>
      <c r="G112" t="inlineStr">
        <is>
          <t>HAGFORS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37463-2022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46311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46311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44851</v>
      </c>
      <c r="E115" s="1" t="n">
        <v>46311</v>
      </c>
      <c r="F115" t="inlineStr">
        <is>
          <t>VÄRMLANDS LÄN</t>
        </is>
      </c>
      <c r="G115" t="inlineStr">
        <is>
          <t>HAGFORS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45525</v>
      </c>
      <c r="E116" s="1" t="n">
        <v>46311</v>
      </c>
      <c r="F116" t="inlineStr">
        <is>
          <t>VÄRMLANDS LÄN</t>
        </is>
      </c>
      <c r="G116" t="inlineStr">
        <is>
          <t>HAGFORS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45621</v>
      </c>
      <c r="E117" s="1" t="n">
        <v>46311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46311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45842</v>
      </c>
      <c r="E119" s="1" t="n">
        <v>46311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44790</v>
      </c>
      <c r="E120" s="1" t="n">
        <v>46311</v>
      </c>
      <c r="F120" t="inlineStr">
        <is>
          <t>VÄRMLANDS LÄN</t>
        </is>
      </c>
      <c r="G120" t="inlineStr">
        <is>
          <t>HAGFORS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46311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44606</v>
      </c>
      <c r="E122" s="1" t="n">
        <v>46311</v>
      </c>
      <c r="F122" t="inlineStr">
        <is>
          <t>VÄRMLANDS LÄN</t>
        </is>
      </c>
      <c r="G122" t="inlineStr">
        <is>
          <t>HAGFORS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45461</v>
      </c>
      <c r="E123" s="1" t="n">
        <v>46311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46311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46311</v>
      </c>
      <c r="F125" t="inlineStr">
        <is>
          <t>VÄRMLANDS LÄN</t>
        </is>
      </c>
      <c r="G125" t="inlineStr">
        <is>
          <t>HAGFORS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46311</v>
      </c>
      <c r="F126" t="inlineStr">
        <is>
          <t>VÄRMLANDS LÄN</t>
        </is>
      </c>
      <c r="G126" t="inlineStr">
        <is>
          <t>HAGFORS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26463-2025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45807</v>
      </c>
      <c r="E127" s="1" t="n">
        <v>46311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46311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52383-2024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46311</v>
      </c>
      <c r="F129" t="inlineStr">
        <is>
          <t>VÄRMLANDS LÄN</t>
        </is>
      </c>
      <c r="G129" t="inlineStr">
        <is>
          <t>HAGFORS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46311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26617-2025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45810</v>
      </c>
      <c r="E131" s="1" t="n">
        <v>46311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46311</v>
      </c>
      <c r="F132" t="inlineStr">
        <is>
          <t>VÄRMLANDS LÄN</t>
        </is>
      </c>
      <c r="G132" t="inlineStr">
        <is>
          <t>HAGFORS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46311</v>
      </c>
      <c r="F133" t="inlineStr">
        <is>
          <t>VÄRMLANDS LÄN</t>
        </is>
      </c>
      <c r="G133" t="inlineStr">
        <is>
          <t>HAGFORS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46311</v>
      </c>
      <c r="F134" t="inlineStr">
        <is>
          <t>VÄRMLANDS LÄN</t>
        </is>
      </c>
      <c r="G134" t="inlineStr">
        <is>
          <t>HAGFORS</t>
        </is>
      </c>
      <c r="H134" t="inlineStr">
        <is>
          <t>Kommuner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46311</v>
      </c>
      <c r="F135" t="inlineStr">
        <is>
          <t>VÄRMLANDS LÄN</t>
        </is>
      </c>
      <c r="G135" t="inlineStr">
        <is>
          <t>HAGFORS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46311</v>
      </c>
      <c r="F136" t="inlineStr">
        <is>
          <t>VÄRMLANDS LÄN</t>
        </is>
      </c>
      <c r="G136" t="inlineStr">
        <is>
          <t>HAGFORS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46311</v>
      </c>
      <c r="F137" t="inlineStr">
        <is>
          <t>VÄRMLANDS LÄN</t>
        </is>
      </c>
      <c r="G137" t="inlineStr">
        <is>
          <t>HAGFORS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46311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46311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44770</v>
      </c>
      <c r="E140" s="1" t="n">
        <v>46311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15538-2024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45401</v>
      </c>
      <c r="E141" s="1" t="n">
        <v>46311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46311</v>
      </c>
      <c r="F142" t="inlineStr">
        <is>
          <t>VÄRMLANDS LÄN</t>
        </is>
      </c>
      <c r="G142" t="inlineStr">
        <is>
          <t>HAGFORS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46311</v>
      </c>
      <c r="F143" t="inlineStr">
        <is>
          <t>VÄRMLANDS LÄN</t>
        </is>
      </c>
      <c r="G143" t="inlineStr">
        <is>
          <t>HAGFORS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46311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46311</v>
      </c>
      <c r="F145" t="inlineStr">
        <is>
          <t>VÄRMLANDS LÄN</t>
        </is>
      </c>
      <c r="G145" t="inlineStr">
        <is>
          <t>HAGFORS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46311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46311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17297-2024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45414</v>
      </c>
      <c r="E148" s="1" t="n">
        <v>46311</v>
      </c>
      <c r="F148" t="inlineStr">
        <is>
          <t>VÄRMLANDS LÄN</t>
        </is>
      </c>
      <c r="G148" t="inlineStr">
        <is>
          <t>HAGFORS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17329-2024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45414</v>
      </c>
      <c r="E149" s="1" t="n">
        <v>46311</v>
      </c>
      <c r="F149" t="inlineStr">
        <is>
          <t>VÄRMLANDS LÄN</t>
        </is>
      </c>
      <c r="G149" t="inlineStr">
        <is>
          <t>HAGFORS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46311</v>
      </c>
      <c r="F150" t="inlineStr">
        <is>
          <t>VÄRMLANDS LÄN</t>
        </is>
      </c>
      <c r="G150" t="inlineStr">
        <is>
          <t>HAGFORS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46311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45338</v>
      </c>
      <c r="E152" s="1" t="n">
        <v>46311</v>
      </c>
      <c r="F152" t="inlineStr">
        <is>
          <t>VÄRMLANDS LÄN</t>
        </is>
      </c>
      <c r="G152" t="inlineStr">
        <is>
          <t>HAGFORS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46311</v>
      </c>
      <c r="F153" t="inlineStr">
        <is>
          <t>VÄRMLANDS LÄN</t>
        </is>
      </c>
      <c r="G153" t="inlineStr">
        <is>
          <t>HAGFORS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45211</v>
      </c>
      <c r="E154" s="1" t="n">
        <v>46311</v>
      </c>
      <c r="F154" t="inlineStr">
        <is>
          <t>VÄRMLANDS LÄN</t>
        </is>
      </c>
      <c r="G154" t="inlineStr">
        <is>
          <t>HAGFORS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46311</v>
      </c>
      <c r="F155" t="inlineStr">
        <is>
          <t>VÄRMLANDS LÄN</t>
        </is>
      </c>
      <c r="G155" t="inlineStr">
        <is>
          <t>HAGFORS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46311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61140-2023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45261</v>
      </c>
      <c r="E157" s="1" t="n">
        <v>46311</v>
      </c>
      <c r="F157" t="inlineStr">
        <is>
          <t>VÄRMLANDS LÄN</t>
        </is>
      </c>
      <c r="G157" t="inlineStr">
        <is>
          <t>HAGFORS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46311</v>
      </c>
      <c r="F158" t="inlineStr">
        <is>
          <t>VÄRMLANDS LÄN</t>
        </is>
      </c>
      <c r="G158" t="inlineStr">
        <is>
          <t>HAGFORS</t>
        </is>
      </c>
      <c r="H158" t="inlineStr">
        <is>
          <t>Kyrkan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45741</v>
      </c>
      <c r="E159" s="1" t="n">
        <v>46311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46311</v>
      </c>
      <c r="F160" t="inlineStr">
        <is>
          <t>VÄRMLANDS LÄN</t>
        </is>
      </c>
      <c r="G160" t="inlineStr">
        <is>
          <t>HAGFORS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46311</v>
      </c>
      <c r="F161" t="inlineStr">
        <is>
          <t>VÄRMLANDS LÄN</t>
        </is>
      </c>
      <c r="G161" t="inlineStr">
        <is>
          <t>HAGFORS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46311</v>
      </c>
      <c r="F162" t="inlineStr">
        <is>
          <t>VÄRMLANDS LÄN</t>
        </is>
      </c>
      <c r="G162" t="inlineStr">
        <is>
          <t>HAGFORS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46311</v>
      </c>
      <c r="F163" t="inlineStr">
        <is>
          <t>VÄRMLANDS LÄN</t>
        </is>
      </c>
      <c r="G163" t="inlineStr">
        <is>
          <t>HAGFORS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46311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46311</v>
      </c>
      <c r="F165" t="inlineStr">
        <is>
          <t>VÄRMLANDS LÄN</t>
        </is>
      </c>
      <c r="G165" t="inlineStr">
        <is>
          <t>HAGFORS</t>
        </is>
      </c>
      <c r="H165" t="inlineStr">
        <is>
          <t>Kyrkan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45090</v>
      </c>
      <c r="E166" s="1" t="n">
        <v>46311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46311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46311</v>
      </c>
      <c r="F168" t="inlineStr">
        <is>
          <t>VÄRMLANDS LÄN</t>
        </is>
      </c>
      <c r="G168" t="inlineStr">
        <is>
          <t>HAGFORS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46311</v>
      </c>
      <c r="F169" t="inlineStr">
        <is>
          <t>VÄRMLANDS LÄN</t>
        </is>
      </c>
      <c r="G169" t="inlineStr">
        <is>
          <t>HAGFORS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45425</v>
      </c>
      <c r="E170" s="1" t="n">
        <v>46311</v>
      </c>
      <c r="F170" t="inlineStr">
        <is>
          <t>VÄRMLANDS LÄN</t>
        </is>
      </c>
      <c r="G170" t="inlineStr">
        <is>
          <t>HAGFORS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46311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46311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46311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46311</v>
      </c>
      <c r="F174" t="inlineStr">
        <is>
          <t>VÄRMLANDS LÄN</t>
        </is>
      </c>
      <c r="G174" t="inlineStr">
        <is>
          <t>HAGFORS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46311</v>
      </c>
      <c r="F175" t="inlineStr">
        <is>
          <t>VÄRMLANDS LÄN</t>
        </is>
      </c>
      <c r="G175" t="inlineStr">
        <is>
          <t>HAGFORS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46311</v>
      </c>
      <c r="F176" t="inlineStr">
        <is>
          <t>VÄRMLANDS LÄN</t>
        </is>
      </c>
      <c r="G176" t="inlineStr">
        <is>
          <t>HAGFORS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46311</v>
      </c>
      <c r="F177" t="inlineStr">
        <is>
          <t>VÄRMLANDS LÄN</t>
        </is>
      </c>
      <c r="G177" t="inlineStr">
        <is>
          <t>HAGFORS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46311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46311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44883</v>
      </c>
      <c r="E180" s="1" t="n">
        <v>46311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46311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46311</v>
      </c>
      <c r="F182" t="inlineStr">
        <is>
          <t>VÄRMLANDS LÄN</t>
        </is>
      </c>
      <c r="G182" t="inlineStr">
        <is>
          <t>HAGFORS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46311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46311</v>
      </c>
      <c r="F184" t="inlineStr">
        <is>
          <t>VÄRMLANDS LÄN</t>
        </is>
      </c>
      <c r="G184" t="inlineStr">
        <is>
          <t>HAGFORS</t>
        </is>
      </c>
      <c r="I184" t="n">
        <v>11.5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45772</v>
      </c>
      <c r="E185" s="1" t="n">
        <v>46311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45366</v>
      </c>
      <c r="E186" s="1" t="n">
        <v>46311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46311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19554-2024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45429</v>
      </c>
      <c r="E188" s="1" t="n">
        <v>46311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46311</v>
      </c>
      <c r="F189" t="inlineStr">
        <is>
          <t>VÄRMLANDS LÄN</t>
        </is>
      </c>
      <c r="G189" t="inlineStr">
        <is>
          <t>HAGFORS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46311</v>
      </c>
      <c r="F190" t="inlineStr">
        <is>
          <t>VÄRMLANDS LÄN</t>
        </is>
      </c>
      <c r="G190" t="inlineStr">
        <is>
          <t>HAGFORS</t>
        </is>
      </c>
      <c r="H190" t="inlineStr">
        <is>
          <t>Kyrkan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46311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46311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33440-2025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45841</v>
      </c>
      <c r="E193" s="1" t="n">
        <v>46311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22503-2024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45447</v>
      </c>
      <c r="E194" s="1" t="n">
        <v>46311</v>
      </c>
      <c r="F194" t="inlineStr">
        <is>
          <t>VÄRMLANDS LÄN</t>
        </is>
      </c>
      <c r="G194" t="inlineStr">
        <is>
          <t>HAGFORS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45371</v>
      </c>
      <c r="E195" s="1" t="n">
        <v>46311</v>
      </c>
      <c r="F195" t="inlineStr">
        <is>
          <t>VÄRMLANDS LÄN</t>
        </is>
      </c>
      <c r="G195" t="inlineStr">
        <is>
          <t>HAGFORS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46311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46311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46311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46311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46311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46311</v>
      </c>
      <c r="F201" t="inlineStr">
        <is>
          <t>VÄRMLANDS LÄN</t>
        </is>
      </c>
      <c r="G201" t="inlineStr">
        <is>
          <t>HAGFORS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46311</v>
      </c>
      <c r="F202" t="inlineStr">
        <is>
          <t>VÄRMLANDS LÄN</t>
        </is>
      </c>
      <c r="G202" t="inlineStr">
        <is>
          <t>HAGFORS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46311</v>
      </c>
      <c r="F203" t="inlineStr">
        <is>
          <t>VÄRMLANDS LÄN</t>
        </is>
      </c>
      <c r="G203" t="inlineStr">
        <is>
          <t>HAGFORS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46311</v>
      </c>
      <c r="F204" t="inlineStr">
        <is>
          <t>VÄRMLANDS LÄN</t>
        </is>
      </c>
      <c r="G204" t="inlineStr">
        <is>
          <t>HAGFORS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45770</v>
      </c>
      <c r="E205" s="1" t="n">
        <v>46311</v>
      </c>
      <c r="F205" t="inlineStr">
        <is>
          <t>VÄRMLANDS LÄN</t>
        </is>
      </c>
      <c r="G205" t="inlineStr">
        <is>
          <t>HAGFORS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45565</v>
      </c>
      <c r="E206" s="1" t="n">
        <v>46311</v>
      </c>
      <c r="F206" t="inlineStr">
        <is>
          <t>VÄRMLANDS LÄN</t>
        </is>
      </c>
      <c r="G206" t="inlineStr">
        <is>
          <t>HAGFORS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46311</v>
      </c>
      <c r="F207" t="inlineStr">
        <is>
          <t>VÄRMLANDS LÄN</t>
        </is>
      </c>
      <c r="G207" t="inlineStr">
        <is>
          <t>HAGFORS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44950</v>
      </c>
      <c r="E208" s="1" t="n">
        <v>46311</v>
      </c>
      <c r="F208" t="inlineStr">
        <is>
          <t>VÄRMLANDS LÄN</t>
        </is>
      </c>
      <c r="G208" t="inlineStr">
        <is>
          <t>HAGFORS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46311</v>
      </c>
      <c r="F209" t="inlineStr">
        <is>
          <t>VÄRMLANDS LÄN</t>
        </is>
      </c>
      <c r="G209" t="inlineStr">
        <is>
          <t>HAGFORS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60167-2023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45258</v>
      </c>
      <c r="E210" s="1" t="n">
        <v>46311</v>
      </c>
      <c r="F210" t="inlineStr">
        <is>
          <t>VÄRMLANDS LÄN</t>
        </is>
      </c>
      <c r="G210" t="inlineStr">
        <is>
          <t>HAGFORS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46311</v>
      </c>
      <c r="F211" t="inlineStr">
        <is>
          <t>VÄRMLANDS LÄN</t>
        </is>
      </c>
      <c r="G211" t="inlineStr">
        <is>
          <t>HAGFORS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46311</v>
      </c>
      <c r="F212" t="inlineStr">
        <is>
          <t>VÄRMLANDS LÄN</t>
        </is>
      </c>
      <c r="G212" t="inlineStr">
        <is>
          <t>HAGFORS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46311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46311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45854</v>
      </c>
      <c r="E215" s="1" t="n">
        <v>46311</v>
      </c>
      <c r="F215" t="inlineStr">
        <is>
          <t>VÄRMLANDS LÄN</t>
        </is>
      </c>
      <c r="G215" t="inlineStr">
        <is>
          <t>HAGFORS</t>
        </is>
      </c>
      <c r="H215" t="inlineStr">
        <is>
          <t>Kyrkan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45854</v>
      </c>
      <c r="E216" s="1" t="n">
        <v>46311</v>
      </c>
      <c r="F216" t="inlineStr">
        <is>
          <t>VÄRMLANDS LÄN</t>
        </is>
      </c>
      <c r="G216" t="inlineStr">
        <is>
          <t>HAGFORS</t>
        </is>
      </c>
      <c r="H216" t="inlineStr">
        <is>
          <t>Kyrkan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45287</v>
      </c>
      <c r="E217" s="1" t="n">
        <v>46311</v>
      </c>
      <c r="F217" t="inlineStr">
        <is>
          <t>VÄRMLANDS LÄN</t>
        </is>
      </c>
      <c r="G217" t="inlineStr">
        <is>
          <t>HAGFORS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58210-2022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44901</v>
      </c>
      <c r="E218" s="1" t="n">
        <v>46311</v>
      </c>
      <c r="F218" t="inlineStr">
        <is>
          <t>VÄRMLANDS LÄN</t>
        </is>
      </c>
      <c r="G218" t="inlineStr">
        <is>
          <t>HAGFORS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46311</v>
      </c>
      <c r="F219" t="inlineStr">
        <is>
          <t>VÄRMLANDS LÄN</t>
        </is>
      </c>
      <c r="G219" t="inlineStr">
        <is>
          <t>HAGFORS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45140</v>
      </c>
      <c r="E220" s="1" t="n">
        <v>46311</v>
      </c>
      <c r="F220" t="inlineStr">
        <is>
          <t>VÄRMLANDS LÄN</t>
        </is>
      </c>
      <c r="G220" t="inlineStr">
        <is>
          <t>HAGFORS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25258-2023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45079</v>
      </c>
      <c r="E221" s="1" t="n">
        <v>46311</v>
      </c>
      <c r="F221" t="inlineStr">
        <is>
          <t>VÄRMLANDS LÄN</t>
        </is>
      </c>
      <c r="G221" t="inlineStr">
        <is>
          <t>HAGFORS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46311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58808-2022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44903</v>
      </c>
      <c r="E223" s="1" t="n">
        <v>46311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46311</v>
      </c>
      <c r="F224" t="inlineStr">
        <is>
          <t>VÄRMLANDS LÄN</t>
        </is>
      </c>
      <c r="G224" t="inlineStr">
        <is>
          <t>HAGFORS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46311</v>
      </c>
      <c r="F225" t="inlineStr">
        <is>
          <t>VÄRMLANDS LÄN</t>
        </is>
      </c>
      <c r="G225" t="inlineStr">
        <is>
          <t>HAGFORS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46311</v>
      </c>
      <c r="F226" t="inlineStr">
        <is>
          <t>VÄRMLANDS LÄN</t>
        </is>
      </c>
      <c r="G226" t="inlineStr">
        <is>
          <t>HAGFORS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61169-2024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45645</v>
      </c>
      <c r="E227" s="1" t="n">
        <v>46311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46311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46311</v>
      </c>
      <c r="F229" t="inlineStr">
        <is>
          <t>VÄRMLANDS LÄN</t>
        </is>
      </c>
      <c r="G229" t="inlineStr">
        <is>
          <t>HAGFORS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46311</v>
      </c>
      <c r="F230" t="inlineStr">
        <is>
          <t>VÄRMLANDS LÄN</t>
        </is>
      </c>
      <c r="G230" t="inlineStr">
        <is>
          <t>HAGFORS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46311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71447-2021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44540</v>
      </c>
      <c r="E232" s="1" t="n">
        <v>46311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45750</v>
      </c>
      <c r="E233" s="1" t="n">
        <v>46311</v>
      </c>
      <c r="F233" t="inlineStr">
        <is>
          <t>VÄRMLANDS LÄN</t>
        </is>
      </c>
      <c r="G233" t="inlineStr">
        <is>
          <t>HAGFORS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46311</v>
      </c>
      <c r="F234" t="inlineStr">
        <is>
          <t>VÄRMLANDS LÄN</t>
        </is>
      </c>
      <c r="G234" t="inlineStr">
        <is>
          <t>HAGFORS</t>
        </is>
      </c>
      <c r="H234" t="inlineStr">
        <is>
          <t>Kyrkan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44924</v>
      </c>
      <c r="E235" s="1" t="n">
        <v>46311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58084-2024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46311</v>
      </c>
      <c r="F236" t="inlineStr">
        <is>
          <t>VÄRMLANDS LÄN</t>
        </is>
      </c>
      <c r="G236" t="inlineStr">
        <is>
          <t>HAGFORS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46311</v>
      </c>
      <c r="F237" t="inlineStr">
        <is>
          <t>VÄRMLANDS LÄN</t>
        </is>
      </c>
      <c r="G237" t="inlineStr">
        <is>
          <t>HAGFORS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45084</v>
      </c>
      <c r="E238" s="1" t="n">
        <v>46311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44951</v>
      </c>
      <c r="E239" s="1" t="n">
        <v>46311</v>
      </c>
      <c r="F239" t="inlineStr">
        <is>
          <t>VÄRMLANDS LÄN</t>
        </is>
      </c>
      <c r="G239" t="inlineStr">
        <is>
          <t>HAGFORS</t>
        </is>
      </c>
      <c r="H239" t="inlineStr">
        <is>
          <t>Kyrkan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46311</v>
      </c>
      <c r="F240" t="inlineStr">
        <is>
          <t>VÄRMLANDS LÄN</t>
        </is>
      </c>
      <c r="G240" t="inlineStr">
        <is>
          <t>HAGFORS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46311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46311</v>
      </c>
      <c r="F242" t="inlineStr">
        <is>
          <t>VÄRMLANDS LÄN</t>
        </is>
      </c>
      <c r="G242" t="inlineStr">
        <is>
          <t>HAGFORS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44938</v>
      </c>
      <c r="E243" s="1" t="n">
        <v>46311</v>
      </c>
      <c r="F243" t="inlineStr">
        <is>
          <t>VÄRMLANDS LÄN</t>
        </is>
      </c>
      <c r="G243" t="inlineStr">
        <is>
          <t>HAGFORS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46311</v>
      </c>
      <c r="F244" t="inlineStr">
        <is>
          <t>VÄRMLANDS LÄN</t>
        </is>
      </c>
      <c r="G244" t="inlineStr">
        <is>
          <t>HAGFORS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45475</v>
      </c>
      <c r="E245" s="1" t="n">
        <v>46311</v>
      </c>
      <c r="F245" t="inlineStr">
        <is>
          <t>VÄRMLANDS LÄN</t>
        </is>
      </c>
      <c r="G245" t="inlineStr">
        <is>
          <t>HAGFORS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44582</v>
      </c>
      <c r="E246" s="1" t="n">
        <v>46311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46311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46311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45428</v>
      </c>
      <c r="E249" s="1" t="n">
        <v>46311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46311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45335</v>
      </c>
      <c r="E251" s="1" t="n">
        <v>46311</v>
      </c>
      <c r="F251" t="inlineStr">
        <is>
          <t>VÄRMLANDS LÄN</t>
        </is>
      </c>
      <c r="G251" t="inlineStr">
        <is>
          <t>HAGFORS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17305-2023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45035</v>
      </c>
      <c r="E252" s="1" t="n">
        <v>46311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45050</v>
      </c>
      <c r="E253" s="1" t="n">
        <v>46311</v>
      </c>
      <c r="F253" t="inlineStr">
        <is>
          <t>VÄRMLANDS LÄN</t>
        </is>
      </c>
      <c r="G253" t="inlineStr">
        <is>
          <t>HAGFORS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46311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44567</v>
      </c>
      <c r="E255" s="1" t="n">
        <v>46311</v>
      </c>
      <c r="F255" t="inlineStr">
        <is>
          <t>VÄRMLANDS LÄN</t>
        </is>
      </c>
      <c r="G255" t="inlineStr">
        <is>
          <t>HAGFORS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46311</v>
      </c>
      <c r="F256" t="inlineStr">
        <is>
          <t>VÄRMLANDS LÄN</t>
        </is>
      </c>
      <c r="G256" t="inlineStr">
        <is>
          <t>HAGFORS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45739</v>
      </c>
      <c r="E257" s="1" t="n">
        <v>46311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46311</v>
      </c>
      <c r="F258" t="inlineStr">
        <is>
          <t>VÄRMLANDS LÄN</t>
        </is>
      </c>
      <c r="G258" t="inlineStr">
        <is>
          <t>HAGFORS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46311</v>
      </c>
      <c r="F259" t="inlineStr">
        <is>
          <t>VÄRMLANDS LÄN</t>
        </is>
      </c>
      <c r="G259" t="inlineStr">
        <is>
          <t>HAGFORS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44622</v>
      </c>
      <c r="E260" s="1" t="n">
        <v>46311</v>
      </c>
      <c r="F260" t="inlineStr">
        <is>
          <t>VÄRMLANDS LÄN</t>
        </is>
      </c>
      <c r="G260" t="inlineStr">
        <is>
          <t>HAGFORS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46311</v>
      </c>
      <c r="F261" t="inlineStr">
        <is>
          <t>VÄRMLANDS LÄN</t>
        </is>
      </c>
      <c r="G261" t="inlineStr">
        <is>
          <t>HAGFORS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46311</v>
      </c>
      <c r="F262" t="inlineStr">
        <is>
          <t>VÄRMLANDS LÄN</t>
        </is>
      </c>
      <c r="G262" t="inlineStr">
        <is>
          <t>HAGFORS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13360-2026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46311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46311</v>
      </c>
      <c r="F264" t="inlineStr">
        <is>
          <t>VÄRMLANDS LÄN</t>
        </is>
      </c>
      <c r="G264" t="inlineStr">
        <is>
          <t>HAGFORS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41739-2025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45902</v>
      </c>
      <c r="E265" s="1" t="n">
        <v>46311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46311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44938</v>
      </c>
      <c r="E267" s="1" t="n">
        <v>46311</v>
      </c>
      <c r="F267" t="inlineStr">
        <is>
          <t>VÄRMLANDS LÄN</t>
        </is>
      </c>
      <c r="G267" t="inlineStr">
        <is>
          <t>HAGFORS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46311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45175</v>
      </c>
      <c r="E269" s="1" t="n">
        <v>46311</v>
      </c>
      <c r="F269" t="inlineStr">
        <is>
          <t>VÄRMLANDS LÄN</t>
        </is>
      </c>
      <c r="G269" t="inlineStr">
        <is>
          <t>HAGFORS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14288-2026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46311</v>
      </c>
      <c r="F270" t="inlineStr">
        <is>
          <t>VÄRMLANDS LÄN</t>
        </is>
      </c>
      <c r="G270" t="inlineStr">
        <is>
          <t>HAGFORS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46311</v>
      </c>
      <c r="F271" t="inlineStr">
        <is>
          <t>VÄRMLANDS LÄN</t>
        </is>
      </c>
      <c r="G271" t="inlineStr">
        <is>
          <t>HAGFORS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46311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46311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46311</v>
      </c>
      <c r="F274" t="inlineStr">
        <is>
          <t>VÄRMLANDS LÄN</t>
        </is>
      </c>
      <c r="G274" t="inlineStr">
        <is>
          <t>HAGFORS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46311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46311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46311</v>
      </c>
      <c r="F277" t="inlineStr">
        <is>
          <t>VÄRMLANDS LÄN</t>
        </is>
      </c>
      <c r="G277" t="inlineStr">
        <is>
          <t>HAGFORS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46311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45492</v>
      </c>
      <c r="E279" s="1" t="n">
        <v>46311</v>
      </c>
      <c r="F279" t="inlineStr">
        <is>
          <t>VÄRMLANDS LÄN</t>
        </is>
      </c>
      <c r="G279" t="inlineStr">
        <is>
          <t>HAGFORS</t>
        </is>
      </c>
      <c r="H279" t="inlineStr">
        <is>
          <t>Kyrkan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46311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46311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46311</v>
      </c>
      <c r="F282" t="inlineStr">
        <is>
          <t>VÄRMLANDS LÄN</t>
        </is>
      </c>
      <c r="G282" t="inlineStr">
        <is>
          <t>HAGFORS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46311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46311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46311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46311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46311</v>
      </c>
      <c r="F287" t="inlineStr">
        <is>
          <t>VÄRMLANDS LÄN</t>
        </is>
      </c>
      <c r="G287" t="inlineStr">
        <is>
          <t>HAGFORS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46311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46311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46311</v>
      </c>
      <c r="F290" t="inlineStr">
        <is>
          <t>VÄRMLANDS LÄN</t>
        </is>
      </c>
      <c r="G290" t="inlineStr">
        <is>
          <t>HAGFORS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46311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9.4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46311</v>
      </c>
      <c r="F292" t="inlineStr">
        <is>
          <t>VÄRMLANDS LÄN</t>
        </is>
      </c>
      <c r="G292" t="inlineStr">
        <is>
          <t>HAGFORS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46311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46311</v>
      </c>
      <c r="F294" t="inlineStr">
        <is>
          <t>VÄRMLANDS LÄN</t>
        </is>
      </c>
      <c r="G294" t="inlineStr">
        <is>
          <t>HAGFORS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16824-2023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45033</v>
      </c>
      <c r="E295" s="1" t="n">
        <v>46311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46311</v>
      </c>
      <c r="F296" t="inlineStr">
        <is>
          <t>VÄRMLANDS LÄN</t>
        </is>
      </c>
      <c r="G296" t="inlineStr">
        <is>
          <t>HAGFORS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54757-2022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44883</v>
      </c>
      <c r="E297" s="1" t="n">
        <v>46311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46311</v>
      </c>
      <c r="F298" t="inlineStr">
        <is>
          <t>VÄRMLANDS LÄN</t>
        </is>
      </c>
      <c r="G298" t="inlineStr">
        <is>
          <t>HAGFORS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45526</v>
      </c>
      <c r="E299" s="1" t="n">
        <v>46311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46311</v>
      </c>
      <c r="F300" t="inlineStr">
        <is>
          <t>VÄRMLANDS LÄN</t>
        </is>
      </c>
      <c r="G300" t="inlineStr">
        <is>
          <t>HAGFORS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46311</v>
      </c>
      <c r="F301" t="inlineStr">
        <is>
          <t>VÄRMLANDS LÄN</t>
        </is>
      </c>
      <c r="G301" t="inlineStr">
        <is>
          <t>HAGFORS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46311</v>
      </c>
      <c r="F302" t="inlineStr">
        <is>
          <t>VÄRMLANDS LÄN</t>
        </is>
      </c>
      <c r="G302" t="inlineStr">
        <is>
          <t>HAGFORS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46311</v>
      </c>
      <c r="F303" t="inlineStr">
        <is>
          <t>VÄRMLANDS LÄN</t>
        </is>
      </c>
      <c r="G303" t="inlineStr">
        <is>
          <t>HAGFORS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46311</v>
      </c>
      <c r="F304" t="inlineStr">
        <is>
          <t>VÄRMLANDS LÄN</t>
        </is>
      </c>
      <c r="G304" t="inlineStr">
        <is>
          <t>HAGFORS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45201</v>
      </c>
      <c r="E305" s="1" t="n">
        <v>46311</v>
      </c>
      <c r="F305" t="inlineStr">
        <is>
          <t>VÄRMLANDS LÄN</t>
        </is>
      </c>
      <c r="G305" t="inlineStr">
        <is>
          <t>HAGFORS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46311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12426-2024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45379</v>
      </c>
      <c r="E307" s="1" t="n">
        <v>46311</v>
      </c>
      <c r="F307" t="inlineStr">
        <is>
          <t>VÄRMLANDS LÄN</t>
        </is>
      </c>
      <c r="G307" t="inlineStr">
        <is>
          <t>HAGFORS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46311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46311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40692-2022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44824</v>
      </c>
      <c r="E310" s="1" t="n">
        <v>46311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17778-2026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46311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46311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45582</v>
      </c>
      <c r="E313" s="1" t="n">
        <v>46311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46311</v>
      </c>
      <c r="F314" t="inlineStr">
        <is>
          <t>VÄRMLANDS LÄN</t>
        </is>
      </c>
      <c r="G314" t="inlineStr">
        <is>
          <t>HAGFORS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45446</v>
      </c>
      <c r="E315" s="1" t="n">
        <v>46311</v>
      </c>
      <c r="F315" t="inlineStr">
        <is>
          <t>VÄRMLANDS LÄN</t>
        </is>
      </c>
      <c r="G315" t="inlineStr">
        <is>
          <t>HAGFORS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46311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45572</v>
      </c>
      <c r="E317" s="1" t="n">
        <v>46311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46311</v>
      </c>
      <c r="F318" t="inlineStr">
        <is>
          <t>VÄRMLANDS LÄN</t>
        </is>
      </c>
      <c r="G318" t="inlineStr">
        <is>
          <t>HAGFORS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46311</v>
      </c>
      <c r="F319" t="inlineStr">
        <is>
          <t>VÄRMLANDS LÄN</t>
        </is>
      </c>
      <c r="G319" t="inlineStr">
        <is>
          <t>HAGFORS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44603</v>
      </c>
      <c r="E320" s="1" t="n">
        <v>46311</v>
      </c>
      <c r="F320" t="inlineStr">
        <is>
          <t>VÄRMLANDS LÄN</t>
        </is>
      </c>
      <c r="G320" t="inlineStr">
        <is>
          <t>HAGFORS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18797-2026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46311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45037</v>
      </c>
      <c r="E322" s="1" t="n">
        <v>46311</v>
      </c>
      <c r="F322" t="inlineStr">
        <is>
          <t>VÄRMLANDS LÄN</t>
        </is>
      </c>
      <c r="G322" t="inlineStr">
        <is>
          <t>HAGFORS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44596</v>
      </c>
      <c r="E323" s="1" t="n">
        <v>46311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46129</v>
      </c>
      <c r="E324" s="1" t="n">
        <v>46311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46311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41092-2024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45559</v>
      </c>
      <c r="E326" s="1" t="n">
        <v>46311</v>
      </c>
      <c r="F326" t="inlineStr">
        <is>
          <t>VÄRMLANDS LÄN</t>
        </is>
      </c>
      <c r="G326" t="inlineStr">
        <is>
          <t>HAGFORS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46311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46311</v>
      </c>
      <c r="F328" t="inlineStr">
        <is>
          <t>VÄRMLANDS LÄN</t>
        </is>
      </c>
      <c r="G328" t="inlineStr">
        <is>
          <t>HAGFORS</t>
        </is>
      </c>
      <c r="H328" t="inlineStr">
        <is>
          <t>Kyrkan</t>
        </is>
      </c>
      <c r="I328" t="n">
        <v>8.800000000000001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46311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46311</v>
      </c>
      <c r="F330" t="inlineStr">
        <is>
          <t>VÄRMLANDS LÄN</t>
        </is>
      </c>
      <c r="G330" t="inlineStr">
        <is>
          <t>HAGFORS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46311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46311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46311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46311</v>
      </c>
      <c r="F334" t="inlineStr">
        <is>
          <t>VÄRMLANDS LÄN</t>
        </is>
      </c>
      <c r="G334" t="inlineStr">
        <is>
          <t>HAGFORS</t>
        </is>
      </c>
      <c r="H334" t="inlineStr">
        <is>
          <t>Kyrkan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45390</v>
      </c>
      <c r="E335" s="1" t="n">
        <v>46311</v>
      </c>
      <c r="F335" t="inlineStr">
        <is>
          <t>VÄRMLANDS LÄN</t>
        </is>
      </c>
      <c r="G335" t="inlineStr">
        <is>
          <t>HAGFORS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46311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46311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19421-2026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46311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46311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45506</v>
      </c>
      <c r="E340" s="1" t="n">
        <v>46311</v>
      </c>
      <c r="F340" t="inlineStr">
        <is>
          <t>VÄRMLANDS LÄN</t>
        </is>
      </c>
      <c r="G340" t="inlineStr">
        <is>
          <t>HAGFORS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46311</v>
      </c>
      <c r="F341" t="inlineStr">
        <is>
          <t>VÄRMLANDS LÄN</t>
        </is>
      </c>
      <c r="G341" t="inlineStr">
        <is>
          <t>HAGFORS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46311</v>
      </c>
      <c r="F342" t="inlineStr">
        <is>
          <t>VÄRMLANDS LÄN</t>
        </is>
      </c>
      <c r="G342" t="inlineStr">
        <is>
          <t>HAGFORS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46311</v>
      </c>
      <c r="F343" t="inlineStr">
        <is>
          <t>VÄRMLANDS LÄN</t>
        </is>
      </c>
      <c r="G343" t="inlineStr">
        <is>
          <t>HAGFORS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45659</v>
      </c>
      <c r="E344" s="1" t="n">
        <v>46311</v>
      </c>
      <c r="F344" t="inlineStr">
        <is>
          <t>VÄRMLANDS LÄN</t>
        </is>
      </c>
      <c r="G344" t="inlineStr">
        <is>
          <t>HAGFORS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46311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46311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45765</v>
      </c>
      <c r="E347" s="1" t="n">
        <v>46311</v>
      </c>
      <c r="F347" t="inlineStr">
        <is>
          <t>VÄRMLANDS LÄN</t>
        </is>
      </c>
      <c r="G347" t="inlineStr">
        <is>
          <t>HAGFORS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45713</v>
      </c>
      <c r="E348" s="1" t="n">
        <v>46311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45055</v>
      </c>
      <c r="E349" s="1" t="n">
        <v>46311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46311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45838</v>
      </c>
      <c r="E351" s="1" t="n">
        <v>46311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45763</v>
      </c>
      <c r="E352" s="1" t="n">
        <v>46311</v>
      </c>
      <c r="F352" t="inlineStr">
        <is>
          <t>VÄRMLANDS LÄN</t>
        </is>
      </c>
      <c r="G352" t="inlineStr">
        <is>
          <t>HAGFORS</t>
        </is>
      </c>
      <c r="H352" t="inlineStr">
        <is>
          <t>Kyrkan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46311</v>
      </c>
      <c r="F353" t="inlineStr">
        <is>
          <t>VÄRMLANDS LÄN</t>
        </is>
      </c>
      <c r="G353" t="inlineStr">
        <is>
          <t>HAGFORS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45097</v>
      </c>
      <c r="E354" s="1" t="n">
        <v>46311</v>
      </c>
      <c r="F354" t="inlineStr">
        <is>
          <t>VÄRMLANDS LÄN</t>
        </is>
      </c>
      <c r="G354" t="inlineStr">
        <is>
          <t>HAGFORS</t>
        </is>
      </c>
      <c r="H354" t="inlineStr">
        <is>
          <t>Kyrkan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46311</v>
      </c>
      <c r="F355" t="inlineStr">
        <is>
          <t>VÄRMLANDS LÄN</t>
        </is>
      </c>
      <c r="G355" t="inlineStr">
        <is>
          <t>HAGFORS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46311</v>
      </c>
      <c r="F356" t="inlineStr">
        <is>
          <t>VÄRMLANDS LÄN</t>
        </is>
      </c>
      <c r="G356" t="inlineStr">
        <is>
          <t>HAGFORS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46311</v>
      </c>
      <c r="F357" t="inlineStr">
        <is>
          <t>VÄRMLANDS LÄN</t>
        </is>
      </c>
      <c r="G357" t="inlineStr">
        <is>
          <t>HAGFORS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52924-2023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46311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45385</v>
      </c>
      <c r="E359" s="1" t="n">
        <v>46311</v>
      </c>
      <c r="F359" t="inlineStr">
        <is>
          <t>VÄRMLANDS LÄN</t>
        </is>
      </c>
      <c r="G359" t="inlineStr">
        <is>
          <t>HAGFORS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46311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45005</v>
      </c>
      <c r="E361" s="1" t="n">
        <v>46311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44613</v>
      </c>
      <c r="E362" s="1" t="n">
        <v>46311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46311</v>
      </c>
      <c r="F363" t="inlineStr">
        <is>
          <t>VÄRMLANDS LÄN</t>
        </is>
      </c>
      <c r="G363" t="inlineStr">
        <is>
          <t>HAGFORS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45671</v>
      </c>
      <c r="E364" s="1" t="n">
        <v>46311</v>
      </c>
      <c r="F364" t="inlineStr">
        <is>
          <t>VÄRMLANDS LÄN</t>
        </is>
      </c>
      <c r="G364" t="inlineStr">
        <is>
          <t>HAGFORS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45783</v>
      </c>
      <c r="E365" s="1" t="n">
        <v>46311</v>
      </c>
      <c r="F365" t="inlineStr">
        <is>
          <t>VÄRMLANDS LÄN</t>
        </is>
      </c>
      <c r="G365" t="inlineStr">
        <is>
          <t>HAGFORS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46311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52494-2024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45609</v>
      </c>
      <c r="E367" s="1" t="n">
        <v>46311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45786</v>
      </c>
      <c r="E368" s="1" t="n">
        <v>46311</v>
      </c>
      <c r="F368" t="inlineStr">
        <is>
          <t>VÄRMLANDS LÄN</t>
        </is>
      </c>
      <c r="G368" t="inlineStr">
        <is>
          <t>HAGFORS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45623</v>
      </c>
      <c r="E369" s="1" t="n">
        <v>46311</v>
      </c>
      <c r="F369" t="inlineStr">
        <is>
          <t>VÄRMLANDS LÄN</t>
        </is>
      </c>
      <c r="G369" t="inlineStr">
        <is>
          <t>HAGFORS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46311</v>
      </c>
      <c r="F370" t="inlineStr">
        <is>
          <t>VÄRMLANDS LÄN</t>
        </is>
      </c>
      <c r="G370" t="inlineStr">
        <is>
          <t>HAGFORS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45840</v>
      </c>
      <c r="E371" s="1" t="n">
        <v>46311</v>
      </c>
      <c r="F371" t="inlineStr">
        <is>
          <t>VÄRMLANDS LÄN</t>
        </is>
      </c>
      <c r="G371" t="inlineStr">
        <is>
          <t>HAGFORS</t>
        </is>
      </c>
      <c r="I371" t="n">
        <v>18.2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45450</v>
      </c>
      <c r="E372" s="1" t="n">
        <v>46311</v>
      </c>
      <c r="F372" t="inlineStr">
        <is>
          <t>VÄRMLANDS LÄN</t>
        </is>
      </c>
      <c r="G372" t="inlineStr">
        <is>
          <t>HAGFORS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44638</v>
      </c>
      <c r="E373" s="1" t="n">
        <v>46311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46311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46311</v>
      </c>
      <c r="F375" t="inlineStr">
        <is>
          <t>VÄRMLANDS LÄN</t>
        </is>
      </c>
      <c r="G375" t="inlineStr">
        <is>
          <t>HAGFORS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45149</v>
      </c>
      <c r="E376" s="1" t="n">
        <v>46311</v>
      </c>
      <c r="F376" t="inlineStr">
        <is>
          <t>VÄRMLANDS LÄN</t>
        </is>
      </c>
      <c r="G376" t="inlineStr">
        <is>
          <t>HAGFORS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34572-2025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45847</v>
      </c>
      <c r="E377" s="1" t="n">
        <v>46311</v>
      </c>
      <c r="F377" t="inlineStr">
        <is>
          <t>VÄRMLANDS LÄN</t>
        </is>
      </c>
      <c r="G377" t="inlineStr">
        <is>
          <t>HAGFORS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45703</v>
      </c>
      <c r="E378" s="1" t="n">
        <v>46311</v>
      </c>
      <c r="F378" t="inlineStr">
        <is>
          <t>VÄRMLANDS LÄN</t>
        </is>
      </c>
      <c r="G378" t="inlineStr">
        <is>
          <t>HAGFORS</t>
        </is>
      </c>
      <c r="H378" t="inlineStr">
        <is>
          <t>Kyrkan</t>
        </is>
      </c>
      <c r="I378" t="n">
        <v>15.9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45148</v>
      </c>
      <c r="E379" s="1" t="n">
        <v>46311</v>
      </c>
      <c r="F379" t="inlineStr">
        <is>
          <t>VÄRMLANDS LÄN</t>
        </is>
      </c>
      <c r="G379" t="inlineStr">
        <is>
          <t>HAGFORS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46311</v>
      </c>
      <c r="F380" t="inlineStr">
        <is>
          <t>VÄRMLANDS LÄN</t>
        </is>
      </c>
      <c r="G380" t="inlineStr">
        <is>
          <t>HAGFORS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46020</v>
      </c>
      <c r="E381" s="1" t="n">
        <v>46311</v>
      </c>
      <c r="F381" t="inlineStr">
        <is>
          <t>VÄRMLANDS LÄN</t>
        </is>
      </c>
      <c r="G381" t="inlineStr">
        <is>
          <t>HAGFORS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18699-2022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44687</v>
      </c>
      <c r="E382" s="1" t="n">
        <v>46311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45484</v>
      </c>
      <c r="E383" s="1" t="n">
        <v>46311</v>
      </c>
      <c r="F383" t="inlineStr">
        <is>
          <t>VÄRMLANDS LÄN</t>
        </is>
      </c>
      <c r="G383" t="inlineStr">
        <is>
          <t>HAGFORS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45006</v>
      </c>
      <c r="E384" s="1" t="n">
        <v>46311</v>
      </c>
      <c r="F384" t="inlineStr">
        <is>
          <t>VÄRMLANDS LÄN</t>
        </is>
      </c>
      <c r="G384" t="inlineStr">
        <is>
          <t>HAGFORS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43084-2025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46311</v>
      </c>
      <c r="F385" t="inlineStr">
        <is>
          <t>VÄRMLANDS LÄN</t>
        </is>
      </c>
      <c r="G385" t="inlineStr">
        <is>
          <t>HAGFORS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46311</v>
      </c>
      <c r="F386" t="inlineStr">
        <is>
          <t>VÄRMLANDS LÄN</t>
        </is>
      </c>
      <c r="G386" t="inlineStr">
        <is>
          <t>HAGFORS</t>
        </is>
      </c>
      <c r="H386" t="inlineStr">
        <is>
          <t>Kommuner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45461</v>
      </c>
      <c r="E387" s="1" t="n">
        <v>46311</v>
      </c>
      <c r="F387" t="inlineStr">
        <is>
          <t>VÄRMLANDS LÄN</t>
        </is>
      </c>
      <c r="G387" t="inlineStr">
        <is>
          <t>HAGFORS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20260-2026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46139</v>
      </c>
      <c r="E388" s="1" t="n">
        <v>46311</v>
      </c>
      <c r="F388" t="inlineStr">
        <is>
          <t>VÄRMLANDS LÄN</t>
        </is>
      </c>
      <c r="G388" t="inlineStr">
        <is>
          <t>HAGFORS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45839</v>
      </c>
      <c r="E389" s="1" t="n">
        <v>46311</v>
      </c>
      <c r="F389" t="inlineStr">
        <is>
          <t>VÄRMLANDS LÄN</t>
        </is>
      </c>
      <c r="G389" t="inlineStr">
        <is>
          <t>HAGFORS</t>
        </is>
      </c>
      <c r="H389" t="inlineStr">
        <is>
          <t>Kyrkan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45791</v>
      </c>
      <c r="E390" s="1" t="n">
        <v>46311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46311</v>
      </c>
      <c r="F391" t="inlineStr">
        <is>
          <t>VÄRMLANDS LÄN</t>
        </is>
      </c>
      <c r="G391" t="inlineStr">
        <is>
          <t>HAGFORS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47028-2023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45201</v>
      </c>
      <c r="E392" s="1" t="n">
        <v>46311</v>
      </c>
      <c r="F392" t="inlineStr">
        <is>
          <t>VÄRMLANDS LÄN</t>
        </is>
      </c>
      <c r="G392" t="inlineStr">
        <is>
          <t>HAGFORS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20564-2026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46311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46311</v>
      </c>
      <c r="F394" t="inlineStr">
        <is>
          <t>VÄRMLANDS LÄN</t>
        </is>
      </c>
      <c r="G394" t="inlineStr">
        <is>
          <t>HAGFORS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46311</v>
      </c>
      <c r="F395" t="inlineStr">
        <is>
          <t>VÄRMLANDS LÄN</t>
        </is>
      </c>
      <c r="G395" t="inlineStr">
        <is>
          <t>HAGFORS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46311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45244</v>
      </c>
      <c r="E397" s="1" t="n">
        <v>46311</v>
      </c>
      <c r="F397" t="inlineStr">
        <is>
          <t>VÄRMLANDS LÄN</t>
        </is>
      </c>
      <c r="G397" t="inlineStr">
        <is>
          <t>HAGFORS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46311</v>
      </c>
      <c r="F398" t="inlineStr">
        <is>
          <t>VÄRMLANDS LÄN</t>
        </is>
      </c>
      <c r="G398" t="inlineStr">
        <is>
          <t>HAGFORS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46311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45436</v>
      </c>
      <c r="E400" s="1" t="n">
        <v>46311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45684</v>
      </c>
      <c r="E401" s="1" t="n">
        <v>46311</v>
      </c>
      <c r="F401" t="inlineStr">
        <is>
          <t>VÄRMLANDS LÄN</t>
        </is>
      </c>
      <c r="G401" t="inlineStr">
        <is>
          <t>HAGFORS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45469</v>
      </c>
      <c r="E402" s="1" t="n">
        <v>46311</v>
      </c>
      <c r="F402" t="inlineStr">
        <is>
          <t>VÄRMLANDS LÄN</t>
        </is>
      </c>
      <c r="G402" t="inlineStr">
        <is>
          <t>HAGFORS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45469</v>
      </c>
      <c r="E403" s="1" t="n">
        <v>46311</v>
      </c>
      <c r="F403" t="inlineStr">
        <is>
          <t>VÄRMLANDS LÄN</t>
        </is>
      </c>
      <c r="G403" t="inlineStr">
        <is>
          <t>HAGFORS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46311</v>
      </c>
      <c r="F404" t="inlineStr">
        <is>
          <t>VÄRMLANDS LÄN</t>
        </is>
      </c>
      <c r="G404" t="inlineStr">
        <is>
          <t>HAGFORS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46311</v>
      </c>
      <c r="F405" t="inlineStr">
        <is>
          <t>VÄRMLANDS LÄN</t>
        </is>
      </c>
      <c r="G405" t="inlineStr">
        <is>
          <t>HAGFORS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40835-2023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45172</v>
      </c>
      <c r="E406" s="1" t="n">
        <v>46311</v>
      </c>
      <c r="F406" t="inlineStr">
        <is>
          <t>VÄRMLANDS LÄN</t>
        </is>
      </c>
      <c r="G406" t="inlineStr">
        <is>
          <t>HAGFORS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52224-2023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45224</v>
      </c>
      <c r="E407" s="1" t="n">
        <v>46311</v>
      </c>
      <c r="F407" t="inlineStr">
        <is>
          <t>VÄRMLANDS LÄN</t>
        </is>
      </c>
      <c r="G407" t="inlineStr">
        <is>
          <t>HAGFORS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45846</v>
      </c>
      <c r="E408" s="1" t="n">
        <v>46311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46311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46311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61265-2022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44915</v>
      </c>
      <c r="E411" s="1" t="n">
        <v>46311</v>
      </c>
      <c r="F411" t="inlineStr">
        <is>
          <t>VÄRMLANDS LÄN</t>
        </is>
      </c>
      <c r="G411" t="inlineStr">
        <is>
          <t>HAGFORS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68252-2021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44526</v>
      </c>
      <c r="E412" s="1" t="n">
        <v>46311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20752-2026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46141</v>
      </c>
      <c r="E413" s="1" t="n">
        <v>46311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46311</v>
      </c>
      <c r="F414" t="inlineStr">
        <is>
          <t>VÄRMLANDS LÄN</t>
        </is>
      </c>
      <c r="G414" t="inlineStr">
        <is>
          <t>HAGFORS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46311</v>
      </c>
      <c r="F415" t="inlineStr">
        <is>
          <t>VÄRMLANDS LÄN</t>
        </is>
      </c>
      <c r="G415" t="inlineStr">
        <is>
          <t>HAGFORS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20880-2026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46142</v>
      </c>
      <c r="E416" s="1" t="n">
        <v>46311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30180-2022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44757</v>
      </c>
      <c r="E417" s="1" t="n">
        <v>46311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45715</v>
      </c>
      <c r="E418" s="1" t="n">
        <v>46311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20798-2026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46311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45769</v>
      </c>
      <c r="E420" s="1" t="n">
        <v>46311</v>
      </c>
      <c r="F420" t="inlineStr">
        <is>
          <t>VÄRMLANDS LÄN</t>
        </is>
      </c>
      <c r="G420" t="inlineStr">
        <is>
          <t>HAGFORS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46311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46311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44694</v>
      </c>
      <c r="E423" s="1" t="n">
        <v>46311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24.6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36360-2023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45152</v>
      </c>
      <c r="E424" s="1" t="n">
        <v>46311</v>
      </c>
      <c r="F424" t="inlineStr">
        <is>
          <t>VÄRMLANDS LÄN</t>
        </is>
      </c>
      <c r="G424" t="inlineStr">
        <is>
          <t>HAGFORS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31166-2022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44770</v>
      </c>
      <c r="E425" s="1" t="n">
        <v>46311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20911-2026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46142</v>
      </c>
      <c r="E426" s="1" t="n">
        <v>46311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46311</v>
      </c>
      <c r="F427" t="inlineStr">
        <is>
          <t>VÄRMLANDS LÄN</t>
        </is>
      </c>
      <c r="G427" t="inlineStr">
        <is>
          <t>HAGFORS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46311</v>
      </c>
      <c r="F428" t="inlineStr">
        <is>
          <t>VÄRMLANDS LÄN</t>
        </is>
      </c>
      <c r="G428" t="inlineStr">
        <is>
          <t>HAGFORS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46311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46311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57379-2022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44896</v>
      </c>
      <c r="E431" s="1" t="n">
        <v>46311</v>
      </c>
      <c r="F431" t="inlineStr">
        <is>
          <t>VÄRMLANDS LÄN</t>
        </is>
      </c>
      <c r="G431" t="inlineStr">
        <is>
          <t>HAGFORS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46311</v>
      </c>
      <c r="F432" t="inlineStr">
        <is>
          <t>VÄRMLANDS LÄN</t>
        </is>
      </c>
      <c r="G432" t="inlineStr">
        <is>
          <t>HAGFORS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23065-2025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45790</v>
      </c>
      <c r="E433" s="1" t="n">
        <v>46311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46311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46150</v>
      </c>
      <c r="E435" s="1" t="n">
        <v>46311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39029-2022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44817</v>
      </c>
      <c r="E436" s="1" t="n">
        <v>46311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46311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61981-2024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45653</v>
      </c>
      <c r="E438" s="1" t="n">
        <v>46311</v>
      </c>
      <c r="F438" t="inlineStr">
        <is>
          <t>VÄRMLANDS LÄN</t>
        </is>
      </c>
      <c r="G438" t="inlineStr">
        <is>
          <t>HAGFORS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45057</v>
      </c>
      <c r="E439" s="1" t="n">
        <v>46311</v>
      </c>
      <c r="F439" t="inlineStr">
        <is>
          <t>VÄRMLANDS LÄN</t>
        </is>
      </c>
      <c r="G439" t="inlineStr">
        <is>
          <t>HAGFORS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46311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61232-2024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45645</v>
      </c>
      <c r="E441" s="1" t="n">
        <v>46311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21762-2026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46150</v>
      </c>
      <c r="E442" s="1" t="n">
        <v>46311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20652-2022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44700</v>
      </c>
      <c r="E443" s="1" t="n">
        <v>46311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64155-2023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45279</v>
      </c>
      <c r="E444" s="1" t="n">
        <v>46311</v>
      </c>
      <c r="F444" t="inlineStr">
        <is>
          <t>VÄRMLANDS LÄN</t>
        </is>
      </c>
      <c r="G444" t="inlineStr">
        <is>
          <t>HAGFORS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46311</v>
      </c>
      <c r="F445" t="inlineStr">
        <is>
          <t>VÄRMLANDS LÄN</t>
        </is>
      </c>
      <c r="G445" t="inlineStr">
        <is>
          <t>HAGFORS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45741</v>
      </c>
      <c r="E446" s="1" t="n">
        <v>46311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45351</v>
      </c>
      <c r="E447" s="1" t="n">
        <v>46311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10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45223</v>
      </c>
      <c r="E448" s="1" t="n">
        <v>46311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46311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22572-2026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46311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46311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44937</v>
      </c>
      <c r="E452" s="1" t="n">
        <v>46311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45918</v>
      </c>
      <c r="E453" s="1" t="n">
        <v>46311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45250</v>
      </c>
      <c r="E454" s="1" t="n">
        <v>46311</v>
      </c>
      <c r="F454" t="inlineStr">
        <is>
          <t>VÄRMLANDS LÄN</t>
        </is>
      </c>
      <c r="G454" t="inlineStr">
        <is>
          <t>HAGFORS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45723</v>
      </c>
      <c r="E455" s="1" t="n">
        <v>46311</v>
      </c>
      <c r="F455" t="inlineStr">
        <is>
          <t>VÄRMLANDS LÄN</t>
        </is>
      </c>
      <c r="G455" t="inlineStr">
        <is>
          <t>HAGFORS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11180-2025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45725</v>
      </c>
      <c r="E456" s="1" t="n">
        <v>46311</v>
      </c>
      <c r="F456" t="inlineStr">
        <is>
          <t>VÄRMLANDS LÄN</t>
        </is>
      </c>
      <c r="G456" t="inlineStr">
        <is>
          <t>HAGFORS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46311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46311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46311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46311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44763</v>
      </c>
      <c r="E461" s="1" t="n">
        <v>46311</v>
      </c>
      <c r="F461" t="inlineStr">
        <is>
          <t>VÄRMLANDS LÄN</t>
        </is>
      </c>
      <c r="G461" t="inlineStr">
        <is>
          <t>HAGFORS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22911-2026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46311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45310</v>
      </c>
      <c r="E463" s="1" t="n">
        <v>46311</v>
      </c>
      <c r="F463" t="inlineStr">
        <is>
          <t>VÄRMLANDS LÄN</t>
        </is>
      </c>
      <c r="G463" t="inlineStr">
        <is>
          <t>HAGFORS</t>
        </is>
      </c>
      <c r="H463" t="inlineStr">
        <is>
          <t>Kyrkan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22925-2026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46311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46311</v>
      </c>
      <c r="F465" t="inlineStr">
        <is>
          <t>VÄRMLANDS LÄN</t>
        </is>
      </c>
      <c r="G465" t="inlineStr">
        <is>
          <t>HAGFORS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45361-2025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46311</v>
      </c>
      <c r="F466" t="inlineStr">
        <is>
          <t>VÄRMLANDS LÄN</t>
        </is>
      </c>
      <c r="G466" t="inlineStr">
        <is>
          <t>HAGFORS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46311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46311</v>
      </c>
      <c r="F468" t="inlineStr">
        <is>
          <t>VÄRMLANDS LÄN</t>
        </is>
      </c>
      <c r="G468" t="inlineStr">
        <is>
          <t>HAGFORS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45922</v>
      </c>
      <c r="E469" s="1" t="n">
        <v>46311</v>
      </c>
      <c r="F469" t="inlineStr">
        <is>
          <t>VÄRMLANDS LÄN</t>
        </is>
      </c>
      <c r="G469" t="inlineStr">
        <is>
          <t>HAGFORS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49585-2023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46311</v>
      </c>
      <c r="F470" t="inlineStr">
        <is>
          <t>VÄRMLANDS LÄN</t>
        </is>
      </c>
      <c r="G470" t="inlineStr">
        <is>
          <t>HAGFORS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25349-2023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45087</v>
      </c>
      <c r="E471" s="1" t="n">
        <v>46311</v>
      </c>
      <c r="F471" t="inlineStr">
        <is>
          <t>VÄRMLANDS LÄN</t>
        </is>
      </c>
      <c r="G471" t="inlineStr">
        <is>
          <t>HAGFORS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45264</v>
      </c>
      <c r="E472" s="1" t="n">
        <v>46311</v>
      </c>
      <c r="F472" t="inlineStr">
        <is>
          <t>VÄRMLANDS LÄN</t>
        </is>
      </c>
      <c r="G472" t="inlineStr">
        <is>
          <t>HAGFORS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44595</v>
      </c>
      <c r="E473" s="1" t="n">
        <v>46311</v>
      </c>
      <c r="F473" t="inlineStr">
        <is>
          <t>VÄRMLANDS LÄN</t>
        </is>
      </c>
      <c r="G473" t="inlineStr">
        <is>
          <t>HAGFORS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46311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46311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46311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46311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23728-2026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46164</v>
      </c>
      <c r="E478" s="1" t="n">
        <v>46311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46311</v>
      </c>
      <c r="F479" t="inlineStr">
        <is>
          <t>VÄRMLANDS LÄN</t>
        </is>
      </c>
      <c r="G479" t="inlineStr">
        <is>
          <t>HAGFORS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46311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30327-2022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44760</v>
      </c>
      <c r="E481" s="1" t="n">
        <v>46311</v>
      </c>
      <c r="F481" t="inlineStr">
        <is>
          <t>VÄRMLANDS LÄN</t>
        </is>
      </c>
      <c r="G481" t="inlineStr">
        <is>
          <t>HAGFORS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51015-2025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45947</v>
      </c>
      <c r="E482" s="1" t="n">
        <v>46311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8.9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45869</v>
      </c>
      <c r="E483" s="1" t="n">
        <v>46311</v>
      </c>
      <c r="F483" t="inlineStr">
        <is>
          <t>VÄRMLANDS LÄN</t>
        </is>
      </c>
      <c r="G483" t="inlineStr">
        <is>
          <t>HAGFORS</t>
        </is>
      </c>
      <c r="H483" t="inlineStr">
        <is>
          <t>Kyrkan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30642-2025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46311</v>
      </c>
      <c r="F484" t="inlineStr">
        <is>
          <t>VÄRMLANDS LÄN</t>
        </is>
      </c>
      <c r="G484" t="inlineStr">
        <is>
          <t>HAGFORS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54929-2024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46311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46311</v>
      </c>
      <c r="F486" t="inlineStr">
        <is>
          <t>VÄRMLANDS LÄN</t>
        </is>
      </c>
      <c r="G486" t="inlineStr">
        <is>
          <t>HAGFORS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46311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45212</v>
      </c>
      <c r="E488" s="1" t="n">
        <v>46311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44776</v>
      </c>
      <c r="E489" s="1" t="n">
        <v>46311</v>
      </c>
      <c r="F489" t="inlineStr">
        <is>
          <t>VÄRMLANDS LÄN</t>
        </is>
      </c>
      <c r="G489" t="inlineStr">
        <is>
          <t>HAGFORS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45925</v>
      </c>
      <c r="E490" s="1" t="n">
        <v>46311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46311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46311</v>
      </c>
      <c r="F492" t="inlineStr">
        <is>
          <t>VÄRMLANDS LÄN</t>
        </is>
      </c>
      <c r="G492" t="inlineStr">
        <is>
          <t>HAGFORS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46311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45927</v>
      </c>
      <c r="E494" s="1" t="n">
        <v>46311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45625</v>
      </c>
      <c r="E495" s="1" t="n">
        <v>46311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47333-2025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46311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46311</v>
      </c>
      <c r="F497" t="inlineStr">
        <is>
          <t>VÄRMLANDS LÄN</t>
        </is>
      </c>
      <c r="G497" t="inlineStr">
        <is>
          <t>HAGFORS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24625-2026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46171</v>
      </c>
      <c r="E498" s="1" t="n">
        <v>46311</v>
      </c>
      <c r="F498" t="inlineStr">
        <is>
          <t>VÄRMLANDS LÄN</t>
        </is>
      </c>
      <c r="G498" t="inlineStr">
        <is>
          <t>HAGFORS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45476</v>
      </c>
      <c r="E499" s="1" t="n">
        <v>46311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45927</v>
      </c>
      <c r="E500" s="1" t="n">
        <v>46311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24699-2026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46171</v>
      </c>
      <c r="E501" s="1" t="n">
        <v>46311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46311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36206-2024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45534</v>
      </c>
      <c r="E503" s="1" t="n">
        <v>46311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46171</v>
      </c>
      <c r="E504" s="1" t="n">
        <v>46311</v>
      </c>
      <c r="F504" t="inlineStr">
        <is>
          <t>VÄRMLANDS LÄN</t>
        </is>
      </c>
      <c r="G504" t="inlineStr">
        <is>
          <t>HAGFORS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24761-2026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46171</v>
      </c>
      <c r="E505" s="1" t="n">
        <v>46311</v>
      </c>
      <c r="F505" t="inlineStr">
        <is>
          <t>VÄRMLANDS LÄN</t>
        </is>
      </c>
      <c r="G505" t="inlineStr">
        <is>
          <t>HAGFORS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45509</v>
      </c>
      <c r="E506" s="1" t="n">
        <v>46311</v>
      </c>
      <c r="F506" t="inlineStr">
        <is>
          <t>VÄRMLANDS LÄN</t>
        </is>
      </c>
      <c r="G506" t="inlineStr">
        <is>
          <t>HAGFORS</t>
        </is>
      </c>
      <c r="H506" t="inlineStr">
        <is>
          <t>Kommuner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24628-2026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46171</v>
      </c>
      <c r="E507" s="1" t="n">
        <v>46311</v>
      </c>
      <c r="F507" t="inlineStr">
        <is>
          <t>VÄRMLANDS LÄN</t>
        </is>
      </c>
      <c r="G507" t="inlineStr">
        <is>
          <t>HAGFORS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24626-2026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46171</v>
      </c>
      <c r="E508" s="1" t="n">
        <v>46311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46838-2025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45928</v>
      </c>
      <c r="E509" s="1" t="n">
        <v>46311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24677-2026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46171</v>
      </c>
      <c r="E510" s="1" t="n">
        <v>46311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42150-2024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45562</v>
      </c>
      <c r="E511" s="1" t="n">
        <v>46311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60178-2023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45258</v>
      </c>
      <c r="E512" s="1" t="n">
        <v>46311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46311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46311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9.699999999999999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46311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46311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45400</v>
      </c>
      <c r="E517" s="1" t="n">
        <v>46311</v>
      </c>
      <c r="F517" t="inlineStr">
        <is>
          <t>VÄRMLANDS LÄN</t>
        </is>
      </c>
      <c r="G517" t="inlineStr">
        <is>
          <t>HAGFORS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46176</v>
      </c>
      <c r="E518" s="1" t="n">
        <v>46311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46311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45933</v>
      </c>
      <c r="E520" s="1" t="n">
        <v>46311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8304-2022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44610</v>
      </c>
      <c r="E521" s="1" t="n">
        <v>46311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44887</v>
      </c>
      <c r="E522" s="1" t="n">
        <v>46311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46311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48150-2025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46311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48108-2025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45933</v>
      </c>
      <c r="E525" s="1" t="n">
        <v>46311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44953</v>
      </c>
      <c r="E526" s="1" t="n">
        <v>46311</v>
      </c>
      <c r="F526" t="inlineStr">
        <is>
          <t>VÄRMLANDS LÄN</t>
        </is>
      </c>
      <c r="G526" t="inlineStr">
        <is>
          <t>HAGFORS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46311</v>
      </c>
      <c r="F527" t="inlineStr">
        <is>
          <t>VÄRMLANDS LÄN</t>
        </is>
      </c>
      <c r="G527" t="inlineStr">
        <is>
          <t>HAGFORS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46311</v>
      </c>
      <c r="F528" t="inlineStr">
        <is>
          <t>VÄRMLANDS LÄN</t>
        </is>
      </c>
      <c r="G528" t="inlineStr">
        <is>
          <t>HAGFORS</t>
        </is>
      </c>
      <c r="H528" t="inlineStr">
        <is>
          <t>Kommuner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48138-2025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46311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9.699999999999999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44649</v>
      </c>
      <c r="E530" s="1" t="n">
        <v>46311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45933</v>
      </c>
      <c r="E531" s="1" t="n">
        <v>46311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46311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61902-2021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44502</v>
      </c>
      <c r="E533" s="1" t="n">
        <v>46311</v>
      </c>
      <c r="F533" t="inlineStr">
        <is>
          <t>VÄRMLANDS LÄN</t>
        </is>
      </c>
      <c r="G533" t="inlineStr">
        <is>
          <t>HAGFORS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46311</v>
      </c>
      <c r="F534" t="inlineStr">
        <is>
          <t>VÄRMLANDS LÄN</t>
        </is>
      </c>
      <c r="G534" t="inlineStr">
        <is>
          <t>HAGFORS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46182</v>
      </c>
      <c r="E535" s="1" t="n">
        <v>46311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49146-2025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45938</v>
      </c>
      <c r="E536" s="1" t="n">
        <v>46311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46311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58307-2023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45250</v>
      </c>
      <c r="E538" s="1" t="n">
        <v>46311</v>
      </c>
      <c r="F538" t="inlineStr">
        <is>
          <t>VÄRMLANDS LÄN</t>
        </is>
      </c>
      <c r="G538" t="inlineStr">
        <is>
          <t>HAGFORS</t>
        </is>
      </c>
      <c r="H538" t="inlineStr">
        <is>
          <t>Kommuner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46311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11104-2022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44628</v>
      </c>
      <c r="E540" s="1" t="n">
        <v>46311</v>
      </c>
      <c r="F540" t="inlineStr">
        <is>
          <t>VÄRMLANDS LÄN</t>
        </is>
      </c>
      <c r="G540" t="inlineStr">
        <is>
          <t>HAGFORS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46311</v>
      </c>
      <c r="F541" t="inlineStr">
        <is>
          <t>VÄRMLANDS LÄN</t>
        </is>
      </c>
      <c r="G541" t="inlineStr">
        <is>
          <t>HAGFORS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46311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46311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26740-2026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46311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46185</v>
      </c>
      <c r="E545" s="1" t="n">
        <v>46311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18.2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46311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46311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46311</v>
      </c>
      <c r="F548" t="inlineStr">
        <is>
          <t>VÄRMLANDS LÄN</t>
        </is>
      </c>
      <c r="G548" t="inlineStr">
        <is>
          <t>HAGFORS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46311</v>
      </c>
      <c r="F549" t="inlineStr">
        <is>
          <t>VÄRMLANDS LÄN</t>
        </is>
      </c>
      <c r="G549" t="inlineStr">
        <is>
          <t>HAGFORS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46311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60664-2023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45259</v>
      </c>
      <c r="E551" s="1" t="n">
        <v>46311</v>
      </c>
      <c r="F551" t="inlineStr">
        <is>
          <t>VÄRMLANDS LÄN</t>
        </is>
      </c>
      <c r="G551" t="inlineStr">
        <is>
          <t>HAGFORS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27210-2026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46311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48809-2025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45937</v>
      </c>
      <c r="E553" s="1" t="n">
        <v>46311</v>
      </c>
      <c r="F553" t="inlineStr">
        <is>
          <t>VÄRMLANDS LÄN</t>
        </is>
      </c>
      <c r="G553" t="inlineStr">
        <is>
          <t>HAGFORS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46311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46189</v>
      </c>
      <c r="E555" s="1" t="n">
        <v>46311</v>
      </c>
      <c r="F555" t="inlineStr">
        <is>
          <t>VÄRMLANDS LÄN</t>
        </is>
      </c>
      <c r="G555" t="inlineStr">
        <is>
          <t>HAGFORS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27280-2026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46311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46311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46191</v>
      </c>
      <c r="E558" s="1" t="n">
        <v>46311</v>
      </c>
      <c r="F558" t="inlineStr">
        <is>
          <t>VÄRMLANDS LÄN</t>
        </is>
      </c>
      <c r="G558" t="inlineStr">
        <is>
          <t>HAGFORS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46311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45939</v>
      </c>
      <c r="E560" s="1" t="n">
        <v>46311</v>
      </c>
      <c r="F560" t="inlineStr">
        <is>
          <t>VÄRMLANDS LÄN</t>
        </is>
      </c>
      <c r="G560" t="inlineStr">
        <is>
          <t>HAGFORS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45356</v>
      </c>
      <c r="E561" s="1" t="n">
        <v>46311</v>
      </c>
      <c r="F561" t="inlineStr">
        <is>
          <t>VÄRMLANDS LÄN</t>
        </is>
      </c>
      <c r="G561" t="inlineStr">
        <is>
          <t>HAGFORS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46311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44566</v>
      </c>
      <c r="E563" s="1" t="n">
        <v>46311</v>
      </c>
      <c r="F563" t="inlineStr">
        <is>
          <t>VÄRMLANDS LÄN</t>
        </is>
      </c>
      <c r="G563" t="inlineStr">
        <is>
          <t>HAGFORS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59048-2022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44903</v>
      </c>
      <c r="E564" s="1" t="n">
        <v>46311</v>
      </c>
      <c r="F564" t="inlineStr">
        <is>
          <t>VÄRMLANDS LÄN</t>
        </is>
      </c>
      <c r="G564" t="inlineStr">
        <is>
          <t>HAGFORS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45941</v>
      </c>
      <c r="E565" s="1" t="n">
        <v>46311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46311</v>
      </c>
      <c r="F566" t="inlineStr">
        <is>
          <t>VÄRMLANDS LÄN</t>
        </is>
      </c>
      <c r="G566" t="inlineStr">
        <is>
          <t>HAGFORS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60221-2023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45258</v>
      </c>
      <c r="E567" s="1" t="n">
        <v>46311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45525</v>
      </c>
      <c r="E568" s="1" t="n">
        <v>46311</v>
      </c>
      <c r="F568" t="inlineStr">
        <is>
          <t>VÄRMLANDS LÄN</t>
        </is>
      </c>
      <c r="G568" t="inlineStr">
        <is>
          <t>HAGFORS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45147</v>
      </c>
      <c r="E569" s="1" t="n">
        <v>46311</v>
      </c>
      <c r="F569" t="inlineStr">
        <is>
          <t>VÄRMLANDS LÄN</t>
        </is>
      </c>
      <c r="G569" t="inlineStr">
        <is>
          <t>HAGFORS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46311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46190-2024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45581</v>
      </c>
      <c r="E571" s="1" t="n">
        <v>46311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45946</v>
      </c>
      <c r="E572" s="1" t="n">
        <v>46311</v>
      </c>
      <c r="F572" t="inlineStr">
        <is>
          <t>VÄRMLANDS LÄN</t>
        </is>
      </c>
      <c r="G572" t="inlineStr">
        <is>
          <t>HAGFORS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50752-2025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46311</v>
      </c>
      <c r="F573" t="inlineStr">
        <is>
          <t>VÄRMLANDS LÄN</t>
        </is>
      </c>
      <c r="G573" t="inlineStr">
        <is>
          <t>HAGFORS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46311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45678</v>
      </c>
      <c r="E575" s="1" t="n">
        <v>46311</v>
      </c>
      <c r="F575" t="inlineStr">
        <is>
          <t>VÄRMLANDS LÄN</t>
        </is>
      </c>
      <c r="G575" t="inlineStr">
        <is>
          <t>HAGFORS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46311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45470</v>
      </c>
      <c r="E577" s="1" t="n">
        <v>46311</v>
      </c>
      <c r="F577" t="inlineStr">
        <is>
          <t>VÄRMLANDS LÄN</t>
        </is>
      </c>
      <c r="G577" t="inlineStr">
        <is>
          <t>HAGFORS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28748-2026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46311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29102-2026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46200</v>
      </c>
      <c r="E579" s="1" t="n">
        <v>46311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46200</v>
      </c>
      <c r="E580" s="1" t="n">
        <v>46311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46311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46208-2023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45196</v>
      </c>
      <c r="E582" s="1" t="n">
        <v>46311</v>
      </c>
      <c r="F582" t="inlineStr">
        <is>
          <t>VÄRMLANDS LÄN</t>
        </is>
      </c>
      <c r="G582" t="inlineStr">
        <is>
          <t>HAGFORS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46311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46311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46311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46311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46311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27855-2026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46191</v>
      </c>
      <c r="E588" s="1" t="n">
        <v>46311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46311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9.6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46311</v>
      </c>
      <c r="F590" t="inlineStr">
        <is>
          <t>VÄRMLANDS LÄN</t>
        </is>
      </c>
      <c r="G590" t="inlineStr">
        <is>
          <t>HAGFORS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4279-2024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45324</v>
      </c>
      <c r="E591" s="1" t="n">
        <v>46311</v>
      </c>
      <c r="F591" t="inlineStr">
        <is>
          <t>VÄRMLANDS LÄN</t>
        </is>
      </c>
      <c r="G591" t="inlineStr">
        <is>
          <t>HAGFORS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46311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51160-2025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45947</v>
      </c>
      <c r="E593" s="1" t="n">
        <v>46311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50977-2025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45947</v>
      </c>
      <c r="E594" s="1" t="n">
        <v>46311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46311</v>
      </c>
      <c r="F595" t="inlineStr">
        <is>
          <t>VÄRMLANDS LÄN</t>
        </is>
      </c>
      <c r="G595" t="inlineStr">
        <is>
          <t>HAGFORS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46311</v>
      </c>
      <c r="F596" t="inlineStr">
        <is>
          <t>VÄRMLANDS LÄN</t>
        </is>
      </c>
      <c r="G596" t="inlineStr">
        <is>
          <t>HAGFORS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45949</v>
      </c>
      <c r="E597" s="1" t="n">
        <v>46311</v>
      </c>
      <c r="F597" t="inlineStr">
        <is>
          <t>VÄRMLANDS LÄN</t>
        </is>
      </c>
      <c r="G597" t="inlineStr">
        <is>
          <t>HAGFORS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46311</v>
      </c>
      <c r="F598" t="inlineStr">
        <is>
          <t>VÄRMLANDS LÄN</t>
        </is>
      </c>
      <c r="G598" t="inlineStr">
        <is>
          <t>HAGFORS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44949</v>
      </c>
      <c r="E599" s="1" t="n">
        <v>46311</v>
      </c>
      <c r="F599" t="inlineStr">
        <is>
          <t>VÄRMLANDS LÄN</t>
        </is>
      </c>
      <c r="G599" t="inlineStr">
        <is>
          <t>HAGFORS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46311</v>
      </c>
      <c r="F600" t="inlineStr">
        <is>
          <t>VÄRMLANDS LÄN</t>
        </is>
      </c>
      <c r="G600" t="inlineStr">
        <is>
          <t>HAGFORS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51611-2025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45951</v>
      </c>
      <c r="E601" s="1" t="n">
        <v>46311</v>
      </c>
      <c r="F601" t="inlineStr">
        <is>
          <t>VÄRMLANDS LÄN</t>
        </is>
      </c>
      <c r="G601" t="inlineStr">
        <is>
          <t>HAGFORS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46205</v>
      </c>
      <c r="E602" s="1" t="n">
        <v>46311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42223-2022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44830</v>
      </c>
      <c r="E603" s="1" t="n">
        <v>46311</v>
      </c>
      <c r="F603" t="inlineStr">
        <is>
          <t>VÄRMLANDS LÄN</t>
        </is>
      </c>
      <c r="G603" t="inlineStr">
        <is>
          <t>HAGFORS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45036</v>
      </c>
      <c r="E604" s="1" t="n">
        <v>46311</v>
      </c>
      <c r="F604" t="inlineStr">
        <is>
          <t>VÄRMLANDS LÄN</t>
        </is>
      </c>
      <c r="G604" t="inlineStr">
        <is>
          <t>HAGFORS</t>
        </is>
      </c>
      <c r="H604" t="inlineStr">
        <is>
          <t>Kommuner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30436-2026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46209</v>
      </c>
      <c r="E605" s="1" t="n">
        <v>46311</v>
      </c>
      <c r="F605" t="inlineStr">
        <is>
          <t>VÄRMLANDS LÄN</t>
        </is>
      </c>
      <c r="G605" t="inlineStr">
        <is>
          <t>HAGFORS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46311</v>
      </c>
      <c r="F606" t="inlineStr">
        <is>
          <t>VÄRMLANDS LÄN</t>
        </is>
      </c>
      <c r="G606" t="inlineStr">
        <is>
          <t>HAGFORS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46311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52479-2025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45954</v>
      </c>
      <c r="E608" s="1" t="n">
        <v>46311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52450-2025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45954</v>
      </c>
      <c r="E609" s="1" t="n">
        <v>46311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30914-2026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46311</v>
      </c>
      <c r="F610" t="inlineStr">
        <is>
          <t>VÄRMLANDS LÄN</t>
        </is>
      </c>
      <c r="G610" t="inlineStr">
        <is>
          <t>HAGFORS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52524-2025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45954</v>
      </c>
      <c r="E611" s="1" t="n">
        <v>46311</v>
      </c>
      <c r="F611" t="inlineStr">
        <is>
          <t>VÄRMLANDS LÄN</t>
        </is>
      </c>
      <c r="G611" t="inlineStr">
        <is>
          <t>HAGFORS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52462-2025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45954</v>
      </c>
      <c r="E612" s="1" t="n">
        <v>46311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45112</v>
      </c>
      <c r="E613" s="1" t="n">
        <v>46311</v>
      </c>
      <c r="F613" t="inlineStr">
        <is>
          <t>VÄRMLANDS LÄN</t>
        </is>
      </c>
      <c r="G613" t="inlineStr">
        <is>
          <t>HAGFORS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58799-2022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46311</v>
      </c>
      <c r="F614" t="inlineStr">
        <is>
          <t>VÄRMLANDS LÄN</t>
        </is>
      </c>
      <c r="G614" t="inlineStr">
        <is>
          <t>HAGFORS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59092-2022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44904</v>
      </c>
      <c r="E615" s="1" t="n">
        <v>46311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20466-2023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45057</v>
      </c>
      <c r="E616" s="1" t="n">
        <v>46311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32031-2024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45510</v>
      </c>
      <c r="E617" s="1" t="n">
        <v>46311</v>
      </c>
      <c r="F617" t="inlineStr">
        <is>
          <t>VÄRMLANDS LÄN</t>
        </is>
      </c>
      <c r="G617" t="inlineStr">
        <is>
          <t>HAGFORS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53192-2022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44876</v>
      </c>
      <c r="E618" s="1" t="n">
        <v>46311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53620-2025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45960</v>
      </c>
      <c r="E619" s="1" t="n">
        <v>46311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45673</v>
      </c>
      <c r="E620" s="1" t="n">
        <v>46311</v>
      </c>
      <c r="F620" t="inlineStr">
        <is>
          <t>VÄRMLANDS LÄN</t>
        </is>
      </c>
      <c r="G620" t="inlineStr">
        <is>
          <t>HAGFORS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18014-2024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45419</v>
      </c>
      <c r="E621" s="1" t="n">
        <v>46311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53574-2025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45960</v>
      </c>
      <c r="E622" s="1" t="n">
        <v>46311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46225</v>
      </c>
      <c r="E623" s="1" t="n">
        <v>46311</v>
      </c>
      <c r="F623" t="inlineStr">
        <is>
          <t>VÄRMLANDS LÄN</t>
        </is>
      </c>
      <c r="G623" t="inlineStr">
        <is>
          <t>HAGFORS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46225</v>
      </c>
      <c r="E624" s="1" t="n">
        <v>46311</v>
      </c>
      <c r="F624" t="inlineStr">
        <is>
          <t>VÄRMLANDS LÄN</t>
        </is>
      </c>
      <c r="G624" t="inlineStr">
        <is>
          <t>HAGFORS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46269</v>
      </c>
      <c r="E625" s="1" t="n">
        <v>46311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46311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36556-2026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46269</v>
      </c>
      <c r="E627" s="1" t="n">
        <v>46311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46311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46269</v>
      </c>
      <c r="E629" s="1" t="n">
        <v>46311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36721-2026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46272</v>
      </c>
      <c r="E630" s="1" t="n">
        <v>46311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53811-2025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45960</v>
      </c>
      <c r="E631" s="1" t="n">
        <v>46311</v>
      </c>
      <c r="F631" t="inlineStr">
        <is>
          <t>VÄRMLANDS LÄN</t>
        </is>
      </c>
      <c r="G631" t="inlineStr">
        <is>
          <t>HAGFORS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46311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45308</v>
      </c>
      <c r="E633" s="1" t="n">
        <v>46311</v>
      </c>
      <c r="F633" t="inlineStr">
        <is>
          <t>VÄRMLANDS LÄN</t>
        </is>
      </c>
      <c r="G633" t="inlineStr">
        <is>
          <t>HAGFORS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36013-2023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46311</v>
      </c>
      <c r="F634" t="inlineStr">
        <is>
          <t>VÄRMLANDS LÄN</t>
        </is>
      </c>
      <c r="G634" t="inlineStr">
        <is>
          <t>HAGFORS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46226</v>
      </c>
      <c r="E635" s="1" t="n">
        <v>46311</v>
      </c>
      <c r="F635" t="inlineStr">
        <is>
          <t>VÄRMLANDS LÄN</t>
        </is>
      </c>
      <c r="G635" t="inlineStr">
        <is>
          <t>HAGFORS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56895-2023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46311</v>
      </c>
      <c r="F636" t="inlineStr">
        <is>
          <t>VÄRMLANDS LÄN</t>
        </is>
      </c>
      <c r="G636" t="inlineStr">
        <is>
          <t>HAGFORS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36728-2026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46311</v>
      </c>
      <c r="F637" t="inlineStr">
        <is>
          <t>VÄRMLANDS LÄN</t>
        </is>
      </c>
      <c r="G637" t="inlineStr">
        <is>
          <t>HAGFORS</t>
        </is>
      </c>
      <c r="H637" t="inlineStr">
        <is>
          <t>Kyrkan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45147</v>
      </c>
      <c r="E638" s="1" t="n">
        <v>46311</v>
      </c>
      <c r="F638" t="inlineStr">
        <is>
          <t>VÄRMLANDS LÄN</t>
        </is>
      </c>
      <c r="G638" t="inlineStr">
        <is>
          <t>HAGFORS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36447-2026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46269</v>
      </c>
      <c r="E639" s="1" t="n">
        <v>46311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54001-2025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45961</v>
      </c>
      <c r="E640" s="1" t="n">
        <v>46311</v>
      </c>
      <c r="F640" t="inlineStr">
        <is>
          <t>VÄRMLANDS LÄN</t>
        </is>
      </c>
      <c r="G640" t="inlineStr">
        <is>
          <t>HAGFORS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37157-2026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46274</v>
      </c>
      <c r="E641" s="1" t="n">
        <v>46311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37172-2026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46274</v>
      </c>
      <c r="E642" s="1" t="n">
        <v>46311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37269-2026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46274</v>
      </c>
      <c r="E643" s="1" t="n">
        <v>46311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45966</v>
      </c>
      <c r="E644" s="1" t="n">
        <v>46311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54645-2025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45966</v>
      </c>
      <c r="E645" s="1" t="n">
        <v>46311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46233</v>
      </c>
      <c r="E646" s="1" t="n">
        <v>46311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45699</v>
      </c>
      <c r="E647" s="1" t="n">
        <v>46311</v>
      </c>
      <c r="F647" t="inlineStr">
        <is>
          <t>VÄRMLANDS LÄN</t>
        </is>
      </c>
      <c r="G647" t="inlineStr">
        <is>
          <t>HAGFORS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46275</v>
      </c>
      <c r="E648" s="1" t="n">
        <v>46311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46275</v>
      </c>
      <c r="E649" s="1" t="n">
        <v>46311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55190-2025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45968</v>
      </c>
      <c r="E650" s="1" t="n">
        <v>46311</v>
      </c>
      <c r="F650" t="inlineStr">
        <is>
          <t>VÄRMLANDS LÄN</t>
        </is>
      </c>
      <c r="G650" t="inlineStr">
        <is>
          <t>HAGFORS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45328</v>
      </c>
      <c r="E651" s="1" t="n">
        <v>46311</v>
      </c>
      <c r="F651" t="inlineStr">
        <is>
          <t>VÄRMLANDS LÄN</t>
        </is>
      </c>
      <c r="G651" t="inlineStr">
        <is>
          <t>HAGFORS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55001-2025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45967</v>
      </c>
      <c r="E652" s="1" t="n">
        <v>46311</v>
      </c>
      <c r="F652" t="inlineStr">
        <is>
          <t>VÄRMLANDS LÄN</t>
        </is>
      </c>
      <c r="G652" t="inlineStr">
        <is>
          <t>HAGFORS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37497-2026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46275</v>
      </c>
      <c r="E653" s="1" t="n">
        <v>46311</v>
      </c>
      <c r="F653" t="inlineStr">
        <is>
          <t>VÄRMLANDS LÄN</t>
        </is>
      </c>
      <c r="G653" t="inlineStr">
        <is>
          <t>HAGFORS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37963-2026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46280</v>
      </c>
      <c r="E654" s="1" t="n">
        <v>46311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13282-2024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45386</v>
      </c>
      <c r="E655" s="1" t="n">
        <v>46311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55480-2025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46311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37914-2026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46280</v>
      </c>
      <c r="E657" s="1" t="n">
        <v>46311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46280</v>
      </c>
      <c r="E658" s="1" t="n">
        <v>46311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46280</v>
      </c>
      <c r="E659" s="1" t="n">
        <v>46311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48276-2024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45590</v>
      </c>
      <c r="E660" s="1" t="n">
        <v>46311</v>
      </c>
      <c r="F660" t="inlineStr">
        <is>
          <t>VÄRMLANDS LÄN</t>
        </is>
      </c>
      <c r="G660" t="inlineStr">
        <is>
          <t>HAGFORS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38031-2026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46311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55519-2025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46311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37842-2026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46311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46311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37924-2026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46311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37685-2026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46311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46280</v>
      </c>
      <c r="E667" s="1" t="n">
        <v>46311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57159-2024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45629</v>
      </c>
      <c r="E668" s="1" t="n">
        <v>46311</v>
      </c>
      <c r="F668" t="inlineStr">
        <is>
          <t>VÄRMLANDS LÄN</t>
        </is>
      </c>
      <c r="G668" t="inlineStr">
        <is>
          <t>HAGFORS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38342-2026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46311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38411-2026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46282</v>
      </c>
      <c r="E670" s="1" t="n">
        <v>46311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16.6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55895-2025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45973</v>
      </c>
      <c r="E671" s="1" t="n">
        <v>46311</v>
      </c>
      <c r="F671" t="inlineStr">
        <is>
          <t>VÄRMLANDS LÄN</t>
        </is>
      </c>
      <c r="G671" t="inlineStr">
        <is>
          <t>HAGFORS</t>
        </is>
      </c>
      <c r="I671" t="n">
        <v>6.9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32490-2026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46239</v>
      </c>
      <c r="E672" s="1" t="n">
        <v>46311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32535-2026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46239</v>
      </c>
      <c r="E673" s="1" t="n">
        <v>46311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46282</v>
      </c>
      <c r="E674" s="1" t="n">
        <v>46311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38244-2026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46281</v>
      </c>
      <c r="E675" s="1" t="n">
        <v>46311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33146-2024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45518</v>
      </c>
      <c r="E676" s="1" t="n">
        <v>46311</v>
      </c>
      <c r="F676" t="inlineStr">
        <is>
          <t>VÄRMLANDS LÄN</t>
        </is>
      </c>
      <c r="G676" t="inlineStr">
        <is>
          <t>HAGFORS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38404-2026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46282</v>
      </c>
      <c r="E677" s="1" t="n">
        <v>46311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46282</v>
      </c>
      <c r="E678" s="1" t="n">
        <v>46311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51346-2022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44869</v>
      </c>
      <c r="E679" s="1" t="n">
        <v>46311</v>
      </c>
      <c r="F679" t="inlineStr">
        <is>
          <t>VÄRMLANDS LÄN</t>
        </is>
      </c>
      <c r="G679" t="inlineStr">
        <is>
          <t>HAGFORS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32507-2026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46311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46282</v>
      </c>
      <c r="E681" s="1" t="n">
        <v>46311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46239</v>
      </c>
      <c r="E682" s="1" t="n">
        <v>46311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56714-2025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46311</v>
      </c>
      <c r="F683" t="inlineStr">
        <is>
          <t>VÄRMLANDS LÄN</t>
        </is>
      </c>
      <c r="G683" t="inlineStr">
        <is>
          <t>HAGFORS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32033-2024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45510</v>
      </c>
      <c r="E684" s="1" t="n">
        <v>46311</v>
      </c>
      <c r="F684" t="inlineStr">
        <is>
          <t>VÄRMLANDS LÄN</t>
        </is>
      </c>
      <c r="G684" t="inlineStr">
        <is>
          <t>HAGFORS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38645-2026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46283</v>
      </c>
      <c r="E685" s="1" t="n">
        <v>46311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38687-2026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46283</v>
      </c>
      <c r="E686" s="1" t="n">
        <v>46311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56477-2025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45975</v>
      </c>
      <c r="E687" s="1" t="n">
        <v>46311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56468-2025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45975</v>
      </c>
      <c r="E688" s="1" t="n">
        <v>46311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56411-2025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45975</v>
      </c>
      <c r="E689" s="1" t="n">
        <v>46311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32721-2026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46241</v>
      </c>
      <c r="E690" s="1" t="n">
        <v>46311</v>
      </c>
      <c r="F690" t="inlineStr">
        <is>
          <t>VÄRMLANDS LÄN</t>
        </is>
      </c>
      <c r="G690" t="inlineStr">
        <is>
          <t>HAGFORS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38951-2026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46286</v>
      </c>
      <c r="E691" s="1" t="n">
        <v>46311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45244</v>
      </c>
      <c r="E692" s="1" t="n">
        <v>46311</v>
      </c>
      <c r="F692" t="inlineStr">
        <is>
          <t>VÄRMLANDS LÄN</t>
        </is>
      </c>
      <c r="G692" t="inlineStr">
        <is>
          <t>HAGFORS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38573-2026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46283</v>
      </c>
      <c r="E693" s="1" t="n">
        <v>46311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57462-2025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45980</v>
      </c>
      <c r="E694" s="1" t="n">
        <v>46311</v>
      </c>
      <c r="F694" t="inlineStr">
        <is>
          <t>VÄRMLANDS LÄN</t>
        </is>
      </c>
      <c r="G694" t="inlineStr">
        <is>
          <t>HAGFORS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32712-2026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46241</v>
      </c>
      <c r="E695" s="1" t="n">
        <v>46311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32713-2026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46241</v>
      </c>
      <c r="E696" s="1" t="n">
        <v>46311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45980</v>
      </c>
      <c r="E697" s="1" t="n">
        <v>46311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57198-2025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45979</v>
      </c>
      <c r="E698" s="1" t="n">
        <v>46311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60974-2024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45645</v>
      </c>
      <c r="E699" s="1" t="n">
        <v>46311</v>
      </c>
      <c r="F699" t="inlineStr">
        <is>
          <t>VÄRMLANDS LÄN</t>
        </is>
      </c>
      <c r="G699" t="inlineStr">
        <is>
          <t>HAGFORS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46245</v>
      </c>
      <c r="E700" s="1" t="n">
        <v>46311</v>
      </c>
      <c r="F700" t="inlineStr">
        <is>
          <t>VÄRMLANDS LÄN</t>
        </is>
      </c>
      <c r="G700" t="inlineStr">
        <is>
          <t>HAGFORS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35775-2024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45532</v>
      </c>
      <c r="E701" s="1" t="n">
        <v>46311</v>
      </c>
      <c r="F701" t="inlineStr">
        <is>
          <t>VÄRMLANDS LÄN</t>
        </is>
      </c>
      <c r="G701" t="inlineStr">
        <is>
          <t>HAGFORS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39116-2026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46311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45238-2024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45575</v>
      </c>
      <c r="E703" s="1" t="n">
        <v>46311</v>
      </c>
      <c r="F703" t="inlineStr">
        <is>
          <t>VÄRMLANDS LÄN</t>
        </is>
      </c>
      <c r="G703" t="inlineStr">
        <is>
          <t>HAGFORS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39345-2026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46288</v>
      </c>
      <c r="E704" s="1" t="n">
        <v>46311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19056-2026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46311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39382-2026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46288</v>
      </c>
      <c r="E706" s="1" t="n">
        <v>46311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32149-2023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45107</v>
      </c>
      <c r="E707" s="1" t="n">
        <v>46311</v>
      </c>
      <c r="F707" t="inlineStr">
        <is>
          <t>VÄRMLANDS LÄN</t>
        </is>
      </c>
      <c r="G707" t="inlineStr">
        <is>
          <t>HAGFORS</t>
        </is>
      </c>
      <c r="I707" t="n">
        <v>9.1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46288</v>
      </c>
      <c r="E708" s="1" t="n">
        <v>46311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8.5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45981</v>
      </c>
      <c r="E709" s="1" t="n">
        <v>46311</v>
      </c>
      <c r="F709" t="inlineStr">
        <is>
          <t>VÄRMLANDS LÄN</t>
        </is>
      </c>
      <c r="G709" t="inlineStr">
        <is>
          <t>HAGFORS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39070-2026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46287</v>
      </c>
      <c r="E710" s="1" t="n">
        <v>46311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26777-2023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45093</v>
      </c>
      <c r="E711" s="1" t="n">
        <v>46311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56165-2024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45624</v>
      </c>
      <c r="E712" s="1" t="n">
        <v>46311</v>
      </c>
      <c r="F712" t="inlineStr">
        <is>
          <t>VÄRMLANDS LÄN</t>
        </is>
      </c>
      <c r="G712" t="inlineStr">
        <is>
          <t>HAGFORS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39186-2026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46287</v>
      </c>
      <c r="E713" s="1" t="n">
        <v>46311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45684</v>
      </c>
      <c r="E714" s="1" t="n">
        <v>46311</v>
      </c>
      <c r="F714" t="inlineStr">
        <is>
          <t>VÄRMLANDS LÄN</t>
        </is>
      </c>
      <c r="G714" t="inlineStr">
        <is>
          <t>HAGFORS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45684</v>
      </c>
      <c r="E715" s="1" t="n">
        <v>46311</v>
      </c>
      <c r="F715" t="inlineStr">
        <is>
          <t>VÄRMLANDS LÄN</t>
        </is>
      </c>
      <c r="G715" t="inlineStr">
        <is>
          <t>HAGFORS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46289</v>
      </c>
      <c r="E716" s="1" t="n">
        <v>46311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19894-2024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46311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45335</v>
      </c>
      <c r="E718" s="1" t="n">
        <v>46311</v>
      </c>
      <c r="F718" t="inlineStr">
        <is>
          <t>VÄRMLANDS LÄN</t>
        </is>
      </c>
      <c r="G718" t="inlineStr">
        <is>
          <t>HAGFORS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4047-2024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45323</v>
      </c>
      <c r="E719" s="1" t="n">
        <v>46311</v>
      </c>
      <c r="F719" t="inlineStr">
        <is>
          <t>VÄRMLANDS LÄN</t>
        </is>
      </c>
      <c r="G719" t="inlineStr">
        <is>
          <t>HAGFORS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36228-2024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45534</v>
      </c>
      <c r="E720" s="1" t="n">
        <v>46311</v>
      </c>
      <c r="F720" t="inlineStr">
        <is>
          <t>VÄRMLANDS LÄN</t>
        </is>
      </c>
      <c r="G720" t="inlineStr">
        <is>
          <t>HAGFORS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42173-2024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45562</v>
      </c>
      <c r="E721" s="1" t="n">
        <v>46311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42178-2024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46311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42235-2024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45562</v>
      </c>
      <c r="E723" s="1" t="n">
        <v>46311</v>
      </c>
      <c r="F723" t="inlineStr">
        <is>
          <t>VÄRMLANDS LÄN</t>
        </is>
      </c>
      <c r="G723" t="inlineStr">
        <is>
          <t>HAGFORS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46311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58278-2025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46311</v>
      </c>
      <c r="F725" t="inlineStr">
        <is>
          <t>VÄRMLANDS LÄN</t>
        </is>
      </c>
      <c r="G725" t="inlineStr">
        <is>
          <t>HAGFORS</t>
        </is>
      </c>
      <c r="H725" t="inlineStr">
        <is>
          <t>Kyrkan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39881-2026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46290</v>
      </c>
      <c r="E726" s="1" t="n">
        <v>46311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39566-2026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46289</v>
      </c>
      <c r="E727" s="1" t="n">
        <v>46311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59047-2025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45988</v>
      </c>
      <c r="E728" s="1" t="n">
        <v>46311</v>
      </c>
      <c r="F728" t="inlineStr">
        <is>
          <t>VÄRMLANDS LÄN</t>
        </is>
      </c>
      <c r="G728" t="inlineStr">
        <is>
          <t>HAGFORS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39605-2026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46289</v>
      </c>
      <c r="E729" s="1" t="n">
        <v>46311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39577-2026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46289</v>
      </c>
      <c r="E730" s="1" t="n">
        <v>46311</v>
      </c>
      <c r="F730" t="inlineStr">
        <is>
          <t>VÄRMLANDS LÄN</t>
        </is>
      </c>
      <c r="G730" t="inlineStr">
        <is>
          <t>HAGFORS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39706-2026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46290</v>
      </c>
      <c r="E731" s="1" t="n">
        <v>46311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39708-2026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46290</v>
      </c>
      <c r="E732" s="1" t="n">
        <v>46311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39727-2026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46290</v>
      </c>
      <c r="E733" s="1" t="n">
        <v>46311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40428-2026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46294</v>
      </c>
      <c r="E734" s="1" t="n">
        <v>46311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21067-2025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45777</v>
      </c>
      <c r="E735" s="1" t="n">
        <v>46311</v>
      </c>
      <c r="F735" t="inlineStr">
        <is>
          <t>VÄRMLANDS LÄN</t>
        </is>
      </c>
      <c r="G735" t="inlineStr">
        <is>
          <t>HAGFORS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40203-2026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46311</v>
      </c>
      <c r="F736" t="inlineStr">
        <is>
          <t>VÄRMLANDS LÄN</t>
        </is>
      </c>
      <c r="G736" t="inlineStr">
        <is>
          <t>HAGFORS</t>
        </is>
      </c>
      <c r="I736" t="n">
        <v>6.4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46311</v>
      </c>
      <c r="F737" t="inlineStr">
        <is>
          <t>VÄRMLANDS LÄN</t>
        </is>
      </c>
      <c r="G737" t="inlineStr">
        <is>
          <t>HAGFORS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33635-2026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46248</v>
      </c>
      <c r="E738" s="1" t="n">
        <v>46311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4.7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40351-2026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46311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47425-2024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45587</v>
      </c>
      <c r="E740" s="1" t="n">
        <v>46311</v>
      </c>
      <c r="F740" t="inlineStr">
        <is>
          <t>VÄRMLANDS LÄN</t>
        </is>
      </c>
      <c r="G740" t="inlineStr">
        <is>
          <t>HAGFORS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40436-2026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46294</v>
      </c>
      <c r="E741" s="1" t="n">
        <v>46311</v>
      </c>
      <c r="F741" t="inlineStr">
        <is>
          <t>VÄRMLANDS LÄN</t>
        </is>
      </c>
      <c r="G741" t="inlineStr">
        <is>
          <t>HAGFORS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24680-2024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45460</v>
      </c>
      <c r="E742" s="1" t="n">
        <v>46311</v>
      </c>
      <c r="F742" t="inlineStr">
        <is>
          <t>VÄRMLANDS LÄN</t>
        </is>
      </c>
      <c r="G742" t="inlineStr">
        <is>
          <t>HAGFORS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40163-2026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46293</v>
      </c>
      <c r="E743" s="1" t="n">
        <v>46311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40174-2026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46293</v>
      </c>
      <c r="E744" s="1" t="n">
        <v>46311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46293</v>
      </c>
      <c r="E745" s="1" t="n">
        <v>46311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46294</v>
      </c>
      <c r="E746" s="1" t="n">
        <v>46311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40332-2023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45169</v>
      </c>
      <c r="E747" s="1" t="n">
        <v>46311</v>
      </c>
      <c r="F747" t="inlineStr">
        <is>
          <t>VÄRMLANDS LÄN</t>
        </is>
      </c>
      <c r="G747" t="inlineStr">
        <is>
          <t>HAGFORS</t>
        </is>
      </c>
      <c r="I747" t="n">
        <v>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40191-2026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46290</v>
      </c>
      <c r="E748" s="1" t="n">
        <v>46311</v>
      </c>
      <c r="F748" t="inlineStr">
        <is>
          <t>VÄRMLANDS LÄN</t>
        </is>
      </c>
      <c r="G748" t="inlineStr">
        <is>
          <t>HAGFORS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46311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33627-2026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46248</v>
      </c>
      <c r="E750" s="1" t="n">
        <v>46311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46311</v>
      </c>
      <c r="F751" t="inlineStr">
        <is>
          <t>VÄRMLANDS LÄN</t>
        </is>
      </c>
      <c r="G751" t="inlineStr">
        <is>
          <t>HAGFORS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46311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46311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46311</v>
      </c>
      <c r="F754" t="inlineStr">
        <is>
          <t>VÄRMLANDS LÄN</t>
        </is>
      </c>
      <c r="G754" t="inlineStr">
        <is>
          <t>HAGFORS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40206-2026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46311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40071-2026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46293</v>
      </c>
      <c r="E756" s="1" t="n">
        <v>46311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46311</v>
      </c>
      <c r="F757" t="inlineStr">
        <is>
          <t>VÄRMLANDS LÄN</t>
        </is>
      </c>
      <c r="G757" t="inlineStr">
        <is>
          <t>HAGFORS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46311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40440-2026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46294</v>
      </c>
      <c r="E759" s="1" t="n">
        <v>46311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60606-2025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45996</v>
      </c>
      <c r="E760" s="1" t="n">
        <v>46311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40209-2026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46290</v>
      </c>
      <c r="E761" s="1" t="n">
        <v>46311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60648-2025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45996</v>
      </c>
      <c r="E762" s="1" t="n">
        <v>46311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22461-2025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46311</v>
      </c>
      <c r="F763" t="inlineStr">
        <is>
          <t>VÄRMLANDS LÄN</t>
        </is>
      </c>
      <c r="G763" t="inlineStr">
        <is>
          <t>HAGFORS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17833-2022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44683</v>
      </c>
      <c r="E764" s="1" t="n">
        <v>46311</v>
      </c>
      <c r="F764" t="inlineStr">
        <is>
          <t>VÄRMLANDS LÄN</t>
        </is>
      </c>
      <c r="G764" t="inlineStr">
        <is>
          <t>HAGFORS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60841-2025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45999</v>
      </c>
      <c r="E765" s="1" t="n">
        <v>46311</v>
      </c>
      <c r="F765" t="inlineStr">
        <is>
          <t>VÄRMLANDS LÄN</t>
        </is>
      </c>
      <c r="G765" t="inlineStr">
        <is>
          <t>HAGFORS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46251</v>
      </c>
      <c r="E766" s="1" t="n">
        <v>46311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61787-2025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46002</v>
      </c>
      <c r="E767" s="1" t="n">
        <v>46311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61718-2025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46002</v>
      </c>
      <c r="E768" s="1" t="n">
        <v>46311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61910-2025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46003</v>
      </c>
      <c r="E769" s="1" t="n">
        <v>46311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40537-2026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46295</v>
      </c>
      <c r="E770" s="1" t="n">
        <v>46311</v>
      </c>
      <c r="F770" t="inlineStr">
        <is>
          <t>VÄRMLANDS LÄN</t>
        </is>
      </c>
      <c r="G770" t="inlineStr">
        <is>
          <t>HAGFORS</t>
        </is>
      </c>
      <c r="H770" t="inlineStr">
        <is>
          <t>Kommuner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62125-2025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46006</v>
      </c>
      <c r="E771" s="1" t="n">
        <v>46311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61850-2025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46003</v>
      </c>
      <c r="E772" s="1" t="n">
        <v>46311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40547-2026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46295</v>
      </c>
      <c r="E773" s="1" t="n">
        <v>46311</v>
      </c>
      <c r="F773" t="inlineStr">
        <is>
          <t>VÄRMLANDS LÄN</t>
        </is>
      </c>
      <c r="G773" t="inlineStr">
        <is>
          <t>HAGFORS</t>
        </is>
      </c>
      <c r="H773" t="inlineStr">
        <is>
          <t>Kommuner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61998-2025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46003</v>
      </c>
      <c r="E774" s="1" t="n">
        <v>46311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62168-2025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46006</v>
      </c>
      <c r="E775" s="1" t="n">
        <v>46311</v>
      </c>
      <c r="F775" t="inlineStr">
        <is>
          <t>VÄRMLANDS LÄN</t>
        </is>
      </c>
      <c r="G775" t="inlineStr">
        <is>
          <t>HAGFORS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34014-2026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46252</v>
      </c>
      <c r="E776" s="1" t="n">
        <v>46311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62240-2025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46006</v>
      </c>
      <c r="E777" s="1" t="n">
        <v>46311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61843-2025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46003</v>
      </c>
      <c r="E778" s="1" t="n">
        <v>46311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62099-2025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46006</v>
      </c>
      <c r="E779" s="1" t="n">
        <v>46311</v>
      </c>
      <c r="F779" t="inlineStr">
        <is>
          <t>VÄRMLANDS LÄN</t>
        </is>
      </c>
      <c r="G779" t="inlineStr">
        <is>
          <t>HAGFORS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62749-2025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46008</v>
      </c>
      <c r="E780" s="1" t="n">
        <v>46311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62542-2025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46007</v>
      </c>
      <c r="E781" s="1" t="n">
        <v>46311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46311</v>
      </c>
      <c r="F782" t="inlineStr">
        <is>
          <t>VÄRMLANDS LÄN</t>
        </is>
      </c>
      <c r="G782" t="inlineStr">
        <is>
          <t>HAGFORS</t>
        </is>
      </c>
      <c r="H782" t="inlineStr">
        <is>
          <t>Kommuner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62632-2025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46008</v>
      </c>
      <c r="E783" s="1" t="n">
        <v>46311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22917-2025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45790</v>
      </c>
      <c r="E784" s="1" t="n">
        <v>46311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59449-2024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45638</v>
      </c>
      <c r="E785" s="1" t="n">
        <v>46311</v>
      </c>
      <c r="F785" t="inlineStr">
        <is>
          <t>VÄRMLANDS LÄN</t>
        </is>
      </c>
      <c r="G785" t="inlineStr">
        <is>
          <t>HAGFORS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63301-2025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46010</v>
      </c>
      <c r="E786" s="1" t="n">
        <v>46311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34522-2026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46255</v>
      </c>
      <c r="E787" s="1" t="n">
        <v>46311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34523-2026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46255</v>
      </c>
      <c r="E788" s="1" t="n">
        <v>46311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22964-2025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46311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46311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8.800000000000001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41119-2026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46311</v>
      </c>
      <c r="F791" t="inlineStr">
        <is>
          <t>VÄRMLANDS LÄN</t>
        </is>
      </c>
      <c r="G791" t="inlineStr">
        <is>
          <t>HAGFORS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34443-2026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46254</v>
      </c>
      <c r="E792" s="1" t="n">
        <v>46311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23268-2025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46311</v>
      </c>
      <c r="F793" t="inlineStr">
        <is>
          <t>VÄRMLANDS LÄN</t>
        </is>
      </c>
      <c r="G793" t="inlineStr">
        <is>
          <t>HAGFORS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41050-2026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46300</v>
      </c>
      <c r="E794" s="1" t="n">
        <v>46311</v>
      </c>
      <c r="F794" t="inlineStr">
        <is>
          <t>VÄRMLANDS LÄN</t>
        </is>
      </c>
      <c r="G794" t="inlineStr">
        <is>
          <t>HAGFORS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23556-2025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45792</v>
      </c>
      <c r="E795" s="1" t="n">
        <v>46311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63361-2025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46311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63285-2025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46311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23525-2025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45792</v>
      </c>
      <c r="E798" s="1" t="n">
        <v>46311</v>
      </c>
      <c r="F798" t="inlineStr">
        <is>
          <t>VÄRMLANDS LÄN</t>
        </is>
      </c>
      <c r="G798" t="inlineStr">
        <is>
          <t>HAGFORS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41057-2026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46311</v>
      </c>
      <c r="F799" t="inlineStr">
        <is>
          <t>VÄRMLANDS LÄN</t>
        </is>
      </c>
      <c r="G799" t="inlineStr">
        <is>
          <t>HAGFORS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4745-2024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45328</v>
      </c>
      <c r="E800" s="1" t="n">
        <v>46311</v>
      </c>
      <c r="F800" t="inlineStr">
        <is>
          <t>VÄRMLANDS LÄN</t>
        </is>
      </c>
      <c r="G800" t="inlineStr">
        <is>
          <t>HAGFORS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46311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38239-2024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45545</v>
      </c>
      <c r="E802" s="1" t="n">
        <v>46311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46251</v>
      </c>
      <c r="E803" s="1" t="n">
        <v>46311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54008-2024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45615</v>
      </c>
      <c r="E804" s="1" t="n">
        <v>46311</v>
      </c>
      <c r="F804" t="inlineStr">
        <is>
          <t>VÄRMLANDS LÄN</t>
        </is>
      </c>
      <c r="G804" t="inlineStr">
        <is>
          <t>HAGFORS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55950-2024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45623</v>
      </c>
      <c r="E805" s="1" t="n">
        <v>46311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63831-2025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46020</v>
      </c>
      <c r="E806" s="1" t="n">
        <v>46311</v>
      </c>
      <c r="F806" t="inlineStr">
        <is>
          <t>VÄRMLANDS LÄN</t>
        </is>
      </c>
      <c r="G806" t="inlineStr">
        <is>
          <t>HAGFORS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34552-2026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46255</v>
      </c>
      <c r="E807" s="1" t="n">
        <v>46311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63764-2025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46018</v>
      </c>
      <c r="E808" s="1" t="n">
        <v>46311</v>
      </c>
      <c r="F808" t="inlineStr">
        <is>
          <t>VÄRMLANDS LÄN</t>
        </is>
      </c>
      <c r="G808" t="inlineStr">
        <is>
          <t>HAGFORS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63765-2025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46018</v>
      </c>
      <c r="E809" s="1" t="n">
        <v>46311</v>
      </c>
      <c r="F809" t="inlineStr">
        <is>
          <t>VÄRMLANDS LÄN</t>
        </is>
      </c>
      <c r="G809" t="inlineStr">
        <is>
          <t>HAGFORS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63875-2025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46020</v>
      </c>
      <c r="E810" s="1" t="n">
        <v>46311</v>
      </c>
      <c r="F810" t="inlineStr">
        <is>
          <t>VÄRMLANDS LÄN</t>
        </is>
      </c>
      <c r="G810" t="inlineStr">
        <is>
          <t>HAGFORS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63834-2025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46020</v>
      </c>
      <c r="E811" s="1" t="n">
        <v>46311</v>
      </c>
      <c r="F811" t="inlineStr">
        <is>
          <t>VÄRMLANDS LÄN</t>
        </is>
      </c>
      <c r="G811" t="inlineStr">
        <is>
          <t>HAGFORS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23674-2025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45793</v>
      </c>
      <c r="E812" s="1" t="n">
        <v>46311</v>
      </c>
      <c r="F812" t="inlineStr">
        <is>
          <t>VÄRMLANDS LÄN</t>
        </is>
      </c>
      <c r="G812" t="inlineStr">
        <is>
          <t>HAGFORS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15643-2024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45404</v>
      </c>
      <c r="E813" s="1" t="n">
        <v>46311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46311</v>
      </c>
      <c r="F814" t="inlineStr">
        <is>
          <t>VÄRMLANDS LÄN</t>
        </is>
      </c>
      <c r="G814" t="inlineStr">
        <is>
          <t>HAGFORS</t>
        </is>
      </c>
      <c r="I814" t="n">
        <v>14.3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23712-2025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45793</v>
      </c>
      <c r="E815" s="1" t="n">
        <v>46311</v>
      </c>
      <c r="F815" t="inlineStr">
        <is>
          <t>VÄRMLANDS LÄN</t>
        </is>
      </c>
      <c r="G815" t="inlineStr">
        <is>
          <t>HAGFORS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41581-2026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46301</v>
      </c>
      <c r="E816" s="1" t="n">
        <v>46311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46258</v>
      </c>
      <c r="E817" s="1" t="n">
        <v>46311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24435-2025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45797</v>
      </c>
      <c r="E818" s="1" t="n">
        <v>46311</v>
      </c>
      <c r="F818" t="inlineStr">
        <is>
          <t>VÄRMLANDS LÄN</t>
        </is>
      </c>
      <c r="G818" t="inlineStr">
        <is>
          <t>HAGFORS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48807-2025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45937</v>
      </c>
      <c r="E819" s="1" t="n">
        <v>46311</v>
      </c>
      <c r="F819" t="inlineStr">
        <is>
          <t>VÄRMLANDS LÄN</t>
        </is>
      </c>
      <c r="G819" t="inlineStr">
        <is>
          <t>HAGFORS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975-2026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46030</v>
      </c>
      <c r="E820" s="1" t="n">
        <v>46311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16798-2025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45754</v>
      </c>
      <c r="E821" s="1" t="n">
        <v>46311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24434-2025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45797</v>
      </c>
      <c r="E822" s="1" t="n">
        <v>46311</v>
      </c>
      <c r="F822" t="inlineStr">
        <is>
          <t>VÄRMLANDS LÄN</t>
        </is>
      </c>
      <c r="G822" t="inlineStr">
        <is>
          <t>HAGFORS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13524-2025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45736</v>
      </c>
      <c r="E823" s="1" t="n">
        <v>46311</v>
      </c>
      <c r="F823" t="inlineStr">
        <is>
          <t>VÄRMLANDS LÄN</t>
        </is>
      </c>
      <c r="G823" t="inlineStr">
        <is>
          <t>HAGFORS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24438-2025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45797</v>
      </c>
      <c r="E824" s="1" t="n">
        <v>46311</v>
      </c>
      <c r="F824" t="inlineStr">
        <is>
          <t>VÄRMLANDS LÄN</t>
        </is>
      </c>
      <c r="G824" t="inlineStr">
        <is>
          <t>HAGFORS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46030</v>
      </c>
      <c r="E825" s="1" t="n">
        <v>46311</v>
      </c>
      <c r="F825" t="inlineStr">
        <is>
          <t>VÄRMLANDS LÄN</t>
        </is>
      </c>
      <c r="G825" t="inlineStr">
        <is>
          <t>HAGFORS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1570-2026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46034</v>
      </c>
      <c r="E826" s="1" t="n">
        <v>46311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35386-2026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46261</v>
      </c>
      <c r="E827" s="1" t="n">
        <v>46311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35186-2026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46260</v>
      </c>
      <c r="E828" s="1" t="n">
        <v>46311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46311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35184-2026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46260</v>
      </c>
      <c r="E830" s="1" t="n">
        <v>46311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35173-2026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46260</v>
      </c>
      <c r="E831" s="1" t="n">
        <v>46311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18.2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44906-2024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45575</v>
      </c>
      <c r="E832" s="1" t="n">
        <v>46311</v>
      </c>
      <c r="F832" t="inlineStr">
        <is>
          <t>VÄRMLANDS LÄN</t>
        </is>
      </c>
      <c r="G832" t="inlineStr">
        <is>
          <t>HAGFORS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42264-2026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46307</v>
      </c>
      <c r="E833" s="1" t="n">
        <v>46311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31.1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35749-2026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46265</v>
      </c>
      <c r="E834" s="1" t="n">
        <v>46311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35781-2026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46265</v>
      </c>
      <c r="E835" s="1" t="n">
        <v>46311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46048</v>
      </c>
      <c r="E836" s="1" t="n">
        <v>46311</v>
      </c>
      <c r="F836" t="inlineStr">
        <is>
          <t>VÄRMLANDS LÄN</t>
        </is>
      </c>
      <c r="G836" t="inlineStr">
        <is>
          <t>HAGFORS</t>
        </is>
      </c>
      <c r="I836" t="n">
        <v>13.1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46048</v>
      </c>
      <c r="E837" s="1" t="n">
        <v>46311</v>
      </c>
      <c r="F837" t="inlineStr">
        <is>
          <t>VÄRMLANDS LÄN</t>
        </is>
      </c>
      <c r="G837" t="inlineStr">
        <is>
          <t>HAGFORS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35574-2026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46311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42329-2026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46307</v>
      </c>
      <c r="E839" s="1" t="n">
        <v>46311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46050</v>
      </c>
      <c r="E840" s="1" t="n">
        <v>46311</v>
      </c>
      <c r="F840" t="inlineStr">
        <is>
          <t>VÄRMLANDS LÄN</t>
        </is>
      </c>
      <c r="G840" t="inlineStr">
        <is>
          <t>HAGFORS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5030-2026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46049</v>
      </c>
      <c r="E841" s="1" t="n">
        <v>46311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46050</v>
      </c>
      <c r="E842" s="1" t="n">
        <v>46311</v>
      </c>
      <c r="F842" t="inlineStr">
        <is>
          <t>VÄRMLANDS LÄN</t>
        </is>
      </c>
      <c r="G842" t="inlineStr">
        <is>
          <t>HAGFORS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5468-2026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46050</v>
      </c>
      <c r="E843" s="1" t="n">
        <v>46311</v>
      </c>
      <c r="F843" t="inlineStr">
        <is>
          <t>VÄRMLANDS LÄN</t>
        </is>
      </c>
      <c r="G843" t="inlineStr">
        <is>
          <t>HAGFORS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5298-2026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46050</v>
      </c>
      <c r="E844" s="1" t="n">
        <v>46311</v>
      </c>
      <c r="F844" t="inlineStr">
        <is>
          <t>VÄRMLANDS LÄN</t>
        </is>
      </c>
      <c r="G844" t="inlineStr">
        <is>
          <t>HAGFORS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46050</v>
      </c>
      <c r="E845" s="1" t="n">
        <v>46311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46050</v>
      </c>
      <c r="E846" s="1" t="n">
        <v>46311</v>
      </c>
      <c r="F846" t="inlineStr">
        <is>
          <t>VÄRMLANDS LÄN</t>
        </is>
      </c>
      <c r="G846" t="inlineStr">
        <is>
          <t>HAGFORS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42314-2026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46307</v>
      </c>
      <c r="E847" s="1" t="n">
        <v>46311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42260-2026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46307</v>
      </c>
      <c r="E848" s="1" t="n">
        <v>46311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16.8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5993-2026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46311</v>
      </c>
      <c r="F849" t="inlineStr">
        <is>
          <t>VÄRMLANDS LÄN</t>
        </is>
      </c>
      <c r="G849" t="inlineStr">
        <is>
          <t>HAGFORS</t>
        </is>
      </c>
      <c r="I849" t="n">
        <v>5.5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42263-2026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46307</v>
      </c>
      <c r="E850" s="1" t="n">
        <v>46311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42279-2026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46307</v>
      </c>
      <c r="E851" s="1" t="n">
        <v>46311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42259-2026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46307</v>
      </c>
      <c r="E852" s="1" t="n">
        <v>46311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42492-2026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46308</v>
      </c>
      <c r="E853" s="1" t="n">
        <v>46311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42691-2026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46309</v>
      </c>
      <c r="E854" s="1" t="n">
        <v>46311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42776-2026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46309</v>
      </c>
      <c r="E855" s="1" t="n">
        <v>46311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42637-2026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46309</v>
      </c>
      <c r="E856" s="1" t="n">
        <v>46311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46057</v>
      </c>
      <c r="E857" s="1" t="n">
        <v>46311</v>
      </c>
      <c r="F857" t="inlineStr">
        <is>
          <t>VÄRMLANDS LÄN</t>
        </is>
      </c>
      <c r="G857" t="inlineStr">
        <is>
          <t>HAGFORS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42737-2026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46309</v>
      </c>
      <c r="E858" s="1" t="n">
        <v>46311</v>
      </c>
      <c r="F858" t="inlineStr">
        <is>
          <t>VÄRMLANDS LÄN</t>
        </is>
      </c>
      <c r="G858" t="inlineStr">
        <is>
          <t>HAGFORS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36221-2026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46268</v>
      </c>
      <c r="E859" s="1" t="n">
        <v>46311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36110-2026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46267</v>
      </c>
      <c r="E860" s="1" t="n">
        <v>46311</v>
      </c>
      <c r="F860" t="inlineStr">
        <is>
          <t>VÄRMLANDS LÄN</t>
        </is>
      </c>
      <c r="G860" t="inlineStr">
        <is>
          <t>HAGFORS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36055-2026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46267</v>
      </c>
      <c r="E861" s="1" t="n">
        <v>46311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9.699999999999999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36240-2026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46268</v>
      </c>
      <c r="E862" s="1" t="n">
        <v>46311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8.800000000000001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36281-2026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46311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7.6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42625-2026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46309</v>
      </c>
      <c r="E864" s="1" t="n">
        <v>46311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9670-2026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46072</v>
      </c>
      <c r="E865" s="1" t="n">
        <v>46311</v>
      </c>
      <c r="F865" t="inlineStr">
        <is>
          <t>VÄRMLANDS LÄN</t>
        </is>
      </c>
      <c r="G865" t="inlineStr">
        <is>
          <t>HAGFORS</t>
        </is>
      </c>
      <c r="I865" t="n">
        <v>5.7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9769-2026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46072</v>
      </c>
      <c r="E866" s="1" t="n">
        <v>46311</v>
      </c>
      <c r="F866" t="inlineStr">
        <is>
          <t>VÄRMLANDS LÄN</t>
        </is>
      </c>
      <c r="G866" t="inlineStr">
        <is>
          <t>HAGFORS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10271-2026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46076</v>
      </c>
      <c r="E867" s="1" t="n">
        <v>46311</v>
      </c>
      <c r="F867" t="inlineStr">
        <is>
          <t>VÄRMLANDS LÄN</t>
        </is>
      </c>
      <c r="G867" t="inlineStr">
        <is>
          <t>HAGFORS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12295-2026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46087</v>
      </c>
      <c r="E868" s="1" t="n">
        <v>46311</v>
      </c>
      <c r="F868" t="inlineStr">
        <is>
          <t>VÄRMLANDS LÄN</t>
        </is>
      </c>
      <c r="G868" t="inlineStr">
        <is>
          <t>HAGFORS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12611-2026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46091</v>
      </c>
      <c r="E869" s="1" t="n">
        <v>46311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7.2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12534-2026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46311</v>
      </c>
      <c r="F870" t="inlineStr">
        <is>
          <t>VÄRMLANDS LÄN</t>
        </is>
      </c>
      <c r="G870" t="inlineStr">
        <is>
          <t>HAGFORS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13419-2026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46311</v>
      </c>
      <c r="F871" t="inlineStr">
        <is>
          <t>VÄRMLANDS LÄN</t>
        </is>
      </c>
      <c r="G871" t="inlineStr">
        <is>
          <t>HAGFORS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13338-2026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46311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2225-2020</t>
        </is>
      </c>
      <c r="B873" t="inlineStr">
        <is>
          <t>samrådsanmälan</t>
        </is>
      </c>
      <c r="C873" t="inlineStr">
        <is>
          <t>Åtgärd i nyckelbiotop</t>
        </is>
      </c>
      <c r="D873" s="1" t="n">
        <v>44127</v>
      </c>
      <c r="E873" s="1" t="n">
        <v>46311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2050-2022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44671</v>
      </c>
      <c r="E874" s="1" t="n">
        <v>46311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937-2022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44606</v>
      </c>
      <c r="E875" s="1" t="n">
        <v>46311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59.4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931-2022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44606</v>
      </c>
      <c r="E876" s="1" t="n">
        <v>46311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49.5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262-2022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44578</v>
      </c>
      <c r="E877" s="1" t="n">
        <v>46311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78.90000000000001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907-2022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46311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43.5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913-2022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46311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898-2022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46311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900-2022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46311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27.3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914-2022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46311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19.3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4419-2023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45266</v>
      </c>
      <c r="E883" s="1" t="n">
        <v>46311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35.6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4420-2023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46311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44.2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4426-2023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46311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9.699999999999999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5512-2022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44834</v>
      </c>
      <c r="E886" s="1" t="n">
        <v>46311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29.9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4415-2023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46311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9.199999999999999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6970-2022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46311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29.3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4408-2023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46311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6968-2022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44901</v>
      </c>
      <c r="E890" s="1" t="n">
        <v>46311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19.3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4423-2023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46311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15.7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4418-2023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45266</v>
      </c>
      <c r="E892" s="1" t="n">
        <v>46311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19.1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651-2024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45356</v>
      </c>
      <c r="E893" s="1" t="n">
        <v>46311</v>
      </c>
      <c r="F893" t="inlineStr">
        <is>
          <t>VÄRMLANDS LÄN</t>
        </is>
      </c>
      <c r="G893" t="inlineStr">
        <is>
          <t>HAGFORS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4145-2023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46311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6967-2022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46311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27.1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89-2025</t>
        </is>
      </c>
      <c r="B896" t="inlineStr">
        <is>
          <t>samrådsanmälan</t>
        </is>
      </c>
      <c r="C896" t="inlineStr">
        <is>
          <t>Åtgärd i nyckelbiotop</t>
        </is>
      </c>
      <c r="D896" s="1" t="n">
        <v>45316</v>
      </c>
      <c r="E896" s="1" t="n">
        <v>46311</v>
      </c>
      <c r="F896" t="inlineStr">
        <is>
          <t>VÄRMLANDS LÄN</t>
        </is>
      </c>
      <c r="G896" t="inlineStr">
        <is>
          <t>HAGFORS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6969-2022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44901</v>
      </c>
      <c r="E897" s="1" t="n">
        <v>46311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220-2025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45680</v>
      </c>
      <c r="E898" s="1" t="n">
        <v>46311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4150-2023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45247</v>
      </c>
      <c r="E899" s="1" t="n">
        <v>46311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34.4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4410-2023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45266</v>
      </c>
      <c r="E900" s="1" t="n">
        <v>46311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39.3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4409-2023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46311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4155-2023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45247</v>
      </c>
      <c r="E902" s="1" t="n">
        <v>46311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40.9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4140-2023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46311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6977-2022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44901</v>
      </c>
      <c r="E904" s="1" t="n">
        <v>46311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6973-2022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46311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30.1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4143-2023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46311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13.2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4407-2023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45266</v>
      </c>
      <c r="E907" s="1" t="n">
        <v>46311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6965-2022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46311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662-2025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45716</v>
      </c>
      <c r="E909" s="1" t="n">
        <v>46311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52.4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108-2026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46037</v>
      </c>
      <c r="E910" s="1" t="n">
        <v>46311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204.4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102-2026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46036</v>
      </c>
      <c r="E911" s="1" t="n">
        <v>46311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57.9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60-2026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46013</v>
      </c>
      <c r="E912" s="1" t="n">
        <v>46311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10.6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382-2025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45691</v>
      </c>
      <c r="E913" s="1" t="n">
        <v>46311</v>
      </c>
      <c r="F913" t="inlineStr">
        <is>
          <t>VÄRMLANDS LÄN</t>
        </is>
      </c>
      <c r="G913" t="inlineStr">
        <is>
          <t>HAGFORS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2026-10-16T02:19:42Z</dcterms:created>
  <dcterms:modified xmlns:dcterms="http://purl.org/dc/terms/" xmlns:xsi="http://www.w3.org/2001/XMLSchema-instance" xsi:type="dcterms:W3CDTF">2026-10-16T02:19:43Z</dcterms:modified>
</cp:coreProperties>
</file>