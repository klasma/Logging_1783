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46216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46216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46216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46216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46216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46216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46216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46216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46216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s="2" t="inlineStr">
        <is>
          <t>Garnlav
Dropptaggsvamp
Kortskaftad ärgspik
Mörk kolflarnlav
Mindre märgborre</t>
        </is>
      </c>
      <c r="V11">
        <f>HYPERLINK("https://klasma.github.io/Logging_1783/artfynd/A 17619-2023 artfynd.xlsx", "A 17619-2023")</f>
        <v/>
      </c>
      <c r="W11">
        <f>HYPERLINK("https://klasma.github.io/Logging_1783/kartor/A 17619-2023 karta.png", "A 17619-2023")</f>
        <v/>
      </c>
      <c r="Y11">
        <f>HYPERLINK("https://klasma.github.io/Logging_1783/klagomål/A 17619-2023 FSC-klagomål.docx", "A 17619-2023")</f>
        <v/>
      </c>
      <c r="Z11">
        <f>HYPERLINK("https://klasma.github.io/Logging_1783/klagomålsmail/A 17619-2023 FSC-klagomål mail.docx", "A 17619-2023")</f>
        <v/>
      </c>
      <c r="AA11">
        <f>HYPERLINK("https://klasma.github.io/Logging_1783/tillsyn/A 17619-2023 tillsynsbegäran.docx", "A 17619-2023")</f>
        <v/>
      </c>
      <c r="AB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46216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s="2" t="inlineStr">
        <is>
          <t>Bårdlav
Svart trolldruva
Trådticka
Vedticka
Nattviol</t>
        </is>
      </c>
      <c r="V12">
        <f>HYPERLINK("https://klasma.github.io/Logging_1783/artfynd/A 44506-2025 artfynd.xlsx", "A 44506-2025")</f>
        <v/>
      </c>
      <c r="W12">
        <f>HYPERLINK("https://klasma.github.io/Logging_1783/kartor/A 44506-2025 karta.png", "A 44506-2025")</f>
        <v/>
      </c>
      <c r="Y12">
        <f>HYPERLINK("https://klasma.github.io/Logging_1783/klagomål/A 44506-2025 FSC-klagomål.docx", "A 44506-2025")</f>
        <v/>
      </c>
      <c r="Z12">
        <f>HYPERLINK("https://klasma.github.io/Logging_1783/klagomålsmail/A 44506-2025 FSC-klagomål mail.docx", "A 44506-2025")</f>
        <v/>
      </c>
      <c r="AA12">
        <f>HYPERLINK("https://klasma.github.io/Logging_1783/tillsyn/A 44506-2025 tillsynsbegäran.docx", "A 44506-2025")</f>
        <v/>
      </c>
      <c r="AB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46216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46216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46216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Lunglav
Vedskivlav
Vedtrappmossa
Skinnlav</t>
        </is>
      </c>
      <c r="V15">
        <f>HYPERLINK("https://klasma.github.io/Logging_1783/artfynd/A 35299-2025 artfynd.xlsx", "A 35299-2025")</f>
        <v/>
      </c>
      <c r="W15">
        <f>HYPERLINK("https://klasma.github.io/Logging_1783/kartor/A 35299-2025 karta.png", "A 35299-2025")</f>
        <v/>
      </c>
      <c r="Y15">
        <f>HYPERLINK("https://klasma.github.io/Logging_1783/klagomål/A 35299-2025 FSC-klagomål.docx", "A 35299-2025")</f>
        <v/>
      </c>
      <c r="Z15">
        <f>HYPERLINK("https://klasma.github.io/Logging_1783/klagomålsmail/A 35299-2025 FSC-klagomål mail.docx", "A 35299-2025")</f>
        <v/>
      </c>
      <c r="AA15">
        <f>HYPERLINK("https://klasma.github.io/Logging_1783/tillsyn/A 35299-2025 tillsynsbegäran.docx", "A 35299-2025")</f>
        <v/>
      </c>
      <c r="AB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46216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s="2" t="inlineStr">
        <is>
          <t>Garnlav
Kolflarnlav
Mörk kolflarnlav
Vedskivlav</t>
        </is>
      </c>
      <c r="V16">
        <f>HYPERLINK("https://klasma.github.io/Logging_1783/artfynd/A 63893-2021 artfynd.xlsx", "A 63893-2021")</f>
        <v/>
      </c>
      <c r="W16">
        <f>HYPERLINK("https://klasma.github.io/Logging_1783/kartor/A 63893-2021 karta.png", "A 63893-2021")</f>
        <v/>
      </c>
      <c r="Y16">
        <f>HYPERLINK("https://klasma.github.io/Logging_1783/klagomål/A 63893-2021 FSC-klagomål.docx", "A 63893-2021")</f>
        <v/>
      </c>
      <c r="Z16">
        <f>HYPERLINK("https://klasma.github.io/Logging_1783/klagomålsmail/A 63893-2021 FSC-klagomål mail.docx", "A 63893-2021")</f>
        <v/>
      </c>
      <c r="AA16">
        <f>HYPERLINK("https://klasma.github.io/Logging_1783/tillsyn/A 63893-2021 tillsynsbegäran.docx", "A 63893-2021")</f>
        <v/>
      </c>
      <c r="AB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46216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s="2" t="inlineStr">
        <is>
          <t>Garnlav
Knärot
Dropptaggsvamp
Tretåig hackspett</t>
        </is>
      </c>
      <c r="V17">
        <f>HYPERLINK("https://klasma.github.io/Logging_1783/artfynd/A 23955-2025 artfynd.xlsx", "A 23955-2025")</f>
        <v/>
      </c>
      <c r="W17">
        <f>HYPERLINK("https://klasma.github.io/Logging_1783/kartor/A 23955-2025 karta.png", "A 23955-2025")</f>
        <v/>
      </c>
      <c r="X17">
        <f>HYPERLINK("https://klasma.github.io/Logging_1783/knärot/A 23955-2025 karta knärot.png", "A 23955-2025")</f>
        <v/>
      </c>
      <c r="Y17">
        <f>HYPERLINK("https://klasma.github.io/Logging_1783/klagomål/A 23955-2025 FSC-klagomål.docx", "A 23955-2025")</f>
        <v/>
      </c>
      <c r="Z17">
        <f>HYPERLINK("https://klasma.github.io/Logging_1783/klagomålsmail/A 23955-2025 FSC-klagomål mail.docx", "A 23955-2025")</f>
        <v/>
      </c>
      <c r="AA17">
        <f>HYPERLINK("https://klasma.github.io/Logging_1783/tillsyn/A 23955-2025 tillsynsbegäran.docx", "A 23955-2025")</f>
        <v/>
      </c>
      <c r="AB17">
        <f>HYPERLINK("https://klasma.github.io/Logging_1783/tillsynsmail/A 23955-2025 tillsynsbegäran mail.docx", "A 23955-2025")</f>
        <v/>
      </c>
      <c r="AC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46216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46216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Tretåig hackspett
Trana</t>
        </is>
      </c>
      <c r="V19">
        <f>HYPERLINK("https://klasma.github.io/Logging_1783/artfynd/A 1387-2024 artfynd.xlsx", "A 1387-2024")</f>
        <v/>
      </c>
      <c r="W19">
        <f>HYPERLINK("https://klasma.github.io/Logging_1783/kartor/A 1387-2024 karta.png", "A 1387-2024")</f>
        <v/>
      </c>
      <c r="Y19">
        <f>HYPERLINK("https://klasma.github.io/Logging_1783/klagomål/A 1387-2024 FSC-klagomål.docx", "A 1387-2024")</f>
        <v/>
      </c>
      <c r="Z19">
        <f>HYPERLINK("https://klasma.github.io/Logging_1783/klagomålsmail/A 1387-2024 FSC-klagomål mail.docx", "A 1387-2024")</f>
        <v/>
      </c>
      <c r="AA19">
        <f>HYPERLINK("https://klasma.github.io/Logging_1783/tillsyn/A 1387-2024 tillsynsbegäran.docx", "A 1387-2024")</f>
        <v/>
      </c>
      <c r="AB19">
        <f>HYPERLINK("https://klasma.github.io/Logging_1783/tillsynsmail/A 1387-2024 tillsynsbegäran mail.docx", "A 1387-2024")</f>
        <v/>
      </c>
      <c r="AC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46216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Aspgelélav
Lunglav
Korallblylav</t>
        </is>
      </c>
      <c r="V20">
        <f>HYPERLINK("https://klasma.github.io/Logging_1783/artfynd/A 59972-2025 artfynd.xlsx", "A 59972-2025")</f>
        <v/>
      </c>
      <c r="W20">
        <f>HYPERLINK("https://klasma.github.io/Logging_1783/kartor/A 59972-2025 karta.png", "A 59972-2025")</f>
        <v/>
      </c>
      <c r="Y20">
        <f>HYPERLINK("https://klasma.github.io/Logging_1783/klagomål/A 59972-2025 FSC-klagomål.docx", "A 59972-2025")</f>
        <v/>
      </c>
      <c r="Z20">
        <f>HYPERLINK("https://klasma.github.io/Logging_1783/klagomålsmail/A 59972-2025 FSC-klagomål mail.docx", "A 59972-2025")</f>
        <v/>
      </c>
      <c r="AA20">
        <f>HYPERLINK("https://klasma.github.io/Logging_1783/tillsyn/A 59972-2025 tillsynsbegäran.docx", "A 59972-2025")</f>
        <v/>
      </c>
      <c r="AB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46216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Rynkskinn
Stjärntagging
Ullticka</t>
        </is>
      </c>
      <c r="V21">
        <f>HYPERLINK("https://klasma.github.io/Logging_1783/artfynd/A 15826-2025 artfynd.xlsx", "A 15826-2025")</f>
        <v/>
      </c>
      <c r="W21">
        <f>HYPERLINK("https://klasma.github.io/Logging_1783/kartor/A 15826-2025 karta.png", "A 15826-2025")</f>
        <v/>
      </c>
      <c r="Y21">
        <f>HYPERLINK("https://klasma.github.io/Logging_1783/klagomål/A 15826-2025 FSC-klagomål.docx", "A 15826-2025")</f>
        <v/>
      </c>
      <c r="Z21">
        <f>HYPERLINK("https://klasma.github.io/Logging_1783/klagomålsmail/A 15826-2025 FSC-klagomål mail.docx", "A 15826-2025")</f>
        <v/>
      </c>
      <c r="AA21">
        <f>HYPERLINK("https://klasma.github.io/Logging_1783/tillsyn/A 15826-2025 tillsynsbegäran.docx", "A 15826-2025")</f>
        <v/>
      </c>
      <c r="AB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46216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46216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Dvärgbägarlav
Vedskivlav</t>
        </is>
      </c>
      <c r="V23">
        <f>HYPERLINK("https://klasma.github.io/Logging_1783/artfynd/A 656-2022 artfynd.xlsx", "A 656-2022")</f>
        <v/>
      </c>
      <c r="W23">
        <f>HYPERLINK("https://klasma.github.io/Logging_1783/kartor/A 656-2022 karta.png", "A 656-2022")</f>
        <v/>
      </c>
      <c r="Y23">
        <f>HYPERLINK("https://klasma.github.io/Logging_1783/klagomål/A 656-2022 FSC-klagomål.docx", "A 656-2022")</f>
        <v/>
      </c>
      <c r="Z23">
        <f>HYPERLINK("https://klasma.github.io/Logging_1783/klagomålsmail/A 656-2022 FSC-klagomål mail.docx", "A 656-2022")</f>
        <v/>
      </c>
      <c r="AA23">
        <f>HYPERLINK("https://klasma.github.io/Logging_1783/tillsyn/A 656-2022 tillsynsbegäran.docx", "A 656-2022")</f>
        <v/>
      </c>
      <c r="AB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46216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s="2" t="inlineStr">
        <is>
          <t>Gränsticka
Utter</t>
        </is>
      </c>
      <c r="V24">
        <f>HYPERLINK("https://klasma.github.io/Logging_1783/artfynd/A 59330-2024 artfynd.xlsx", "A 59330-2024")</f>
        <v/>
      </c>
      <c r="W24">
        <f>HYPERLINK("https://klasma.github.io/Logging_1783/kartor/A 59330-2024 karta.png", "A 59330-2024")</f>
        <v/>
      </c>
      <c r="Y24">
        <f>HYPERLINK("https://klasma.github.io/Logging_1783/klagomål/A 59330-2024 FSC-klagomål.docx", "A 59330-2024")</f>
        <v/>
      </c>
      <c r="Z24">
        <f>HYPERLINK("https://klasma.github.io/Logging_1783/klagomålsmail/A 59330-2024 FSC-klagomål mail.docx", "A 59330-2024")</f>
        <v/>
      </c>
      <c r="AA24">
        <f>HYPERLINK("https://klasma.github.io/Logging_1783/tillsyn/A 59330-2024 tillsynsbegäran.docx", "A 59330-2024")</f>
        <v/>
      </c>
      <c r="AB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46216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s="2" t="inlineStr">
        <is>
          <t>Mattlummer
Ärtsångare</t>
        </is>
      </c>
      <c r="V25">
        <f>HYPERLINK("https://klasma.github.io/Logging_1783/artfynd/A 10836-2026 artfynd.xlsx", "A 10836-2026")</f>
        <v/>
      </c>
      <c r="W25">
        <f>HYPERLINK("https://klasma.github.io/Logging_1783/kartor/A 10836-2026 karta.png", "A 10836-2026")</f>
        <v/>
      </c>
      <c r="Y25">
        <f>HYPERLINK("https://klasma.github.io/Logging_1783/klagomål/A 10836-2026 FSC-klagomål.docx", "A 10836-2026")</f>
        <v/>
      </c>
      <c r="Z25">
        <f>HYPERLINK("https://klasma.github.io/Logging_1783/klagomålsmail/A 10836-2026 FSC-klagomål mail.docx", "A 10836-2026")</f>
        <v/>
      </c>
      <c r="AA25">
        <f>HYPERLINK("https://klasma.github.io/Logging_1783/tillsyn/A 10836-2026 tillsynsbegäran.docx", "A 10836-2026")</f>
        <v/>
      </c>
      <c r="AB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46216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Svartvit taggsvamp
Tjäder</t>
        </is>
      </c>
      <c r="V26">
        <f>HYPERLINK("https://klasma.github.io/Logging_1783/artfynd/A 69709-2021 artfynd.xlsx", "A 69709-2021")</f>
        <v/>
      </c>
      <c r="W26">
        <f>HYPERLINK("https://klasma.github.io/Logging_1783/kartor/A 69709-2021 karta.png", "A 69709-2021")</f>
        <v/>
      </c>
      <c r="Y26">
        <f>HYPERLINK("https://klasma.github.io/Logging_1783/klagomål/A 69709-2021 FSC-klagomål.docx", "A 69709-2021")</f>
        <v/>
      </c>
      <c r="Z26">
        <f>HYPERLINK("https://klasma.github.io/Logging_1783/klagomålsmail/A 69709-2021 FSC-klagomål mail.docx", "A 69709-2021")</f>
        <v/>
      </c>
      <c r="AA26">
        <f>HYPERLINK("https://klasma.github.io/Logging_1783/tillsyn/A 69709-2021 tillsynsbegäran.docx", "A 69709-2021")</f>
        <v/>
      </c>
      <c r="AB26">
        <f>HYPERLINK("https://klasma.github.io/Logging_1783/tillsynsmail/A 69709-2021 tillsynsbegäran mail.docx", "A 69709-2021")</f>
        <v/>
      </c>
      <c r="AC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46216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46216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46216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46216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46216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46216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Mörk husmossa</t>
        </is>
      </c>
      <c r="V32">
        <f>HYPERLINK("https://klasma.github.io/Logging_1783/artfynd/A 24885-2025 artfynd.xlsx", "A 24885-2025")</f>
        <v/>
      </c>
      <c r="W32">
        <f>HYPERLINK("https://klasma.github.io/Logging_1783/kartor/A 24885-2025 karta.png", "A 24885-2025")</f>
        <v/>
      </c>
      <c r="Y32">
        <f>HYPERLINK("https://klasma.github.io/Logging_1783/klagomål/A 24885-2025 FSC-klagomål.docx", "A 24885-2025")</f>
        <v/>
      </c>
      <c r="Z32">
        <f>HYPERLINK("https://klasma.github.io/Logging_1783/klagomålsmail/A 24885-2025 FSC-klagomål mail.docx", "A 24885-2025")</f>
        <v/>
      </c>
      <c r="AA32">
        <f>HYPERLINK("https://klasma.github.io/Logging_1783/tillsyn/A 24885-2025 tillsynsbegäran.docx", "A 24885-2025")</f>
        <v/>
      </c>
      <c r="AB32">
        <f>HYPERLINK("https://klasma.github.io/Logging_1783/tillsynsmail/A 24885-2025 tillsynsbegäran mail.docx", "A 24885-2025")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46216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HYPERLINK("https://klasma.github.io/Logging_1783/artfynd/A 26624-2025 artfynd.xlsx", "A 26624-2025")</f>
        <v/>
      </c>
      <c r="W33">
        <f>HYPERLINK("https://klasma.github.io/Logging_1783/kartor/A 26624-2025 karta.png", "A 26624-2025")</f>
        <v/>
      </c>
      <c r="Y33">
        <f>HYPERLINK("https://klasma.github.io/Logging_1783/klagomål/A 26624-2025 FSC-klagomål.docx", "A 26624-2025")</f>
        <v/>
      </c>
      <c r="Z33">
        <f>HYPERLINK("https://klasma.github.io/Logging_1783/klagomålsmail/A 26624-2025 FSC-klagomål mail.docx", "A 26624-2025")</f>
        <v/>
      </c>
      <c r="AA33">
        <f>HYPERLINK("https://klasma.github.io/Logging_1783/tillsyn/A 26624-2025 tillsynsbegäran.docx", "A 26624-2025")</f>
        <v/>
      </c>
      <c r="AB33">
        <f>HYPERLINK("https://klasma.github.io/Logging_1783/tillsynsmail/A 26624-2025 tillsynsbegäran mail.docx", "A 26624-2025")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46216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Y34">
        <f>HYPERLINK("https://klasma.github.io/Logging_1783/klagomål/A 37152-2023 FSC-klagomål.docx", "A 37152-2023")</f>
        <v/>
      </c>
      <c r="Z34">
        <f>HYPERLINK("https://klasma.github.io/Logging_1783/klagomålsmail/A 37152-2023 FSC-klagomål mail.docx", "A 37152-2023")</f>
        <v/>
      </c>
      <c r="AA34">
        <f>HYPERLINK("https://klasma.github.io/Logging_1783/tillsyn/A 37152-2023 tillsynsbegäran.docx", "A 37152-2023")</f>
        <v/>
      </c>
      <c r="AB34">
        <f>HYPERLINK("https://klasma.github.io/Logging_1783/tillsynsmail/A 37152-2023 tillsynsbegäran mail.docx", "A 37152-2023")</f>
        <v/>
      </c>
      <c r="AC34">
        <f>HYPERLINK("https://klasma.github.io/Logging_1783/fåglar/A 37152-2023 prioriterade fågelarter.docx", "A 37152-2023")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46216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Borsttagging</t>
        </is>
      </c>
      <c r="V35">
        <f>HYPERLINK("https://klasma.github.io/Logging_1783/artfynd/A 15219-2025 artfynd.xlsx", "A 15219-2025")</f>
        <v/>
      </c>
      <c r="W35">
        <f>HYPERLINK("https://klasma.github.io/Logging_1783/kartor/A 15219-2025 karta.png", "A 15219-2025")</f>
        <v/>
      </c>
      <c r="Y35">
        <f>HYPERLINK("https://klasma.github.io/Logging_1783/klagomål/A 15219-2025 FSC-klagomål.docx", "A 15219-2025")</f>
        <v/>
      </c>
      <c r="Z35">
        <f>HYPERLINK("https://klasma.github.io/Logging_1783/klagomålsmail/A 15219-2025 FSC-klagomål mail.docx", "A 15219-2025")</f>
        <v/>
      </c>
      <c r="AA35">
        <f>HYPERLINK("https://klasma.github.io/Logging_1783/tillsyn/A 15219-2025 tillsynsbegäran.docx", "A 15219-2025")</f>
        <v/>
      </c>
      <c r="AB35">
        <f>HYPERLINK("https://klasma.github.io/Logging_1783/tillsynsmail/A 15219-2025 tillsynsbegäran mail.docx", "A 15219-2025")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46216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Utter</t>
        </is>
      </c>
      <c r="V36">
        <f>HYPERLINK("https://klasma.github.io/Logging_1783/artfynd/A 33848-2025 artfynd.xlsx", "A 33848-2025")</f>
        <v/>
      </c>
      <c r="W36">
        <f>HYPERLINK("https://klasma.github.io/Logging_1783/kartor/A 33848-2025 karta.png", "A 33848-2025")</f>
        <v/>
      </c>
      <c r="Y36">
        <f>HYPERLINK("https://klasma.github.io/Logging_1783/klagomål/A 33848-2025 FSC-klagomål.docx", "A 33848-2025")</f>
        <v/>
      </c>
      <c r="Z36">
        <f>HYPERLINK("https://klasma.github.io/Logging_1783/klagomålsmail/A 33848-2025 FSC-klagomål mail.docx", "A 33848-2025")</f>
        <v/>
      </c>
      <c r="AA36">
        <f>HYPERLINK("https://klasma.github.io/Logging_1783/tillsyn/A 33848-2025 tillsynsbegäran.docx", "A 33848-2025")</f>
        <v/>
      </c>
      <c r="AB36">
        <f>HYPERLINK("https://klasma.github.io/Logging_1783/tillsynsmail/A 33848-2025 tillsynsbegäran mail.docx", "A 33848-2025")</f>
        <v/>
      </c>
    </row>
    <row r="37" ht="15" customHeight="1">
      <c r="A37" t="inlineStr">
        <is>
          <t>A 62954-2025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46216</v>
      </c>
      <c r="F37" t="inlineStr">
        <is>
          <t>VÄRMLANDS LÄN</t>
        </is>
      </c>
      <c r="G37" t="inlineStr">
        <is>
          <t>HAGFORS</t>
        </is>
      </c>
      <c r="I37" t="n">
        <v>9.1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Kråka</t>
        </is>
      </c>
      <c r="V37">
        <f>HYPERLINK("https://klasma.github.io/Logging_1783/artfynd/A 62954-2025 artfynd.xlsx", "A 62954-2025")</f>
        <v/>
      </c>
      <c r="W37">
        <f>HYPERLINK("https://klasma.github.io/Logging_1783/kartor/A 62954-2025 karta.png", "A 62954-2025")</f>
        <v/>
      </c>
      <c r="Y37">
        <f>HYPERLINK("https://klasma.github.io/Logging_1783/klagomål/A 62954-2025 FSC-klagomål.docx", "A 62954-2025")</f>
        <v/>
      </c>
      <c r="Z37">
        <f>HYPERLINK("https://klasma.github.io/Logging_1783/klagomålsmail/A 62954-2025 FSC-klagomål mail.docx", "A 62954-2025")</f>
        <v/>
      </c>
      <c r="AA37">
        <f>HYPERLINK("https://klasma.github.io/Logging_1783/tillsyn/A 62954-2025 tillsynsbegäran.docx", "A 62954-2025")</f>
        <v/>
      </c>
      <c r="AB37">
        <f>HYPERLINK("https://klasma.github.io/Logging_1783/tillsynsmail/A 62954-2025 tillsynsbegäran mail.docx", "A 62954-2025")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46216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Garnlav</t>
        </is>
      </c>
      <c r="V38">
        <f>HYPERLINK("https://klasma.github.io/Logging_1783/artfynd/A 51194-2022 artfynd.xlsx", "A 51194-2022")</f>
        <v/>
      </c>
      <c r="W38">
        <f>HYPERLINK("https://klasma.github.io/Logging_1783/kartor/A 51194-2022 karta.png", "A 51194-2022")</f>
        <v/>
      </c>
      <c r="Y38">
        <f>HYPERLINK("https://klasma.github.io/Logging_1783/klagomål/A 51194-2022 FSC-klagomål.docx", "A 51194-2022")</f>
        <v/>
      </c>
      <c r="Z38">
        <f>HYPERLINK("https://klasma.github.io/Logging_1783/klagomålsmail/A 51194-2022 FSC-klagomål mail.docx", "A 51194-2022")</f>
        <v/>
      </c>
      <c r="AA38">
        <f>HYPERLINK("https://klasma.github.io/Logging_1783/tillsyn/A 51194-2022 tillsynsbegäran.docx", "A 51194-2022")</f>
        <v/>
      </c>
      <c r="AB38">
        <f>HYPERLINK("https://klasma.github.io/Logging_1783/tillsynsmail/A 51194-2022 tillsynsbegäran mail.docx", "A 51194-2022")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46216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Utter</t>
        </is>
      </c>
      <c r="V39">
        <f>HYPERLINK("https://klasma.github.io/Logging_1783/artfynd/A 33905-2025 artfynd.xlsx", "A 33905-2025")</f>
        <v/>
      </c>
      <c r="W39">
        <f>HYPERLINK("https://klasma.github.io/Logging_1783/kartor/A 33905-2025 karta.png", "A 33905-2025")</f>
        <v/>
      </c>
      <c r="Y39">
        <f>HYPERLINK("https://klasma.github.io/Logging_1783/klagomål/A 33905-2025 FSC-klagomål.docx", "A 33905-2025")</f>
        <v/>
      </c>
      <c r="Z39">
        <f>HYPERLINK("https://klasma.github.io/Logging_1783/klagomålsmail/A 33905-2025 FSC-klagomål mail.docx", "A 33905-2025")</f>
        <v/>
      </c>
      <c r="AA39">
        <f>HYPERLINK("https://klasma.github.io/Logging_1783/tillsyn/A 33905-2025 tillsynsbegäran.docx", "A 33905-2025")</f>
        <v/>
      </c>
      <c r="AB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46216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HYPERLINK("https://klasma.github.io/Logging_1783/artfynd/A 20119-2025 artfynd.xlsx", "A 20119-2025")</f>
        <v/>
      </c>
      <c r="W40">
        <f>HYPERLINK("https://klasma.github.io/Logging_1783/kartor/A 20119-2025 karta.png", "A 20119-2025")</f>
        <v/>
      </c>
      <c r="Y40">
        <f>HYPERLINK("https://klasma.github.io/Logging_1783/klagomål/A 20119-2025 FSC-klagomål.docx", "A 20119-2025")</f>
        <v/>
      </c>
      <c r="Z40">
        <f>HYPERLINK("https://klasma.github.io/Logging_1783/klagomålsmail/A 20119-2025 FSC-klagomål mail.docx", "A 20119-2025")</f>
        <v/>
      </c>
      <c r="AA40">
        <f>HYPERLINK("https://klasma.github.io/Logging_1783/tillsyn/A 20119-2025 tillsynsbegäran.docx", "A 20119-2025")</f>
        <v/>
      </c>
      <c r="AB40">
        <f>HYPERLINK("https://klasma.github.io/Logging_1783/tillsynsmail/A 20119-2025 tillsynsbegäran mail.docx", "A 20119-2025")</f>
        <v/>
      </c>
      <c r="AC40">
        <f>HYPERLINK("https://klasma.github.io/Logging_1783/fåglar/A 20119-2025 prioriterade fågelarter.docx", "A 20119-2025")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46216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Svart trolldruva</t>
        </is>
      </c>
      <c r="V41">
        <f>HYPERLINK("https://klasma.github.io/Logging_1783/artfynd/A 50030-2025 artfynd.xlsx", "A 50030-2025")</f>
        <v/>
      </c>
      <c r="W41">
        <f>HYPERLINK("https://klasma.github.io/Logging_1783/kartor/A 50030-2025 karta.png", "A 50030-2025")</f>
        <v/>
      </c>
      <c r="Y41">
        <f>HYPERLINK("https://klasma.github.io/Logging_1783/klagomål/A 50030-2025 FSC-klagomål.docx", "A 50030-2025")</f>
        <v/>
      </c>
      <c r="Z41">
        <f>HYPERLINK("https://klasma.github.io/Logging_1783/klagomålsmail/A 50030-2025 FSC-klagomål mail.docx", "A 50030-2025")</f>
        <v/>
      </c>
      <c r="AA41">
        <f>HYPERLINK("https://klasma.github.io/Logging_1783/tillsyn/A 50030-2025 tillsynsbegäran.docx", "A 50030-2025")</f>
        <v/>
      </c>
      <c r="AB41">
        <f>HYPERLINK("https://klasma.github.io/Logging_1783/tillsynsmail/A 50030-2025 tillsynsbegäran mail.docx", "A 50030-2025")</f>
        <v/>
      </c>
    </row>
    <row r="42" ht="15" customHeight="1">
      <c r="A42" t="inlineStr">
        <is>
          <t>A 44095-2023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46216</v>
      </c>
      <c r="F42" t="inlineStr">
        <is>
          <t>VÄRMLANDS LÄN</t>
        </is>
      </c>
      <c r="G42" t="inlineStr">
        <is>
          <t>HAGFORS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HYPERLINK("https://klasma.github.io/Logging_1783/artfynd/A 44095-2023 artfynd.xlsx", "A 44095-2023")</f>
        <v/>
      </c>
      <c r="W42">
        <f>HYPERLINK("https://klasma.github.io/Logging_1783/kartor/A 44095-2023 karta.png", "A 44095-2023")</f>
        <v/>
      </c>
      <c r="Y42">
        <f>HYPERLINK("https://klasma.github.io/Logging_1783/klagomål/A 44095-2023 FSC-klagomål.docx", "A 44095-2023")</f>
        <v/>
      </c>
      <c r="Z42">
        <f>HYPERLINK("https://klasma.github.io/Logging_1783/klagomålsmail/A 44095-2023 FSC-klagomål mail.docx", "A 44095-2023")</f>
        <v/>
      </c>
      <c r="AA42">
        <f>HYPERLINK("https://klasma.github.io/Logging_1783/tillsyn/A 44095-2023 tillsynsbegäran.docx", "A 44095-2023")</f>
        <v/>
      </c>
      <c r="AB42">
        <f>HYPERLINK("https://klasma.github.io/Logging_1783/tillsynsmail/A 44095-2023 tillsynsbegäran mail.docx", "A 44095-2023")</f>
        <v/>
      </c>
    </row>
    <row r="43" ht="15" customHeight="1">
      <c r="A43" t="inlineStr">
        <is>
          <t>A 54700-2025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45966</v>
      </c>
      <c r="E43" s="1" t="n">
        <v>46216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HYPERLINK("https://klasma.github.io/Logging_1783/artfynd/A 54700-2025 artfynd.xlsx", "A 54700-2025")</f>
        <v/>
      </c>
      <c r="W43">
        <f>HYPERLINK("https://klasma.github.io/Logging_1783/kartor/A 54700-2025 karta.png", "A 54700-2025")</f>
        <v/>
      </c>
      <c r="Y43">
        <f>HYPERLINK("https://klasma.github.io/Logging_1783/klagomål/A 54700-2025 FSC-klagomål.docx", "A 54700-2025")</f>
        <v/>
      </c>
      <c r="Z43">
        <f>HYPERLINK("https://klasma.github.io/Logging_1783/klagomålsmail/A 54700-2025 FSC-klagomål mail.docx", "A 54700-2025")</f>
        <v/>
      </c>
      <c r="AA43">
        <f>HYPERLINK("https://klasma.github.io/Logging_1783/tillsyn/A 54700-2025 tillsynsbegäran.docx", "A 54700-2025")</f>
        <v/>
      </c>
      <c r="AB43">
        <f>HYPERLINK("https://klasma.github.io/Logging_1783/tillsynsmail/A 54700-2025 tillsynsbegäran mail.docx", "A 54700-2025")</f>
        <v/>
      </c>
      <c r="AC43">
        <f>HYPERLINK("https://klasma.github.io/Logging_1783/fåglar/A 54700-2025 prioriterade fågelarter.docx", "A 54700-2025")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46216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 sköldmossa</t>
        </is>
      </c>
      <c r="V44">
        <f>HYPERLINK("https://klasma.github.io/Logging_1783/artfynd/A 55484-2025 artfynd.xlsx", "A 55484-2025")</f>
        <v/>
      </c>
      <c r="W44">
        <f>HYPERLINK("https://klasma.github.io/Logging_1783/kartor/A 55484-2025 karta.png", "A 55484-2025")</f>
        <v/>
      </c>
      <c r="Y44">
        <f>HYPERLINK("https://klasma.github.io/Logging_1783/klagomål/A 55484-2025 FSC-klagomål.docx", "A 55484-2025")</f>
        <v/>
      </c>
      <c r="Z44">
        <f>HYPERLINK("https://klasma.github.io/Logging_1783/klagomålsmail/A 55484-2025 FSC-klagomål mail.docx", "A 55484-2025")</f>
        <v/>
      </c>
      <c r="AA44">
        <f>HYPERLINK("https://klasma.github.io/Logging_1783/tillsyn/A 55484-2025 tillsynsbegäran.docx", "A 55484-2025")</f>
        <v/>
      </c>
      <c r="AB44">
        <f>HYPERLINK("https://klasma.github.io/Logging_1783/tillsynsmail/A 55484-2025 tillsynsbegäran mail.docx", "A 55484-2025")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46216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Ullticka</t>
        </is>
      </c>
      <c r="V45">
        <f>HYPERLINK("https://klasma.github.io/Logging_1783/artfynd/A 8254-2026 artfynd.xlsx", "A 8254-2026")</f>
        <v/>
      </c>
      <c r="W45">
        <f>HYPERLINK("https://klasma.github.io/Logging_1783/kartor/A 8254-2026 karta.png", "A 8254-2026")</f>
        <v/>
      </c>
      <c r="Y45">
        <f>HYPERLINK("https://klasma.github.io/Logging_1783/klagomål/A 8254-2026 FSC-klagomål.docx", "A 8254-2026")</f>
        <v/>
      </c>
      <c r="Z45">
        <f>HYPERLINK("https://klasma.github.io/Logging_1783/klagomålsmail/A 8254-2026 FSC-klagomål mail.docx", "A 8254-2026")</f>
        <v/>
      </c>
      <c r="AA45">
        <f>HYPERLINK("https://klasma.github.io/Logging_1783/tillsyn/A 8254-2026 tillsynsbegäran.docx", "A 8254-2026")</f>
        <v/>
      </c>
      <c r="AB45">
        <f>HYPERLINK("https://klasma.github.io/Logging_1783/tillsynsmail/A 8254-2026 tillsynsbegäran mail.docx", "A 8254-2026")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46216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Ullticka</t>
        </is>
      </c>
      <c r="V46">
        <f>HYPERLINK("https://klasma.github.io/Logging_1783/artfynd/A 16319-2023 artfynd.xlsx", "A 16319-2023")</f>
        <v/>
      </c>
      <c r="W46">
        <f>HYPERLINK("https://klasma.github.io/Logging_1783/kartor/A 16319-2023 karta.png", "A 16319-2023")</f>
        <v/>
      </c>
      <c r="Y46">
        <f>HYPERLINK("https://klasma.github.io/Logging_1783/klagomål/A 16319-2023 FSC-klagomål.docx", "A 16319-2023")</f>
        <v/>
      </c>
      <c r="Z46">
        <f>HYPERLINK("https://klasma.github.io/Logging_1783/klagomålsmail/A 16319-2023 FSC-klagomål mail.docx", "A 16319-2023")</f>
        <v/>
      </c>
      <c r="AA46">
        <f>HYPERLINK("https://klasma.github.io/Logging_1783/tillsyn/A 16319-2023 tillsynsbegäran.docx", "A 16319-2023")</f>
        <v/>
      </c>
      <c r="AB46">
        <f>HYPERLINK("https://klasma.github.io/Logging_1783/tillsynsmail/A 16319-2023 tillsynsbegäran mail.docx", "A 16319-2023")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46216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HYPERLINK("https://klasma.github.io/Logging_1783/artfynd/A 12445-2026 artfynd.xlsx", "A 12445-2026")</f>
        <v/>
      </c>
      <c r="W47">
        <f>HYPERLINK("https://klasma.github.io/Logging_1783/kartor/A 12445-2026 karta.png", "A 12445-2026")</f>
        <v/>
      </c>
      <c r="Y47">
        <f>HYPERLINK("https://klasma.github.io/Logging_1783/klagomål/A 12445-2026 FSC-klagomål.docx", "A 12445-2026")</f>
        <v/>
      </c>
      <c r="Z47">
        <f>HYPERLINK("https://klasma.github.io/Logging_1783/klagomålsmail/A 12445-2026 FSC-klagomål mail.docx", "A 12445-2026")</f>
        <v/>
      </c>
      <c r="AA47">
        <f>HYPERLINK("https://klasma.github.io/Logging_1783/tillsyn/A 12445-2026 tillsynsbegäran.docx", "A 12445-2026")</f>
        <v/>
      </c>
      <c r="AB47">
        <f>HYPERLINK("https://klasma.github.io/Logging_1783/tillsynsmail/A 12445-2026 tillsynsbegäran mail.docx", "A 12445-2026")</f>
        <v/>
      </c>
      <c r="AC47">
        <f>HYPERLINK("https://klasma.github.io/Logging_1783/fåglar/A 12445-2026 prioriterade fågelarter.docx", "A 12445-2026")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46216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HYPERLINK("https://klasma.github.io/Logging_1783/artfynd/A 19362-2026 artfynd.xlsx", "A 19362-2026")</f>
        <v/>
      </c>
      <c r="W48">
        <f>HYPERLINK("https://klasma.github.io/Logging_1783/kartor/A 19362-2026 karta.png", "A 19362-2026")</f>
        <v/>
      </c>
      <c r="Y48">
        <f>HYPERLINK("https://klasma.github.io/Logging_1783/klagomål/A 19362-2026 FSC-klagomål.docx", "A 19362-2026")</f>
        <v/>
      </c>
      <c r="Z48">
        <f>HYPERLINK("https://klasma.github.io/Logging_1783/klagomålsmail/A 19362-2026 FSC-klagomål mail.docx", "A 19362-2026")</f>
        <v/>
      </c>
      <c r="AA48">
        <f>HYPERLINK("https://klasma.github.io/Logging_1783/tillsyn/A 19362-2026 tillsynsbegäran.docx", "A 19362-2026")</f>
        <v/>
      </c>
      <c r="AB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46216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Kolflarnlav</t>
        </is>
      </c>
      <c r="V49">
        <f>HYPERLINK("https://klasma.github.io/Logging_1783/artfynd/A 30524-2022 artfynd.xlsx", "A 30524-2022")</f>
        <v/>
      </c>
      <c r="W49">
        <f>HYPERLINK("https://klasma.github.io/Logging_1783/kartor/A 30524-2022 karta.png", "A 30524-2022")</f>
        <v/>
      </c>
      <c r="Y49">
        <f>HYPERLINK("https://klasma.github.io/Logging_1783/klagomål/A 30524-2022 FSC-klagomål.docx", "A 30524-2022")</f>
        <v/>
      </c>
      <c r="Z49">
        <f>HYPERLINK("https://klasma.github.io/Logging_1783/klagomålsmail/A 30524-2022 FSC-klagomål mail.docx", "A 30524-2022")</f>
        <v/>
      </c>
      <c r="AA49">
        <f>HYPERLINK("https://klasma.github.io/Logging_1783/tillsyn/A 30524-2022 tillsynsbegäran.docx", "A 30524-2022")</f>
        <v/>
      </c>
      <c r="AB49">
        <f>HYPERLINK("https://klasma.github.io/Logging_1783/tillsynsmail/A 30524-2022 tillsynsbegäran mail.docx", "A 30524-2022")</f>
        <v/>
      </c>
    </row>
    <row r="50" ht="15" customHeight="1">
      <c r="A50" t="inlineStr">
        <is>
          <t>A 26189-2026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46216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Sävsparv</t>
        </is>
      </c>
      <c r="V50">
        <f>HYPERLINK("https://klasma.github.io/Logging_1783/artfynd/A 26189-2026 artfynd.xlsx", "A 26189-2026")</f>
        <v/>
      </c>
      <c r="W50">
        <f>HYPERLINK("https://klasma.github.io/Logging_1783/kartor/A 26189-2026 karta.png", "A 26189-2026")</f>
        <v/>
      </c>
      <c r="Y50">
        <f>HYPERLINK("https://klasma.github.io/Logging_1783/klagomål/A 26189-2026 FSC-klagomål.docx", "A 26189-2026")</f>
        <v/>
      </c>
      <c r="Z50">
        <f>HYPERLINK("https://klasma.github.io/Logging_1783/klagomålsmail/A 26189-2026 FSC-klagomål mail.docx", "A 26189-2026")</f>
        <v/>
      </c>
      <c r="AA50">
        <f>HYPERLINK("https://klasma.github.io/Logging_1783/tillsyn/A 26189-2026 tillsynsbegäran.docx", "A 26189-2026")</f>
        <v/>
      </c>
      <c r="AB50">
        <f>HYPERLINK("https://klasma.github.io/Logging_1783/tillsynsmail/A 26189-2026 tillsynsbegäran mail.docx", "A 26189-2026")</f>
        <v/>
      </c>
      <c r="AC50">
        <f>HYPERLINK("https://klasma.github.io/Logging_1783/fåglar/A 26189-2026 prioriterade fågelarter.docx", "A 26189-2026")</f>
        <v/>
      </c>
    </row>
    <row r="51" ht="15" customHeight="1">
      <c r="A51" t="inlineStr">
        <is>
          <t>A 34158-2025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45845</v>
      </c>
      <c r="E51" s="1" t="n">
        <v>46216</v>
      </c>
      <c r="F51" t="inlineStr">
        <is>
          <t>VÄRMLANDS LÄN</t>
        </is>
      </c>
      <c r="G51" t="inlineStr">
        <is>
          <t>HAGFORS</t>
        </is>
      </c>
      <c r="I51" t="n">
        <v>5.8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Korallblylav</t>
        </is>
      </c>
      <c r="V51">
        <f>HYPERLINK("https://klasma.github.io/Logging_1783/artfynd/A 34158-2025 artfynd.xlsx", "A 34158-2025")</f>
        <v/>
      </c>
      <c r="W51">
        <f>HYPERLINK("https://klasma.github.io/Logging_1783/kartor/A 34158-2025 karta.png", "A 34158-2025")</f>
        <v/>
      </c>
      <c r="Y51">
        <f>HYPERLINK("https://klasma.github.io/Logging_1783/klagomål/A 34158-2025 FSC-klagomål.docx", "A 34158-2025")</f>
        <v/>
      </c>
      <c r="Z51">
        <f>HYPERLINK("https://klasma.github.io/Logging_1783/klagomålsmail/A 34158-2025 FSC-klagomål mail.docx", "A 34158-2025")</f>
        <v/>
      </c>
      <c r="AA51">
        <f>HYPERLINK("https://klasma.github.io/Logging_1783/tillsyn/A 34158-2025 tillsynsbegäran.docx", "A 34158-2025")</f>
        <v/>
      </c>
      <c r="AB51">
        <f>HYPERLINK("https://klasma.github.io/Logging_1783/tillsynsmail/A 34158-2025 tillsynsbegäran mail.docx", "A 34158-2025")</f>
        <v/>
      </c>
    </row>
    <row r="52" ht="15" customHeight="1">
      <c r="A52" t="inlineStr">
        <is>
          <t>A 38267-2024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46216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Tallticka</t>
        </is>
      </c>
      <c r="V52">
        <f>HYPERLINK("https://klasma.github.io/Logging_1783/artfynd/A 38267-2024 artfynd.xlsx", "A 38267-2024")</f>
        <v/>
      </c>
      <c r="W52">
        <f>HYPERLINK("https://klasma.github.io/Logging_1783/kartor/A 38267-2024 karta.png", "A 38267-2024")</f>
        <v/>
      </c>
      <c r="Y52">
        <f>HYPERLINK("https://klasma.github.io/Logging_1783/klagomål/A 38267-2024 FSC-klagomål.docx", "A 38267-2024")</f>
        <v/>
      </c>
      <c r="Z52">
        <f>HYPERLINK("https://klasma.github.io/Logging_1783/klagomålsmail/A 38267-2024 FSC-klagomål mail.docx", "A 38267-2024")</f>
        <v/>
      </c>
      <c r="AA52">
        <f>HYPERLINK("https://klasma.github.io/Logging_1783/tillsyn/A 38267-2024 tillsynsbegäran.docx", "A 38267-2024")</f>
        <v/>
      </c>
      <c r="AB52">
        <f>HYPERLINK("https://klasma.github.io/Logging_1783/tillsynsmail/A 38267-2024 tillsynsbegäran mail.docx", "A 38267-2024")</f>
        <v/>
      </c>
    </row>
    <row r="53" ht="15" customHeight="1">
      <c r="A53" t="inlineStr">
        <is>
          <t>A 56083-2022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46216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19.1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Dropptaggsvamp</t>
        </is>
      </c>
      <c r="V53">
        <f>HYPERLINK("https://klasma.github.io/Logging_1783/artfynd/A 56083-2022 artfynd.xlsx", "A 56083-2022")</f>
        <v/>
      </c>
      <c r="W53">
        <f>HYPERLINK("https://klasma.github.io/Logging_1783/kartor/A 56083-2022 karta.png", "A 56083-2022")</f>
        <v/>
      </c>
      <c r="Y53">
        <f>HYPERLINK("https://klasma.github.io/Logging_1783/klagomål/A 56083-2022 FSC-klagomål.docx", "A 56083-2022")</f>
        <v/>
      </c>
      <c r="Z53">
        <f>HYPERLINK("https://klasma.github.io/Logging_1783/klagomålsmail/A 56083-2022 FSC-klagomål mail.docx", "A 56083-2022")</f>
        <v/>
      </c>
      <c r="AA53">
        <f>HYPERLINK("https://klasma.github.io/Logging_1783/tillsyn/A 56083-2022 tillsynsbegäran.docx", "A 56083-2022")</f>
        <v/>
      </c>
      <c r="AB53">
        <f>HYPERLINK("https://klasma.github.io/Logging_1783/tillsynsmail/A 56083-2022 tillsynsbegäran mail.docx", "A 56083-2022")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46216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Strutbräken</t>
        </is>
      </c>
      <c r="V54">
        <f>HYPERLINK("https://klasma.github.io/Logging_1783/artfynd/A 42446-2024 artfynd.xlsx", "A 42446-2024")</f>
        <v/>
      </c>
      <c r="W54">
        <f>HYPERLINK("https://klasma.github.io/Logging_1783/kartor/A 42446-2024 karta.png", "A 42446-2024")</f>
        <v/>
      </c>
      <c r="Y54">
        <f>HYPERLINK("https://klasma.github.io/Logging_1783/klagomål/A 42446-2024 FSC-klagomål.docx", "A 42446-2024")</f>
        <v/>
      </c>
      <c r="Z54">
        <f>HYPERLINK("https://klasma.github.io/Logging_1783/klagomålsmail/A 42446-2024 FSC-klagomål mail.docx", "A 42446-2024")</f>
        <v/>
      </c>
      <c r="AA54">
        <f>HYPERLINK("https://klasma.github.io/Logging_1783/tillsyn/A 42446-2024 tillsynsbegäran.docx", "A 42446-2024")</f>
        <v/>
      </c>
      <c r="AB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46216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Vedtrappmossa</t>
        </is>
      </c>
      <c r="V55">
        <f>HYPERLINK("https://klasma.github.io/Logging_1783/artfynd/A 29432-2026 artfynd.xlsx", "A 29432-2026")</f>
        <v/>
      </c>
      <c r="W55">
        <f>HYPERLINK("https://klasma.github.io/Logging_1783/kartor/A 29432-2026 karta.png", "A 29432-2026")</f>
        <v/>
      </c>
      <c r="Y55">
        <f>HYPERLINK("https://klasma.github.io/Logging_1783/klagomål/A 29432-2026 FSC-klagomål.docx", "A 29432-2026")</f>
        <v/>
      </c>
      <c r="Z55">
        <f>HYPERLINK("https://klasma.github.io/Logging_1783/klagomålsmail/A 29432-2026 FSC-klagomål mail.docx", "A 29432-2026")</f>
        <v/>
      </c>
      <c r="AA55">
        <f>HYPERLINK("https://klasma.github.io/Logging_1783/tillsyn/A 29432-2026 tillsynsbegäran.docx", "A 29432-2026")</f>
        <v/>
      </c>
      <c r="AB55">
        <f>HYPERLINK("https://klasma.github.io/Logging_1783/tillsynsmail/A 29432-2026 tillsynsbegäran mail.docx", "A 29432-2026")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46216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Vedticka</t>
        </is>
      </c>
      <c r="V56">
        <f>HYPERLINK("https://klasma.github.io/Logging_1783/artfynd/A 6986-2022 artfynd.xlsx", "A 6986-2022")</f>
        <v/>
      </c>
      <c r="W56">
        <f>HYPERLINK("https://klasma.github.io/Logging_1783/kartor/A 6986-2022 karta.png", "A 6986-2022")</f>
        <v/>
      </c>
      <c r="Y56">
        <f>HYPERLINK("https://klasma.github.io/Logging_1783/klagomål/A 6986-2022 FSC-klagomål.docx", "A 6986-2022")</f>
        <v/>
      </c>
      <c r="Z56">
        <f>HYPERLINK("https://klasma.github.io/Logging_1783/klagomålsmail/A 6986-2022 FSC-klagomål mail.docx", "A 6986-2022")</f>
        <v/>
      </c>
      <c r="AA56">
        <f>HYPERLINK("https://klasma.github.io/Logging_1783/tillsyn/A 6986-2022 tillsynsbegäran.docx", "A 6986-2022")</f>
        <v/>
      </c>
      <c r="AB56">
        <f>HYPERLINK("https://klasma.github.io/Logging_1783/tillsynsmail/A 6986-2022 tillsynsbegäran mail.docx", "A 6986-2022")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46216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24659-2026 artfynd.xlsx", "A 24659-2026")</f>
        <v/>
      </c>
      <c r="W57">
        <f>HYPERLINK("https://klasma.github.io/Logging_1783/kartor/A 24659-2026 karta.png", "A 24659-2026")</f>
        <v/>
      </c>
      <c r="Y57">
        <f>HYPERLINK("https://klasma.github.io/Logging_1783/klagomål/A 24659-2026 FSC-klagomål.docx", "A 24659-2026")</f>
        <v/>
      </c>
      <c r="Z57">
        <f>HYPERLINK("https://klasma.github.io/Logging_1783/klagomålsmail/A 24659-2026 FSC-klagomål mail.docx", "A 24659-2026")</f>
        <v/>
      </c>
      <c r="AA57">
        <f>HYPERLINK("https://klasma.github.io/Logging_1783/tillsyn/A 24659-2026 tillsynsbegäran.docx", "A 24659-2026")</f>
        <v/>
      </c>
      <c r="AB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46216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s="2" t="inlineStr">
        <is>
          <t>Garnlav</t>
        </is>
      </c>
      <c r="V58">
        <f>HYPERLINK("https://klasma.github.io/Logging_1783/artfynd/A 24716-2026 artfynd.xlsx", "A 24716-2026")</f>
        <v/>
      </c>
      <c r="W58">
        <f>HYPERLINK("https://klasma.github.io/Logging_1783/kartor/A 24716-2026 karta.png", "A 24716-2026")</f>
        <v/>
      </c>
      <c r="Y58">
        <f>HYPERLINK("https://klasma.github.io/Logging_1783/klagomål/A 24716-2026 FSC-klagomål.docx", "A 24716-2026")</f>
        <v/>
      </c>
      <c r="Z58">
        <f>HYPERLINK("https://klasma.github.io/Logging_1783/klagomålsmail/A 24716-2026 FSC-klagomål mail.docx", "A 24716-2026")</f>
        <v/>
      </c>
      <c r="AA58">
        <f>HYPERLINK("https://klasma.github.io/Logging_1783/tillsyn/A 24716-2026 tillsynsbegäran.docx", "A 24716-2026")</f>
        <v/>
      </c>
      <c r="AB58">
        <f>HYPERLINK("https://klasma.github.io/Logging_1783/tillsynsmail/A 24716-2026 tillsynsbegäran mail.docx", "A 24716-2026")</f>
        <v/>
      </c>
    </row>
    <row r="59" ht="15" customHeight="1">
      <c r="A59" t="inlineStr">
        <is>
          <t>A 22484-2025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46216</v>
      </c>
      <c r="F59" t="inlineStr">
        <is>
          <t>VÄRMLANDS LÄN</t>
        </is>
      </c>
      <c r="G59" t="inlineStr">
        <is>
          <t>HAGFORS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Rödlånke</t>
        </is>
      </c>
      <c r="V59">
        <f>HYPERLINK("https://klasma.github.io/Logging_1783/artfynd/A 22484-2025 artfynd.xlsx", "A 22484-2025")</f>
        <v/>
      </c>
      <c r="W59">
        <f>HYPERLINK("https://klasma.github.io/Logging_1783/kartor/A 22484-2025 karta.png", "A 22484-2025")</f>
        <v/>
      </c>
      <c r="Y59">
        <f>HYPERLINK("https://klasma.github.io/Logging_1783/klagomål/A 22484-2025 FSC-klagomål.docx", "A 22484-2025")</f>
        <v/>
      </c>
      <c r="Z59">
        <f>HYPERLINK("https://klasma.github.io/Logging_1783/klagomålsmail/A 22484-2025 FSC-klagomål mail.docx", "A 22484-2025")</f>
        <v/>
      </c>
      <c r="AA59">
        <f>HYPERLINK("https://klasma.github.io/Logging_1783/tillsyn/A 22484-2025 tillsynsbegäran.docx", "A 22484-2025")</f>
        <v/>
      </c>
      <c r="AB59">
        <f>HYPERLINK("https://klasma.github.io/Logging_1783/tillsynsmail/A 22484-2025 tillsynsbegäran mail.docx", "A 22484-2025")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46216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46216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46216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46216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46216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46216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46216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46216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46216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46216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46216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46216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46216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46216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46216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46216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46216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46216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46216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46216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46216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46216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46216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46216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46216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46216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46216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46216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46216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46216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46216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46216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46216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46216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46216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46216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46216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46216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46216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46216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35622-2022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46216</v>
      </c>
      <c r="F102" t="inlineStr">
        <is>
          <t>VÄRMLANDS LÄN</t>
        </is>
      </c>
      <c r="G102" t="inlineStr">
        <is>
          <t>HAGFORS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46216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46216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46216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46216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46216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46216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46216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46216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46216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46216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46216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46216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46216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46216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46216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65565-2021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46216</v>
      </c>
      <c r="F118" t="inlineStr">
        <is>
          <t>VÄRMLANDS LÄN</t>
        </is>
      </c>
      <c r="G118" t="inlineStr">
        <is>
          <t>HAGFORS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46216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46216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46216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14850-2025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46216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46216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46216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46216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30158-2024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45489</v>
      </c>
      <c r="E126" s="1" t="n">
        <v>46216</v>
      </c>
      <c r="F126" t="inlineStr">
        <is>
          <t>VÄRMLANDS LÄN</t>
        </is>
      </c>
      <c r="G126" t="inlineStr">
        <is>
          <t>HAGFORS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46216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44246-2022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46216</v>
      </c>
      <c r="F128" t="inlineStr">
        <is>
          <t>VÄRMLANDS LÄN</t>
        </is>
      </c>
      <c r="G128" t="inlineStr">
        <is>
          <t>HAGFORS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46216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61232-2024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45645</v>
      </c>
      <c r="E130" s="1" t="n">
        <v>46216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36360-2023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45152</v>
      </c>
      <c r="E131" s="1" t="n">
        <v>46216</v>
      </c>
      <c r="F131" t="inlineStr">
        <is>
          <t>VÄRMLANDS LÄN</t>
        </is>
      </c>
      <c r="G131" t="inlineStr">
        <is>
          <t>HAGFORS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51346-2022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46216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45335</v>
      </c>
      <c r="E133" s="1" t="n">
        <v>46216</v>
      </c>
      <c r="F133" t="inlineStr">
        <is>
          <t>VÄRMLANDS LÄN</t>
        </is>
      </c>
      <c r="G133" t="inlineStr">
        <is>
          <t>HAGFORS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22031-2023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46216</v>
      </c>
      <c r="F134" t="inlineStr">
        <is>
          <t>VÄRMLANDS LÄN</t>
        </is>
      </c>
      <c r="G134" t="inlineStr">
        <is>
          <t>HAGFORS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55137-2024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46216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45218-2021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44439</v>
      </c>
      <c r="E136" s="1" t="n">
        <v>46216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49.5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8820-2024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46216</v>
      </c>
      <c r="F137" t="inlineStr">
        <is>
          <t>VÄRMLANDS LÄN</t>
        </is>
      </c>
      <c r="G137" t="inlineStr">
        <is>
          <t>HAGFORS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52083-2024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46216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44125-2021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44434</v>
      </c>
      <c r="E139" s="1" t="n">
        <v>46216</v>
      </c>
      <c r="F139" t="inlineStr">
        <is>
          <t>VÄRMLANDS LÄN</t>
        </is>
      </c>
      <c r="G139" t="inlineStr">
        <is>
          <t>HAGFORS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46216</v>
      </c>
      <c r="F140" t="inlineStr">
        <is>
          <t>VÄRMLANDS LÄN</t>
        </is>
      </c>
      <c r="G140" t="inlineStr">
        <is>
          <t>HAGFORS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46216</v>
      </c>
      <c r="F141" t="inlineStr">
        <is>
          <t>VÄRMLANDS LÄN</t>
        </is>
      </c>
      <c r="G141" t="inlineStr">
        <is>
          <t>HAGFORS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58210-2022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44901</v>
      </c>
      <c r="E142" s="1" t="n">
        <v>46216</v>
      </c>
      <c r="F142" t="inlineStr">
        <is>
          <t>VÄRMLANDS LÄN</t>
        </is>
      </c>
      <c r="G142" t="inlineStr">
        <is>
          <t>HAGFORS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46216</v>
      </c>
      <c r="F143" t="inlineStr">
        <is>
          <t>VÄRMLANDS LÄN</t>
        </is>
      </c>
      <c r="G143" t="inlineStr">
        <is>
          <t>HAGFORS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18014-2024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46216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17297-2024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46216</v>
      </c>
      <c r="F145" t="inlineStr">
        <is>
          <t>VÄRMLANDS LÄN</t>
        </is>
      </c>
      <c r="G145" t="inlineStr">
        <is>
          <t>HAGFORS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6910-2024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46216</v>
      </c>
      <c r="F146" t="inlineStr">
        <is>
          <t>VÄRMLANDS LÄN</t>
        </is>
      </c>
      <c r="G146" t="inlineStr">
        <is>
          <t>HAGFORS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61981-2024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45653</v>
      </c>
      <c r="E147" s="1" t="n">
        <v>46216</v>
      </c>
      <c r="F147" t="inlineStr">
        <is>
          <t>VÄRMLANDS LÄN</t>
        </is>
      </c>
      <c r="G147" t="inlineStr">
        <is>
          <t>HAGFORS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35668-2023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46216</v>
      </c>
      <c r="F148" t="inlineStr">
        <is>
          <t>VÄRMLANDS LÄN</t>
        </is>
      </c>
      <c r="G148" t="inlineStr">
        <is>
          <t>HAGFORS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60221-2023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45258</v>
      </c>
      <c r="E149" s="1" t="n">
        <v>46216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9474-2025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46216</v>
      </c>
      <c r="F150" t="inlineStr">
        <is>
          <t>VÄRMLANDS LÄN</t>
        </is>
      </c>
      <c r="G150" t="inlineStr">
        <is>
          <t>HAGFORS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44834</v>
      </c>
      <c r="E151" s="1" t="n">
        <v>46216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46216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38612-2023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46216</v>
      </c>
      <c r="F153" t="inlineStr">
        <is>
          <t>VÄRMLANDS LÄN</t>
        </is>
      </c>
      <c r="G153" t="inlineStr">
        <is>
          <t>HAGFORS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46216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45659</v>
      </c>
      <c r="E155" s="1" t="n">
        <v>46216</v>
      </c>
      <c r="F155" t="inlineStr">
        <is>
          <t>VÄRMLANDS LÄN</t>
        </is>
      </c>
      <c r="G155" t="inlineStr">
        <is>
          <t>HAGFORS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60582-2024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46216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55447-2022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46216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44649</v>
      </c>
      <c r="E158" s="1" t="n">
        <v>46216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46216</v>
      </c>
      <c r="F159" t="inlineStr">
        <is>
          <t>VÄRMLANDS LÄN</t>
        </is>
      </c>
      <c r="G159" t="inlineStr">
        <is>
          <t>HAGFORS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58307-2023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46216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70712-2021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46216</v>
      </c>
      <c r="F161" t="inlineStr">
        <is>
          <t>VÄRMLANDS LÄN</t>
        </is>
      </c>
      <c r="G161" t="inlineStr">
        <is>
          <t>HAGFORS</t>
        </is>
      </c>
      <c r="H161" t="inlineStr">
        <is>
          <t>Kommuner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31166-2022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44770</v>
      </c>
      <c r="E162" s="1" t="n">
        <v>46216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44664</v>
      </c>
      <c r="E163" s="1" t="n">
        <v>46216</v>
      </c>
      <c r="F163" t="inlineStr">
        <is>
          <t>VÄRMLANDS LÄN</t>
        </is>
      </c>
      <c r="G163" t="inlineStr">
        <is>
          <t>HAGFORS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17750-2023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45037</v>
      </c>
      <c r="E164" s="1" t="n">
        <v>46216</v>
      </c>
      <c r="F164" t="inlineStr">
        <is>
          <t>VÄRMLANDS LÄN</t>
        </is>
      </c>
      <c r="G164" t="inlineStr">
        <is>
          <t>HAGFORS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24895-2025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46216</v>
      </c>
      <c r="F165" t="inlineStr">
        <is>
          <t>VÄRMLANDS LÄN</t>
        </is>
      </c>
      <c r="G165" t="inlineStr">
        <is>
          <t>HAGFORS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24793-2025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46216</v>
      </c>
      <c r="F166" t="inlineStr">
        <is>
          <t>VÄRMLANDS LÄN</t>
        </is>
      </c>
      <c r="G166" t="inlineStr">
        <is>
          <t>HAGFORS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46216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46216</v>
      </c>
      <c r="F168" t="inlineStr">
        <is>
          <t>VÄRMLANDS LÄN</t>
        </is>
      </c>
      <c r="G168" t="inlineStr">
        <is>
          <t>HAGFORS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48807-2025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46216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46216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45842</v>
      </c>
      <c r="E171" s="1" t="n">
        <v>46216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38555-2023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46216</v>
      </c>
      <c r="F172" t="inlineStr">
        <is>
          <t>VÄRMLANDS LÄN</t>
        </is>
      </c>
      <c r="G172" t="inlineStr">
        <is>
          <t>HAGFORS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46216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20113-2023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45055</v>
      </c>
      <c r="E174" s="1" t="n">
        <v>46216</v>
      </c>
      <c r="F174" t="inlineStr">
        <is>
          <t>VÄRMLANDS LÄN</t>
        </is>
      </c>
      <c r="G174" t="inlineStr">
        <is>
          <t>HAGFORS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61140-2023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45261</v>
      </c>
      <c r="E175" s="1" t="n">
        <v>46216</v>
      </c>
      <c r="F175" t="inlineStr">
        <is>
          <t>VÄRMLANDS LÄN</t>
        </is>
      </c>
      <c r="G175" t="inlineStr">
        <is>
          <t>HAGFORS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975-2026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46030</v>
      </c>
      <c r="E176" s="1" t="n">
        <v>46216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46208-2023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46216</v>
      </c>
      <c r="F177" t="inlineStr">
        <is>
          <t>VÄRMLANDS LÄN</t>
        </is>
      </c>
      <c r="G177" t="inlineStr">
        <is>
          <t>HAGFORS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26463-2025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45807</v>
      </c>
      <c r="E178" s="1" t="n">
        <v>46216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24947-2024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45461</v>
      </c>
      <c r="E179" s="1" t="n">
        <v>46216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16755-2025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46216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38474-2024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46216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13094-2024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46216</v>
      </c>
      <c r="F182" t="inlineStr">
        <is>
          <t>VÄRMLANDS LÄN</t>
        </is>
      </c>
      <c r="G182" t="inlineStr">
        <is>
          <t>HAGFORS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27071-2025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46216</v>
      </c>
      <c r="F183" t="inlineStr">
        <is>
          <t>VÄRMLANDS LÄN</t>
        </is>
      </c>
      <c r="G183" t="inlineStr">
        <is>
          <t>HAGFORS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52383-2024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46216</v>
      </c>
      <c r="F184" t="inlineStr">
        <is>
          <t>VÄRMLANDS LÄN</t>
        </is>
      </c>
      <c r="G184" t="inlineStr">
        <is>
          <t>HAGFORS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38887-2024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46216</v>
      </c>
      <c r="F185" t="inlineStr">
        <is>
          <t>VÄRMLANDS LÄN</t>
        </is>
      </c>
      <c r="G185" t="inlineStr">
        <is>
          <t>HAGFORS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62497-2022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46216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46216</v>
      </c>
      <c r="F187" t="inlineStr">
        <is>
          <t>VÄRMLANDS LÄN</t>
        </is>
      </c>
      <c r="G187" t="inlineStr">
        <is>
          <t>HAGFORS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21867-2024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46216</v>
      </c>
      <c r="F188" t="inlineStr">
        <is>
          <t>VÄRMLANDS LÄN</t>
        </is>
      </c>
      <c r="G188" t="inlineStr">
        <is>
          <t>HAGFORS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26617-2025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45810</v>
      </c>
      <c r="E189" s="1" t="n">
        <v>46216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26980-2025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46216</v>
      </c>
      <c r="F190" t="inlineStr">
        <is>
          <t>VÄRMLANDS LÄN</t>
        </is>
      </c>
      <c r="G190" t="inlineStr">
        <is>
          <t>HAGFORS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26982-2025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46216</v>
      </c>
      <c r="F191" t="inlineStr">
        <is>
          <t>VÄRMLANDS LÄN</t>
        </is>
      </c>
      <c r="G191" t="inlineStr">
        <is>
          <t>HAGFORS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24857-2025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46216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27739-2024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46216</v>
      </c>
      <c r="F193" t="inlineStr">
        <is>
          <t>VÄRMLANDS LÄN</t>
        </is>
      </c>
      <c r="G193" t="inlineStr">
        <is>
          <t>HAGFORS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39249-2025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46216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46216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16.8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27263-2025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46216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27229-2025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46216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27319-2025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46216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46216</v>
      </c>
      <c r="F199" t="inlineStr">
        <is>
          <t>VÄRMLANDS LÄN</t>
        </is>
      </c>
      <c r="G199" t="inlineStr">
        <is>
          <t>HAGFORS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27181-2025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46216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46216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46216</v>
      </c>
      <c r="F202" t="inlineStr">
        <is>
          <t>VÄRMLANDS LÄN</t>
        </is>
      </c>
      <c r="G202" t="inlineStr">
        <is>
          <t>HAGFORS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46216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50922-2023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46216</v>
      </c>
      <c r="F204" t="inlineStr">
        <is>
          <t>VÄRMLANDS LÄN</t>
        </is>
      </c>
      <c r="G204" t="inlineStr">
        <is>
          <t>HAGFORS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13990-2025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46216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46216</v>
      </c>
      <c r="F206" t="inlineStr">
        <is>
          <t>VÄRMLANDS LÄN</t>
        </is>
      </c>
      <c r="G206" t="inlineStr">
        <is>
          <t>HAGFORS</t>
        </is>
      </c>
      <c r="H206" t="inlineStr">
        <is>
          <t>Kyrkan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42169-2024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46216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42173-2024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46216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42178-2024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46216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28309-2025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46216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44566</v>
      </c>
      <c r="E211" s="1" t="n">
        <v>46216</v>
      </c>
      <c r="F211" t="inlineStr">
        <is>
          <t>VÄRMLANDS LÄN</t>
        </is>
      </c>
      <c r="G211" t="inlineStr">
        <is>
          <t>HAGFORS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45729</v>
      </c>
      <c r="E212" s="1" t="n">
        <v>46216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57379-2022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44896</v>
      </c>
      <c r="E213" s="1" t="n">
        <v>46216</v>
      </c>
      <c r="F213" t="inlineStr">
        <is>
          <t>VÄRMLANDS LÄN</t>
        </is>
      </c>
      <c r="G213" t="inlineStr">
        <is>
          <t>HAGFORS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26348-2024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46216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29149-2025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46216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41155-2025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46216</v>
      </c>
      <c r="F216" t="inlineStr">
        <is>
          <t>VÄRMLANDS LÄN</t>
        </is>
      </c>
      <c r="G216" t="inlineStr">
        <is>
          <t>HAGFORS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46216</v>
      </c>
      <c r="F217" t="inlineStr">
        <is>
          <t>VÄRMLANDS LÄN</t>
        </is>
      </c>
      <c r="G217" t="inlineStr">
        <is>
          <t>HAGFORS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46216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41153-2025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46216</v>
      </c>
      <c r="F219" t="inlineStr">
        <is>
          <t>VÄRMLANDS LÄN</t>
        </is>
      </c>
      <c r="G219" t="inlineStr">
        <is>
          <t>HAGFORS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41154-2025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46216</v>
      </c>
      <c r="F220" t="inlineStr">
        <is>
          <t>VÄRMLANDS LÄN</t>
        </is>
      </c>
      <c r="G220" t="inlineStr">
        <is>
          <t>HAGFORS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58437-2023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46216</v>
      </c>
      <c r="F221" t="inlineStr">
        <is>
          <t>VÄRMLANDS LÄN</t>
        </is>
      </c>
      <c r="G221" t="inlineStr">
        <is>
          <t>HAGFORS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41015-2025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46216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41739-2025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45902</v>
      </c>
      <c r="E223" s="1" t="n">
        <v>46216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52224-2023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45224</v>
      </c>
      <c r="E224" s="1" t="n">
        <v>46216</v>
      </c>
      <c r="F224" t="inlineStr">
        <is>
          <t>VÄRMLANDS LÄN</t>
        </is>
      </c>
      <c r="G224" t="inlineStr">
        <is>
          <t>HAGFORS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41784-2025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46216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41809-2025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46216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46216</v>
      </c>
      <c r="F227" t="inlineStr">
        <is>
          <t>VÄRMLANDS LÄN</t>
        </is>
      </c>
      <c r="G227" t="inlineStr">
        <is>
          <t>HAGFORS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35664-2023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45147</v>
      </c>
      <c r="E228" s="1" t="n">
        <v>46216</v>
      </c>
      <c r="F228" t="inlineStr">
        <is>
          <t>VÄRMLANDS LÄN</t>
        </is>
      </c>
      <c r="G228" t="inlineStr">
        <is>
          <t>HAGFORS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46216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42385-2025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46216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42406-2025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46216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42430-2025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46216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29949-2025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46216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15.9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29958-2025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46216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46216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19.2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39211-2022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46216</v>
      </c>
      <c r="F236" t="inlineStr">
        <is>
          <t>VÄRMLANDS LÄN</t>
        </is>
      </c>
      <c r="G236" t="inlineStr">
        <is>
          <t>HAGFORS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46216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43084-2025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46216</v>
      </c>
      <c r="F238" t="inlineStr">
        <is>
          <t>VÄRMLANDS LÄN</t>
        </is>
      </c>
      <c r="G238" t="inlineStr">
        <is>
          <t>HAGFORS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29447-2025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46216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21309-2023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46216</v>
      </c>
      <c r="F240" t="inlineStr">
        <is>
          <t>VÄRMLANDS LÄN</t>
        </is>
      </c>
      <c r="G240" t="inlineStr">
        <is>
          <t>HAGFORS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19894-2024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45433</v>
      </c>
      <c r="E241" s="1" t="n">
        <v>46216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32235-2025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46216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32174-2025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46216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46216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26777-2023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46216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46216</v>
      </c>
      <c r="F246" t="inlineStr">
        <is>
          <t>VÄRMLANDS LÄN</t>
        </is>
      </c>
      <c r="G246" t="inlineStr">
        <is>
          <t>HAGFORS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33611-2025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46216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33364-2025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46216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46216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33440-2025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45841</v>
      </c>
      <c r="E250" s="1" t="n">
        <v>46216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44876-2025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46216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33969-2022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44790</v>
      </c>
      <c r="E252" s="1" t="n">
        <v>46216</v>
      </c>
      <c r="F252" t="inlineStr">
        <is>
          <t>VÄRMLANDS LÄN</t>
        </is>
      </c>
      <c r="G252" t="inlineStr">
        <is>
          <t>HAGFORS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25759-2023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45090</v>
      </c>
      <c r="E253" s="1" t="n">
        <v>46216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46216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46216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31660-2022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44776</v>
      </c>
      <c r="E256" s="1" t="n">
        <v>46216</v>
      </c>
      <c r="F256" t="inlineStr">
        <is>
          <t>VÄRMLANDS LÄN</t>
        </is>
      </c>
      <c r="G256" t="inlineStr">
        <is>
          <t>HAGFORS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46216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45361-2025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46216</v>
      </c>
      <c r="F258" t="inlineStr">
        <is>
          <t>VÄRMLANDS LÄN</t>
        </is>
      </c>
      <c r="G258" t="inlineStr">
        <is>
          <t>HAGFORS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34107-2025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45845</v>
      </c>
      <c r="E259" s="1" t="n">
        <v>46216</v>
      </c>
      <c r="F259" t="inlineStr">
        <is>
          <t>VÄRMLANDS LÄN</t>
        </is>
      </c>
      <c r="G259" t="inlineStr">
        <is>
          <t>HAGFORS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46216</v>
      </c>
      <c r="F260" t="inlineStr">
        <is>
          <t>VÄRMLANDS LÄN</t>
        </is>
      </c>
      <c r="G260" t="inlineStr">
        <is>
          <t>HAGFORS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29372-2023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45106</v>
      </c>
      <c r="E261" s="1" t="n">
        <v>46216</v>
      </c>
      <c r="F261" t="inlineStr">
        <is>
          <t>VÄRMLANDS LÄN</t>
        </is>
      </c>
      <c r="G261" t="inlineStr">
        <is>
          <t>HAGFORS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59092-2022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46216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46216</v>
      </c>
      <c r="F263" t="inlineStr">
        <is>
          <t>VÄRMLANDS LÄN</t>
        </is>
      </c>
      <c r="G263" t="inlineStr">
        <is>
          <t>HAGFORS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34149-2025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46216</v>
      </c>
      <c r="F264" t="inlineStr">
        <is>
          <t>VÄRMLANDS LÄN</t>
        </is>
      </c>
      <c r="G264" t="inlineStr">
        <is>
          <t>HAGFORS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45355-2025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46216</v>
      </c>
      <c r="F265" t="inlineStr">
        <is>
          <t>VÄRMLANDS LÄN</t>
        </is>
      </c>
      <c r="G265" t="inlineStr">
        <is>
          <t>HAGFORS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19515-2025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45770</v>
      </c>
      <c r="E266" s="1" t="n">
        <v>46216</v>
      </c>
      <c r="F266" t="inlineStr">
        <is>
          <t>VÄRMLANDS LÄN</t>
        </is>
      </c>
      <c r="G266" t="inlineStr">
        <is>
          <t>HAGFORS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64155-2023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46216</v>
      </c>
      <c r="F267" t="inlineStr">
        <is>
          <t>VÄRMLANDS LÄN</t>
        </is>
      </c>
      <c r="G267" t="inlineStr">
        <is>
          <t>HAGFORS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42801-2024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45565</v>
      </c>
      <c r="E268" s="1" t="n">
        <v>46216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46216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46216</v>
      </c>
      <c r="F270" t="inlineStr">
        <is>
          <t>VÄRMLANDS LÄN</t>
        </is>
      </c>
      <c r="G270" t="inlineStr">
        <is>
          <t>HAGFORS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46216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35212-2025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45853</v>
      </c>
      <c r="E272" s="1" t="n">
        <v>46216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46216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35312-2025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46216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45928</v>
      </c>
      <c r="E275" s="1" t="n">
        <v>46216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35289-2025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46216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46216</v>
      </c>
      <c r="F277" t="inlineStr">
        <is>
          <t>VÄRMLANDS LÄN</t>
        </is>
      </c>
      <c r="G277" t="inlineStr">
        <is>
          <t>HAGFORS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46831-2025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45927</v>
      </c>
      <c r="E278" s="1" t="n">
        <v>46216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45927</v>
      </c>
      <c r="E279" s="1" t="n">
        <v>46216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46216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36039-2025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45865</v>
      </c>
      <c r="E281" s="1" t="n">
        <v>46216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48150-2025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46216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11104-2022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44628</v>
      </c>
      <c r="E283" s="1" t="n">
        <v>46216</v>
      </c>
      <c r="F283" t="inlineStr">
        <is>
          <t>VÄRMLANDS LÄN</t>
        </is>
      </c>
      <c r="G283" t="inlineStr">
        <is>
          <t>HAGFORS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46216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46216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32604-2025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46216</v>
      </c>
      <c r="F286" t="inlineStr">
        <is>
          <t>VÄRMLANDS LÄN</t>
        </is>
      </c>
      <c r="G286" t="inlineStr">
        <is>
          <t>HAGFORS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46216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46216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29855-2023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46216</v>
      </c>
      <c r="F289" t="inlineStr">
        <is>
          <t>VÄRMLANDS LÄN</t>
        </is>
      </c>
      <c r="G289" t="inlineStr">
        <is>
          <t>HAGFORS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16824-2023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45033</v>
      </c>
      <c r="E290" s="1" t="n">
        <v>46216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47027-2023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46216</v>
      </c>
      <c r="F291" t="inlineStr">
        <is>
          <t>VÄRMLANDS LÄN</t>
        </is>
      </c>
      <c r="G291" t="inlineStr">
        <is>
          <t>HAGFORS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47033-2023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46216</v>
      </c>
      <c r="F292" t="inlineStr">
        <is>
          <t>VÄRMLANDS LÄN</t>
        </is>
      </c>
      <c r="G292" t="inlineStr">
        <is>
          <t>HAGFORS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48108-2025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46216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29269-2025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46216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26.5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57162-2024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46216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56884-2023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46216</v>
      </c>
      <c r="F296" t="inlineStr">
        <is>
          <t>VÄRMLANDS LÄN</t>
        </is>
      </c>
      <c r="G296" t="inlineStr">
        <is>
          <t>HAGFORS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46216</v>
      </c>
      <c r="F297" t="inlineStr">
        <is>
          <t>VÄRMLANDS LÄN</t>
        </is>
      </c>
      <c r="G297" t="inlineStr">
        <is>
          <t>HAGFORS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46216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48809-2025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46216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37027-2025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46216</v>
      </c>
      <c r="F300" t="inlineStr">
        <is>
          <t>VÄRMLANDS LÄN</t>
        </is>
      </c>
      <c r="G300" t="inlineStr">
        <is>
          <t>HAGFORS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46216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46190-2024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46216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46216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43558-2024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45569</v>
      </c>
      <c r="E304" s="1" t="n">
        <v>46216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8830-2024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46216</v>
      </c>
      <c r="F305" t="inlineStr">
        <is>
          <t>VÄRMLANDS LÄN</t>
        </is>
      </c>
      <c r="G305" t="inlineStr">
        <is>
          <t>HAGFORS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49967-2025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45941</v>
      </c>
      <c r="E306" s="1" t="n">
        <v>46216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16153-2025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46216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46216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28654-2023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46216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56466-2024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46216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46216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46216</v>
      </c>
      <c r="F312" t="inlineStr">
        <is>
          <t>VÄRMLANDS LÄN</t>
        </is>
      </c>
      <c r="G312" t="inlineStr">
        <is>
          <t>HAGFORS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50977-2025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45947</v>
      </c>
      <c r="E313" s="1" t="n">
        <v>46216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50880-2025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46216</v>
      </c>
      <c r="F314" t="inlineStr">
        <is>
          <t>VÄRMLANDS LÄN</t>
        </is>
      </c>
      <c r="G314" t="inlineStr">
        <is>
          <t>HAGFORS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50752-2025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46216</v>
      </c>
      <c r="F315" t="inlineStr">
        <is>
          <t>VÄRMLANDS LÄN</t>
        </is>
      </c>
      <c r="G315" t="inlineStr">
        <is>
          <t>HAGFORS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30180-2022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44757</v>
      </c>
      <c r="E316" s="1" t="n">
        <v>46216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46216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46216</v>
      </c>
      <c r="F318" t="inlineStr">
        <is>
          <t>VÄRMLANDS LÄN</t>
        </is>
      </c>
      <c r="G318" t="inlineStr">
        <is>
          <t>HAGFORS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51273-2025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45949</v>
      </c>
      <c r="E319" s="1" t="n">
        <v>46216</v>
      </c>
      <c r="F319" t="inlineStr">
        <is>
          <t>VÄRMLANDS LÄN</t>
        </is>
      </c>
      <c r="G319" t="inlineStr">
        <is>
          <t>HAGFORS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46216</v>
      </c>
      <c r="F320" t="inlineStr">
        <is>
          <t>VÄRMLANDS LÄN</t>
        </is>
      </c>
      <c r="G320" t="inlineStr">
        <is>
          <t>HAGFORS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18699-2022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44687</v>
      </c>
      <c r="E321" s="1" t="n">
        <v>46216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35888-2023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46216</v>
      </c>
      <c r="F322" t="inlineStr">
        <is>
          <t>VÄRMLANDS LÄN</t>
        </is>
      </c>
      <c r="G322" t="inlineStr">
        <is>
          <t>HAGFORS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52479-2025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46216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46216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13635-2024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45390</v>
      </c>
      <c r="E325" s="1" t="n">
        <v>46216</v>
      </c>
      <c r="F325" t="inlineStr">
        <is>
          <t>VÄRMLANDS LÄN</t>
        </is>
      </c>
      <c r="G325" t="inlineStr">
        <is>
          <t>HAGFORS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46216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44906-2024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46216</v>
      </c>
      <c r="F327" t="inlineStr">
        <is>
          <t>VÄRMLANDS LÄN</t>
        </is>
      </c>
      <c r="G327" t="inlineStr">
        <is>
          <t>HAGFORS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46216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46216</v>
      </c>
      <c r="F329" t="inlineStr">
        <is>
          <t>VÄRMLANDS LÄN</t>
        </is>
      </c>
      <c r="G329" t="inlineStr">
        <is>
          <t>HAGFORS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46216</v>
      </c>
      <c r="F330" t="inlineStr">
        <is>
          <t>VÄRMLANDS LÄN</t>
        </is>
      </c>
      <c r="G330" t="inlineStr">
        <is>
          <t>HAGFORS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40843-2021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44421</v>
      </c>
      <c r="E331" s="1" t="n">
        <v>46216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38132-2022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46216</v>
      </c>
      <c r="F332" t="inlineStr">
        <is>
          <t>VÄRMLANDS LÄN</t>
        </is>
      </c>
      <c r="G332" t="inlineStr">
        <is>
          <t>HAGFORS</t>
        </is>
      </c>
      <c r="H332" t="inlineStr">
        <is>
          <t>Kyrkan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46216</v>
      </c>
      <c r="F333" t="inlineStr">
        <is>
          <t>VÄRMLANDS LÄN</t>
        </is>
      </c>
      <c r="G333" t="inlineStr">
        <is>
          <t>HAGFORS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45335</v>
      </c>
      <c r="E334" s="1" t="n">
        <v>46216</v>
      </c>
      <c r="F334" t="inlineStr">
        <is>
          <t>VÄRMLANDS LÄN</t>
        </is>
      </c>
      <c r="G334" t="inlineStr">
        <is>
          <t>HAGFORS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54001-2025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45961</v>
      </c>
      <c r="E335" s="1" t="n">
        <v>46216</v>
      </c>
      <c r="F335" t="inlineStr">
        <is>
          <t>VÄRMLANDS LÄN</t>
        </is>
      </c>
      <c r="G335" t="inlineStr">
        <is>
          <t>HAGFORS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53620-2025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46216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46216</v>
      </c>
      <c r="F337" t="inlineStr">
        <is>
          <t>VÄRMLANDS LÄN</t>
        </is>
      </c>
      <c r="G337" t="inlineStr">
        <is>
          <t>HAGFORS</t>
        </is>
      </c>
      <c r="I337" t="n">
        <v>13.1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53811-2025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46216</v>
      </c>
      <c r="F338" t="inlineStr">
        <is>
          <t>VÄRMLANDS LÄN</t>
        </is>
      </c>
      <c r="G338" t="inlineStr">
        <is>
          <t>HAGFORS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53574-2025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46216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39396-2023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46216</v>
      </c>
      <c r="F340" t="inlineStr">
        <is>
          <t>VÄRMLANDS LÄN</t>
        </is>
      </c>
      <c r="G340" t="inlineStr">
        <is>
          <t>HAGFORS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32031-2024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45510</v>
      </c>
      <c r="E341" s="1" t="n">
        <v>46216</v>
      </c>
      <c r="F341" t="inlineStr">
        <is>
          <t>VÄRMLANDS LÄN</t>
        </is>
      </c>
      <c r="G341" t="inlineStr">
        <is>
          <t>HAGFORS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15538-2024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45401</v>
      </c>
      <c r="E342" s="1" t="n">
        <v>46216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46216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45425</v>
      </c>
      <c r="E344" s="1" t="n">
        <v>46216</v>
      </c>
      <c r="F344" t="inlineStr">
        <is>
          <t>VÄRMLANDS LÄN</t>
        </is>
      </c>
      <c r="G344" t="inlineStr">
        <is>
          <t>HAGFORS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46216</v>
      </c>
      <c r="F345" t="inlineStr">
        <is>
          <t>VÄRMLANDS LÄN</t>
        </is>
      </c>
      <c r="G345" t="inlineStr">
        <is>
          <t>HAGFORS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46216</v>
      </c>
      <c r="F346" t="inlineStr">
        <is>
          <t>VÄRMLANDS LÄN</t>
        </is>
      </c>
      <c r="G346" t="inlineStr">
        <is>
          <t>HAGFORS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46216</v>
      </c>
      <c r="F347" t="inlineStr">
        <is>
          <t>VÄRMLANDS LÄN</t>
        </is>
      </c>
      <c r="G347" t="inlineStr">
        <is>
          <t>HAGFORS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60974-2024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45645</v>
      </c>
      <c r="E348" s="1" t="n">
        <v>46216</v>
      </c>
      <c r="F348" t="inlineStr">
        <is>
          <t>VÄRMLANDS LÄN</t>
        </is>
      </c>
      <c r="G348" t="inlineStr">
        <is>
          <t>HAGFORS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54645-2025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46216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46216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55001-2025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45967</v>
      </c>
      <c r="E351" s="1" t="n">
        <v>46216</v>
      </c>
      <c r="F351" t="inlineStr">
        <is>
          <t>VÄRMLANDS LÄN</t>
        </is>
      </c>
      <c r="G351" t="inlineStr">
        <is>
          <t>HAGFORS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55519-2025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46216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46216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62546-2022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44924</v>
      </c>
      <c r="E354" s="1" t="n">
        <v>46216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55480-2025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46216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55190-2025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46216</v>
      </c>
      <c r="F356" t="inlineStr">
        <is>
          <t>VÄRMLANDS LÄN</t>
        </is>
      </c>
      <c r="G356" t="inlineStr">
        <is>
          <t>HAGFORS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5468-2026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46216</v>
      </c>
      <c r="F357" t="inlineStr">
        <is>
          <t>VÄRMLANDS LÄN</t>
        </is>
      </c>
      <c r="G357" t="inlineStr">
        <is>
          <t>HAGFORS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46216</v>
      </c>
      <c r="F358" t="inlineStr">
        <is>
          <t>VÄRMLANDS LÄN</t>
        </is>
      </c>
      <c r="G358" t="inlineStr">
        <is>
          <t>HAGFORS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45699</v>
      </c>
      <c r="E359" s="1" t="n">
        <v>46216</v>
      </c>
      <c r="F359" t="inlineStr">
        <is>
          <t>VÄRMLANDS LÄN</t>
        </is>
      </c>
      <c r="G359" t="inlineStr">
        <is>
          <t>HAGFORS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46216</v>
      </c>
      <c r="F360" t="inlineStr">
        <is>
          <t>VÄRMLANDS LÄN</t>
        </is>
      </c>
      <c r="G360" t="inlineStr">
        <is>
          <t>HAGFORS</t>
        </is>
      </c>
      <c r="H360" t="inlineStr">
        <is>
          <t>Kyrkan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46216</v>
      </c>
      <c r="F361" t="inlineStr">
        <is>
          <t>VÄRMLANDS LÄN</t>
        </is>
      </c>
      <c r="G361" t="inlineStr">
        <is>
          <t>HAGFORS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46216</v>
      </c>
      <c r="F362" t="inlineStr">
        <is>
          <t>VÄRMLANDS LÄN</t>
        </is>
      </c>
      <c r="G362" t="inlineStr">
        <is>
          <t>HAGFORS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56477-2025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46216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45772</v>
      </c>
      <c r="E364" s="1" t="n">
        <v>46216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56411-2025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46216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56714-2025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46216</v>
      </c>
      <c r="F366" t="inlineStr">
        <is>
          <t>VÄRMLANDS LÄN</t>
        </is>
      </c>
      <c r="G366" t="inlineStr">
        <is>
          <t>HAGFORS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56468-2025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46216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57198-2025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45979</v>
      </c>
      <c r="E368" s="1" t="n">
        <v>46216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7000-2026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46216</v>
      </c>
      <c r="F369" t="inlineStr">
        <is>
          <t>VÄRMLANDS LÄN</t>
        </is>
      </c>
      <c r="G369" t="inlineStr">
        <is>
          <t>HAGFORS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61818-2023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46216</v>
      </c>
      <c r="F370" t="inlineStr">
        <is>
          <t>VÄRMLANDS LÄN</t>
        </is>
      </c>
      <c r="G370" t="inlineStr">
        <is>
          <t>HAGFORS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45684</v>
      </c>
      <c r="E371" s="1" t="n">
        <v>46216</v>
      </c>
      <c r="F371" t="inlineStr">
        <is>
          <t>VÄRMLANDS LÄN</t>
        </is>
      </c>
      <c r="G371" t="inlineStr">
        <is>
          <t>HAGFORS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12434-2022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44638</v>
      </c>
      <c r="E372" s="1" t="n">
        <v>46216</v>
      </c>
      <c r="F372" t="inlineStr">
        <is>
          <t>VÄRMLANDS LÄN</t>
        </is>
      </c>
      <c r="G372" t="inlineStr">
        <is>
          <t>HAGFORS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57462-2025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46216</v>
      </c>
      <c r="F373" t="inlineStr">
        <is>
          <t>VÄRMLANDS LÄN</t>
        </is>
      </c>
      <c r="G373" t="inlineStr">
        <is>
          <t>HAGFORS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57460-2025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46216</v>
      </c>
      <c r="F374" t="inlineStr">
        <is>
          <t>VÄRMLANDS LÄN</t>
        </is>
      </c>
      <c r="G374" t="inlineStr">
        <is>
          <t>HAGFORS</t>
        </is>
      </c>
      <c r="H374" t="inlineStr">
        <is>
          <t>Kyrkan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57814-2025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46216</v>
      </c>
      <c r="F375" t="inlineStr">
        <is>
          <t>VÄRMLANDS LÄN</t>
        </is>
      </c>
      <c r="G375" t="inlineStr">
        <is>
          <t>HAGFORS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40692-2022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44824</v>
      </c>
      <c r="E376" s="1" t="n">
        <v>46216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58278-2025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46216</v>
      </c>
      <c r="F377" t="inlineStr">
        <is>
          <t>VÄRMLANDS LÄN</t>
        </is>
      </c>
      <c r="G377" t="inlineStr">
        <is>
          <t>HAGFORS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47021-2023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45201</v>
      </c>
      <c r="E378" s="1" t="n">
        <v>46216</v>
      </c>
      <c r="F378" t="inlineStr">
        <is>
          <t>VÄRMLANDS LÄN</t>
        </is>
      </c>
      <c r="G378" t="inlineStr">
        <is>
          <t>HAGFORS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59047-2025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45988</v>
      </c>
      <c r="E379" s="1" t="n">
        <v>46216</v>
      </c>
      <c r="F379" t="inlineStr">
        <is>
          <t>VÄRMLANDS LÄN</t>
        </is>
      </c>
      <c r="G379" t="inlineStr">
        <is>
          <t>HAGFORS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71447-2021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44540</v>
      </c>
      <c r="E380" s="1" t="n">
        <v>46216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46216</v>
      </c>
      <c r="F381" t="inlineStr">
        <is>
          <t>VÄRMLANDS LÄN</t>
        </is>
      </c>
      <c r="G381" t="inlineStr">
        <is>
          <t>HAGFORS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59642-2025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46216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18.8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10297-2025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46216</v>
      </c>
      <c r="F383" t="inlineStr">
        <is>
          <t>VÄRMLANDS LÄN</t>
        </is>
      </c>
      <c r="G383" t="inlineStr">
        <is>
          <t>HAGFORS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46216</v>
      </c>
      <c r="F384" t="inlineStr">
        <is>
          <t>VÄRMLANDS LÄN</t>
        </is>
      </c>
      <c r="G384" t="inlineStr">
        <is>
          <t>HAGFORS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46216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60841-2025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46216</v>
      </c>
      <c r="F386" t="inlineStr">
        <is>
          <t>VÄRMLANDS LÄN</t>
        </is>
      </c>
      <c r="G386" t="inlineStr">
        <is>
          <t>HAGFORS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60648-2025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45996</v>
      </c>
      <c r="E387" s="1" t="n">
        <v>46216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45684</v>
      </c>
      <c r="E388" s="1" t="n">
        <v>46216</v>
      </c>
      <c r="F388" t="inlineStr">
        <is>
          <t>VÄRMLANDS LÄN</t>
        </is>
      </c>
      <c r="G388" t="inlineStr">
        <is>
          <t>HAGFORS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9769-2026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46072</v>
      </c>
      <c r="E389" s="1" t="n">
        <v>46216</v>
      </c>
      <c r="F389" t="inlineStr">
        <is>
          <t>VÄRMLANDS LÄN</t>
        </is>
      </c>
      <c r="G389" t="inlineStr">
        <is>
          <t>HAGFORS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31812-2024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45509</v>
      </c>
      <c r="E390" s="1" t="n">
        <v>46216</v>
      </c>
      <c r="F390" t="inlineStr">
        <is>
          <t>VÄRMLANDS LÄN</t>
        </is>
      </c>
      <c r="G390" t="inlineStr">
        <is>
          <t>HAGFORS</t>
        </is>
      </c>
      <c r="H390" t="inlineStr">
        <is>
          <t>Kommuner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9670-2026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46216</v>
      </c>
      <c r="F391" t="inlineStr">
        <is>
          <t>VÄRMLANDS LÄN</t>
        </is>
      </c>
      <c r="G391" t="inlineStr">
        <is>
          <t>HAGFORS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45623</v>
      </c>
      <c r="E392" s="1" t="n">
        <v>46216</v>
      </c>
      <c r="F392" t="inlineStr">
        <is>
          <t>VÄRMLANDS LÄN</t>
        </is>
      </c>
      <c r="G392" t="inlineStr">
        <is>
          <t>HAGFORS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46216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61843-2025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46003</v>
      </c>
      <c r="E394" s="1" t="n">
        <v>46216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10271-2026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46216</v>
      </c>
      <c r="F395" t="inlineStr">
        <is>
          <t>VÄRMLANDS LÄN</t>
        </is>
      </c>
      <c r="G395" t="inlineStr">
        <is>
          <t>HAGFORS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61850-2025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46216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61718-2025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46002</v>
      </c>
      <c r="E397" s="1" t="n">
        <v>46216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25349-2023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45087</v>
      </c>
      <c r="E398" s="1" t="n">
        <v>46216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46216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61998-2025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46216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35088-2024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45527</v>
      </c>
      <c r="E401" s="1" t="n">
        <v>46216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61910-2025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46003</v>
      </c>
      <c r="E402" s="1" t="n">
        <v>46216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62542-2025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46216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46216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62168-2025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46006</v>
      </c>
      <c r="E405" s="1" t="n">
        <v>46216</v>
      </c>
      <c r="F405" t="inlineStr">
        <is>
          <t>VÄRMLANDS LÄN</t>
        </is>
      </c>
      <c r="G405" t="inlineStr">
        <is>
          <t>HAGFORS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62099-2025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46216</v>
      </c>
      <c r="F406" t="inlineStr">
        <is>
          <t>VÄRMLANDS LÄN</t>
        </is>
      </c>
      <c r="G406" t="inlineStr">
        <is>
          <t>HAGFORS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62125-2025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46216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44938</v>
      </c>
      <c r="E408" s="1" t="n">
        <v>46216</v>
      </c>
      <c r="F408" t="inlineStr">
        <is>
          <t>VÄRMLANDS LÄN</t>
        </is>
      </c>
      <c r="G408" t="inlineStr">
        <is>
          <t>HAGFORS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29373-2023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45106</v>
      </c>
      <c r="E409" s="1" t="n">
        <v>46216</v>
      </c>
      <c r="F409" t="inlineStr">
        <is>
          <t>VÄRMLANDS LÄN</t>
        </is>
      </c>
      <c r="G409" t="inlineStr">
        <is>
          <t>HAGFORS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62632-2025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46216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62749-2025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46216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46216</v>
      </c>
      <c r="F412" t="inlineStr">
        <is>
          <t>VÄRMLANDS LÄN</t>
        </is>
      </c>
      <c r="G412" t="inlineStr">
        <is>
          <t>HAGFORS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63301-2025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46216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63361-2025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46216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11126-2024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45371</v>
      </c>
      <c r="E415" s="1" t="n">
        <v>46216</v>
      </c>
      <c r="F415" t="inlineStr">
        <is>
          <t>VÄRMLANDS LÄN</t>
        </is>
      </c>
      <c r="G415" t="inlineStr">
        <is>
          <t>HAGFORS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63285-2025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46216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59449-2024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45638</v>
      </c>
      <c r="E417" s="1" t="n">
        <v>46216</v>
      </c>
      <c r="F417" t="inlineStr">
        <is>
          <t>VÄRMLANDS LÄN</t>
        </is>
      </c>
      <c r="G417" t="inlineStr">
        <is>
          <t>HAGFORS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8842-2025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46216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53192-2022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46216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24638-2023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45084</v>
      </c>
      <c r="E420" s="1" t="n">
        <v>46216</v>
      </c>
      <c r="F420" t="inlineStr">
        <is>
          <t>VÄRMLANDS LÄN</t>
        </is>
      </c>
      <c r="G420" t="inlineStr">
        <is>
          <t>HAGFORS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63834-2025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46216</v>
      </c>
      <c r="F421" t="inlineStr">
        <is>
          <t>VÄRMLANDS LÄN</t>
        </is>
      </c>
      <c r="G421" t="inlineStr">
        <is>
          <t>HAGFORS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61902-2021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44502</v>
      </c>
      <c r="E422" s="1" t="n">
        <v>46216</v>
      </c>
      <c r="F422" t="inlineStr">
        <is>
          <t>VÄRMLANDS LÄN</t>
        </is>
      </c>
      <c r="G422" t="inlineStr">
        <is>
          <t>HAGFORS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63831-2025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46216</v>
      </c>
      <c r="F423" t="inlineStr">
        <is>
          <t>VÄRMLANDS LÄN</t>
        </is>
      </c>
      <c r="G423" t="inlineStr">
        <is>
          <t>HAGFORS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63764-2025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46018</v>
      </c>
      <c r="E424" s="1" t="n">
        <v>46216</v>
      </c>
      <c r="F424" t="inlineStr">
        <is>
          <t>VÄRMLANDS LÄN</t>
        </is>
      </c>
      <c r="G424" t="inlineStr">
        <is>
          <t>HAGFORS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63765-2025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46018</v>
      </c>
      <c r="E425" s="1" t="n">
        <v>46216</v>
      </c>
      <c r="F425" t="inlineStr">
        <is>
          <t>VÄRMLANDS LÄN</t>
        </is>
      </c>
      <c r="G425" t="inlineStr">
        <is>
          <t>HAGFORS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13657-2023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45006</v>
      </c>
      <c r="E426" s="1" t="n">
        <v>46216</v>
      </c>
      <c r="F426" t="inlineStr">
        <is>
          <t>VÄRMLANDS LÄN</t>
        </is>
      </c>
      <c r="G426" t="inlineStr">
        <is>
          <t>HAGFORS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63875-2025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46020</v>
      </c>
      <c r="E427" s="1" t="n">
        <v>46216</v>
      </c>
      <c r="F427" t="inlineStr">
        <is>
          <t>VÄRMLANDS LÄN</t>
        </is>
      </c>
      <c r="G427" t="inlineStr">
        <is>
          <t>HAGFORS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60390-2025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46216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12534-2026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46216</v>
      </c>
      <c r="F429" t="inlineStr">
        <is>
          <t>VÄRMLANDS LÄN</t>
        </is>
      </c>
      <c r="G429" t="inlineStr">
        <is>
          <t>HAGFORS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12295-2026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46216</v>
      </c>
      <c r="F430" t="inlineStr">
        <is>
          <t>VÄRMLANDS LÄN</t>
        </is>
      </c>
      <c r="G430" t="inlineStr">
        <is>
          <t>HAGFORS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42235-2024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45562</v>
      </c>
      <c r="E431" s="1" t="n">
        <v>46216</v>
      </c>
      <c r="F431" t="inlineStr">
        <is>
          <t>VÄRMLANDS LÄN</t>
        </is>
      </c>
      <c r="G431" t="inlineStr">
        <is>
          <t>HAGFORS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17584-2023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45036</v>
      </c>
      <c r="E432" s="1" t="n">
        <v>46216</v>
      </c>
      <c r="F432" t="inlineStr">
        <is>
          <t>VÄRMLANDS LÄN</t>
        </is>
      </c>
      <c r="G432" t="inlineStr">
        <is>
          <t>HAGFORS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54929-2024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45618</v>
      </c>
      <c r="E433" s="1" t="n">
        <v>46216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8496-2022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44613</v>
      </c>
      <c r="E434" s="1" t="n">
        <v>46216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12611-2026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46216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61169-2024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45645</v>
      </c>
      <c r="E436" s="1" t="n">
        <v>46216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13338-2026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46216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13360-2026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46216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24814-2024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45461</v>
      </c>
      <c r="E439" s="1" t="n">
        <v>46216</v>
      </c>
      <c r="F439" t="inlineStr">
        <is>
          <t>VÄRMLANDS LÄN</t>
        </is>
      </c>
      <c r="G439" t="inlineStr">
        <is>
          <t>HAGFORS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13419-2026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46216</v>
      </c>
      <c r="F440" t="inlineStr">
        <is>
          <t>VÄRMLANDS LÄN</t>
        </is>
      </c>
      <c r="G440" t="inlineStr">
        <is>
          <t>HAGFORS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13411-2026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46216</v>
      </c>
      <c r="F441" t="inlineStr">
        <is>
          <t>VÄRMLANDS LÄN</t>
        </is>
      </c>
      <c r="G441" t="inlineStr">
        <is>
          <t>HAGFORS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13466-2026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46216</v>
      </c>
      <c r="F442" t="inlineStr">
        <is>
          <t>VÄRMLANDS LÄN</t>
        </is>
      </c>
      <c r="G442" t="inlineStr">
        <is>
          <t>HAGFORS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13926-2026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46216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36293-2023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45152</v>
      </c>
      <c r="E444" s="1" t="n">
        <v>46216</v>
      </c>
      <c r="F444" t="inlineStr">
        <is>
          <t>VÄRMLANDS LÄN</t>
        </is>
      </c>
      <c r="G444" t="inlineStr">
        <is>
          <t>HAGFORS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13809-2026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46216</v>
      </c>
      <c r="F445" t="inlineStr">
        <is>
          <t>VÄRMLANDS LÄN</t>
        </is>
      </c>
      <c r="G445" t="inlineStr">
        <is>
          <t>HAGFORS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13987-2026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46216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14284-2026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46216</v>
      </c>
      <c r="F447" t="inlineStr">
        <is>
          <t>VÄRMLANDS LÄN</t>
        </is>
      </c>
      <c r="G447" t="inlineStr">
        <is>
          <t>HAGFORS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20444-2024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45435</v>
      </c>
      <c r="E448" s="1" t="n">
        <v>46216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35886-2023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46216</v>
      </c>
      <c r="F449" t="inlineStr">
        <is>
          <t>VÄRMLANDS LÄN</t>
        </is>
      </c>
      <c r="G449" t="inlineStr">
        <is>
          <t>HAGFORS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14288-2026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46216</v>
      </c>
      <c r="F450" t="inlineStr">
        <is>
          <t>VÄRMLANDS LÄN</t>
        </is>
      </c>
      <c r="G450" t="inlineStr">
        <is>
          <t>HAGFORS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14832-2026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46216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14667-2026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46216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59048-2022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44903</v>
      </c>
      <c r="E453" s="1" t="n">
        <v>46216</v>
      </c>
      <c r="F453" t="inlineStr">
        <is>
          <t>VÄRMLANDS LÄN</t>
        </is>
      </c>
      <c r="G453" t="inlineStr">
        <is>
          <t>HAGFORS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15031-2026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46216</v>
      </c>
      <c r="F454" t="inlineStr">
        <is>
          <t>VÄRMLANDS LÄN</t>
        </is>
      </c>
      <c r="G454" t="inlineStr">
        <is>
          <t>HAGFORS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46216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15656-2026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46216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15504-2026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46216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15639-2026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46216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15491-2026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46216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46216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15213-2026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46216</v>
      </c>
      <c r="F461" t="inlineStr">
        <is>
          <t>VÄRMLANDS LÄN</t>
        </is>
      </c>
      <c r="G461" t="inlineStr">
        <is>
          <t>HAGFORS</t>
        </is>
      </c>
      <c r="H461" t="inlineStr">
        <is>
          <t>Kyrkan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15554-2026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46216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15577-2026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46216</v>
      </c>
      <c r="F463" t="inlineStr">
        <is>
          <t>VÄRMLANDS LÄN</t>
        </is>
      </c>
      <c r="G463" t="inlineStr">
        <is>
          <t>HAGFORS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21155-2023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45057</v>
      </c>
      <c r="E464" s="1" t="n">
        <v>46216</v>
      </c>
      <c r="F464" t="inlineStr">
        <is>
          <t>VÄRMLANDS LÄN</t>
        </is>
      </c>
      <c r="G464" t="inlineStr">
        <is>
          <t>HAGFORS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17884-2025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46216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19554-2024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45429</v>
      </c>
      <c r="E466" s="1" t="n">
        <v>46216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16146-2026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46108</v>
      </c>
      <c r="E467" s="1" t="n">
        <v>46216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16003-2026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46216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30710-2022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44763</v>
      </c>
      <c r="E469" s="1" t="n">
        <v>46216</v>
      </c>
      <c r="F469" t="inlineStr">
        <is>
          <t>VÄRMLANDS LÄN</t>
        </is>
      </c>
      <c r="G469" t="inlineStr">
        <is>
          <t>HAGFORS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52830-2023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45226</v>
      </c>
      <c r="E470" s="1" t="n">
        <v>46216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28087-2024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45476</v>
      </c>
      <c r="E471" s="1" t="n">
        <v>46216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16157-2026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46216</v>
      </c>
      <c r="F472" t="inlineStr">
        <is>
          <t>VÄRMLANDS LÄN</t>
        </is>
      </c>
      <c r="G472" t="inlineStr">
        <is>
          <t>HAGFORS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45420</v>
      </c>
      <c r="E473" s="1" t="n">
        <v>46216</v>
      </c>
      <c r="F473" t="inlineStr">
        <is>
          <t>VÄRMLANDS LÄN</t>
        </is>
      </c>
      <c r="G473" t="inlineStr">
        <is>
          <t>HAGFORS</t>
        </is>
      </c>
      <c r="I473" t="n">
        <v>11.5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16284-2026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46216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9.4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10382-2025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46216</v>
      </c>
      <c r="F475" t="inlineStr">
        <is>
          <t>VÄRMLANDS LÄN</t>
        </is>
      </c>
      <c r="G475" t="inlineStr">
        <is>
          <t>HAGFORS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15587-2026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46216</v>
      </c>
      <c r="F476" t="inlineStr">
        <is>
          <t>VÄRMLANDS LÄN</t>
        </is>
      </c>
      <c r="G476" t="inlineStr">
        <is>
          <t>HAGFORS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16977-2026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46114</v>
      </c>
      <c r="E477" s="1" t="n">
        <v>46216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6437-2024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45338</v>
      </c>
      <c r="E478" s="1" t="n">
        <v>46216</v>
      </c>
      <c r="F478" t="inlineStr">
        <is>
          <t>VÄRMLANDS LÄN</t>
        </is>
      </c>
      <c r="G478" t="inlineStr">
        <is>
          <t>HAGFORS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9795-2023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46216</v>
      </c>
      <c r="F479" t="inlineStr">
        <is>
          <t>VÄRMLANDS LÄN</t>
        </is>
      </c>
      <c r="G479" t="inlineStr">
        <is>
          <t>HAGFORS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34540-2024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46216</v>
      </c>
      <c r="F480" t="inlineStr">
        <is>
          <t>VÄRMLANDS LÄN</t>
        </is>
      </c>
      <c r="G480" t="inlineStr">
        <is>
          <t>HAGFORS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17815-2026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46122</v>
      </c>
      <c r="E481" s="1" t="n">
        <v>46216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35994-2024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45533</v>
      </c>
      <c r="E482" s="1" t="n">
        <v>46216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65065-2023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45287</v>
      </c>
      <c r="E483" s="1" t="n">
        <v>46216</v>
      </c>
      <c r="F483" t="inlineStr">
        <is>
          <t>VÄRMLANDS LÄN</t>
        </is>
      </c>
      <c r="G483" t="inlineStr">
        <is>
          <t>HAGFORS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42593-2021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44428</v>
      </c>
      <c r="E484" s="1" t="n">
        <v>46216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17843-2026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46216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17778-2026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46216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53443-2024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45614</v>
      </c>
      <c r="E487" s="1" t="n">
        <v>46216</v>
      </c>
      <c r="F487" t="inlineStr">
        <is>
          <t>VÄRMLANDS LÄN</t>
        </is>
      </c>
      <c r="G487" t="inlineStr">
        <is>
          <t>HAGFORS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52923-2023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45226</v>
      </c>
      <c r="E488" s="1" t="n">
        <v>46216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19072-2025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45765</v>
      </c>
      <c r="E489" s="1" t="n">
        <v>46216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18217-2026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46216</v>
      </c>
      <c r="F490" t="inlineStr">
        <is>
          <t>VÄRMLANDS LÄN</t>
        </is>
      </c>
      <c r="G490" t="inlineStr">
        <is>
          <t>HAGFORS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51915-2023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45223</v>
      </c>
      <c r="E491" s="1" t="n">
        <v>46216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56165-2024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46216</v>
      </c>
      <c r="F492" t="inlineStr">
        <is>
          <t>VÄRMLANDS LÄN</t>
        </is>
      </c>
      <c r="G492" t="inlineStr">
        <is>
          <t>HAGFORS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18895-2026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46216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18854-2026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46129</v>
      </c>
      <c r="E494" s="1" t="n">
        <v>46216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18528-2026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46216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18901-2026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46129</v>
      </c>
      <c r="E496" s="1" t="n">
        <v>46216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14435-2025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45741</v>
      </c>
      <c r="E497" s="1" t="n">
        <v>46216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27826-2024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45475</v>
      </c>
      <c r="E498" s="1" t="n">
        <v>46216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46216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36206-2024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45534</v>
      </c>
      <c r="E500" s="1" t="n">
        <v>46216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45534</v>
      </c>
      <c r="E501" s="1" t="n">
        <v>46216</v>
      </c>
      <c r="F501" t="inlineStr">
        <is>
          <t>VÄRMLANDS LÄN</t>
        </is>
      </c>
      <c r="G501" t="inlineStr">
        <is>
          <t>HAGFORS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18797-2026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46128</v>
      </c>
      <c r="E502" s="1" t="n">
        <v>46216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3149-2022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44582</v>
      </c>
      <c r="E503" s="1" t="n">
        <v>46216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18951-2026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46129</v>
      </c>
      <c r="E504" s="1" t="n">
        <v>46216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20103-2024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45434</v>
      </c>
      <c r="E505" s="1" t="n">
        <v>46216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11180-2025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45725</v>
      </c>
      <c r="E506" s="1" t="n">
        <v>46216</v>
      </c>
      <c r="F506" t="inlineStr">
        <is>
          <t>VÄRMLANDS LÄN</t>
        </is>
      </c>
      <c r="G506" t="inlineStr">
        <is>
          <t>HAGFORS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15270-2024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45400</v>
      </c>
      <c r="E507" s="1" t="n">
        <v>46216</v>
      </c>
      <c r="F507" t="inlineStr">
        <is>
          <t>VÄRMLANDS LÄN</t>
        </is>
      </c>
      <c r="G507" t="inlineStr">
        <is>
          <t>HAGFORS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46426-2024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45582</v>
      </c>
      <c r="E508" s="1" t="n">
        <v>46216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19363-2026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46216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19339-2026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46133</v>
      </c>
      <c r="E510" s="1" t="n">
        <v>46216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19307-2026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46133</v>
      </c>
      <c r="E511" s="1" t="n">
        <v>46216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19350-2026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46133</v>
      </c>
      <c r="E512" s="1" t="n">
        <v>46216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44567</v>
      </c>
      <c r="E513" s="1" t="n">
        <v>46216</v>
      </c>
      <c r="F513" t="inlineStr">
        <is>
          <t>VÄRMLANDS LÄN</t>
        </is>
      </c>
      <c r="G513" t="inlineStr">
        <is>
          <t>HAGFORS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34636-2024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46216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24862-2026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46216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9.699999999999999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46216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34529-2023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45140</v>
      </c>
      <c r="E517" s="1" t="n">
        <v>46216</v>
      </c>
      <c r="F517" t="inlineStr">
        <is>
          <t>VÄRMLANDS LÄN</t>
        </is>
      </c>
      <c r="G517" t="inlineStr">
        <is>
          <t>HAGFORS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14464-2025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45741</v>
      </c>
      <c r="E518" s="1" t="n">
        <v>46216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19421-2026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46216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46216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54757-2022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44883</v>
      </c>
      <c r="E521" s="1" t="n">
        <v>46216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45238-2024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46216</v>
      </c>
      <c r="F522" t="inlineStr">
        <is>
          <t>VÄRMLANDS LÄN</t>
        </is>
      </c>
      <c r="G522" t="inlineStr">
        <is>
          <t>HAGFORS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37085-2023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45155</v>
      </c>
      <c r="E523" s="1" t="n">
        <v>46216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37463-2022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44809</v>
      </c>
      <c r="E524" s="1" t="n">
        <v>46216</v>
      </c>
      <c r="F524" t="inlineStr">
        <is>
          <t>VÄRMLANDS LÄN</t>
        </is>
      </c>
      <c r="G524" t="inlineStr">
        <is>
          <t>HAGFORS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25276-2026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46176</v>
      </c>
      <c r="E525" s="1" t="n">
        <v>46216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25560-2026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46216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62461-2023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45268</v>
      </c>
      <c r="E527" s="1" t="n">
        <v>46216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19530-2026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46216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20466-2023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46216</v>
      </c>
      <c r="F529" t="inlineStr">
        <is>
          <t>VÄRMLANDS LÄN</t>
        </is>
      </c>
      <c r="G529" t="inlineStr">
        <is>
          <t>HAGFORS</t>
        </is>
      </c>
      <c r="H529" t="inlineStr">
        <is>
          <t>Kyrkan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25589-2026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46216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19459-2026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46216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25583-2026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46216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53813-2024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45615</v>
      </c>
      <c r="E533" s="1" t="n">
        <v>46216</v>
      </c>
      <c r="F533" t="inlineStr">
        <is>
          <t>VÄRMLANDS LÄN</t>
        </is>
      </c>
      <c r="G533" t="inlineStr">
        <is>
          <t>HAGFORS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26859-2024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45470</v>
      </c>
      <c r="E534" s="1" t="n">
        <v>46216</v>
      </c>
      <c r="F534" t="inlineStr">
        <is>
          <t>VÄRMLANDS LÄN</t>
        </is>
      </c>
      <c r="G534" t="inlineStr">
        <is>
          <t>HAGFORS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20260-2026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46139</v>
      </c>
      <c r="E535" s="1" t="n">
        <v>46216</v>
      </c>
      <c r="F535" t="inlineStr">
        <is>
          <t>VÄRMLANDS LÄN</t>
        </is>
      </c>
      <c r="G535" t="inlineStr">
        <is>
          <t>HAGFORS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63868-2025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46020</v>
      </c>
      <c r="E536" s="1" t="n">
        <v>46216</v>
      </c>
      <c r="F536" t="inlineStr">
        <is>
          <t>VÄRMLANDS LÄN</t>
        </is>
      </c>
      <c r="G536" t="inlineStr">
        <is>
          <t>HAGFORS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42175-2024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46216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46216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25258-2023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45079</v>
      </c>
      <c r="E539" s="1" t="n">
        <v>46216</v>
      </c>
      <c r="F539" t="inlineStr">
        <is>
          <t>VÄRMLANDS LÄN</t>
        </is>
      </c>
      <c r="G539" t="inlineStr">
        <is>
          <t>HAGFORS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12778-2025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45733</v>
      </c>
      <c r="E540" s="1" t="n">
        <v>46216</v>
      </c>
      <c r="F540" t="inlineStr">
        <is>
          <t>VÄRMLANDS LÄN</t>
        </is>
      </c>
      <c r="G540" t="inlineStr">
        <is>
          <t>HAGFORS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33187-2025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46216</v>
      </c>
      <c r="F541" t="inlineStr">
        <is>
          <t>VÄRMLANDS LÄN</t>
        </is>
      </c>
      <c r="G541" t="inlineStr">
        <is>
          <t>HAGFORS</t>
        </is>
      </c>
      <c r="I541" t="n">
        <v>18.2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21451-2024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45441</v>
      </c>
      <c r="E542" s="1" t="n">
        <v>46216</v>
      </c>
      <c r="F542" t="inlineStr">
        <is>
          <t>VÄRMLANDS LÄN</t>
        </is>
      </c>
      <c r="G542" t="inlineStr">
        <is>
          <t>HAGFORS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32147-2023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45107</v>
      </c>
      <c r="E543" s="1" t="n">
        <v>46216</v>
      </c>
      <c r="F543" t="inlineStr">
        <is>
          <t>VÄRMLANDS LÄN</t>
        </is>
      </c>
      <c r="G543" t="inlineStr">
        <is>
          <t>HAGFORS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26628-2024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46216</v>
      </c>
      <c r="F544" t="inlineStr">
        <is>
          <t>VÄRMLANDS LÄN</t>
        </is>
      </c>
      <c r="G544" t="inlineStr">
        <is>
          <t>HAGFORS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49766-2023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45212</v>
      </c>
      <c r="E545" s="1" t="n">
        <v>46216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29492-2024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45484</v>
      </c>
      <c r="E546" s="1" t="n">
        <v>46216</v>
      </c>
      <c r="F546" t="inlineStr">
        <is>
          <t>VÄRMLANDS LÄN</t>
        </is>
      </c>
      <c r="G546" t="inlineStr">
        <is>
          <t>HAGFORS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19993-2026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46136</v>
      </c>
      <c r="E547" s="1" t="n">
        <v>46216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47516-2023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45203</v>
      </c>
      <c r="E548" s="1" t="n">
        <v>46216</v>
      </c>
      <c r="F548" t="inlineStr">
        <is>
          <t>VÄRMLANDS LÄN</t>
        </is>
      </c>
      <c r="G548" t="inlineStr">
        <is>
          <t>HAGFORS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22346-2025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46216</v>
      </c>
      <c r="F549" t="inlineStr">
        <is>
          <t>VÄRMLANDS LÄN</t>
        </is>
      </c>
      <c r="G549" t="inlineStr">
        <is>
          <t>HAGFORS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23179-2025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46216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31657-2024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45506</v>
      </c>
      <c r="E551" s="1" t="n">
        <v>46216</v>
      </c>
      <c r="F551" t="inlineStr">
        <is>
          <t>VÄRMLANDS LÄN</t>
        </is>
      </c>
      <c r="G551" t="inlineStr">
        <is>
          <t>HAGFORS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32688-2025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46216</v>
      </c>
      <c r="F552" t="inlineStr">
        <is>
          <t>VÄRMLANDS LÄN</t>
        </is>
      </c>
      <c r="G552" t="inlineStr">
        <is>
          <t>HAGFORS</t>
        </is>
      </c>
      <c r="H552" t="inlineStr">
        <is>
          <t>Kyrkan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28571-2025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45819</v>
      </c>
      <c r="E553" s="1" t="n">
        <v>46216</v>
      </c>
      <c r="F553" t="inlineStr">
        <is>
          <t>VÄRMLANDS LÄN</t>
        </is>
      </c>
      <c r="G553" t="inlineStr">
        <is>
          <t>HAGFORS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24000-2025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46216</v>
      </c>
      <c r="F554" t="inlineStr">
        <is>
          <t>VÄRMLANDS LÄN</t>
        </is>
      </c>
      <c r="G554" t="inlineStr">
        <is>
          <t>HAGFORS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3846-2023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44951</v>
      </c>
      <c r="E555" s="1" t="n">
        <v>46216</v>
      </c>
      <c r="F555" t="inlineStr">
        <is>
          <t>VÄRMLANDS LÄN</t>
        </is>
      </c>
      <c r="G555" t="inlineStr">
        <is>
          <t>HAGFORS</t>
        </is>
      </c>
      <c r="H555" t="inlineStr">
        <is>
          <t>Kommuner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23047-2024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45450</v>
      </c>
      <c r="E556" s="1" t="n">
        <v>46216</v>
      </c>
      <c r="F556" t="inlineStr">
        <is>
          <t>VÄRMLANDS LÄN</t>
        </is>
      </c>
      <c r="G556" t="inlineStr">
        <is>
          <t>HAGFORS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64936-2023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45282</v>
      </c>
      <c r="E557" s="1" t="n">
        <v>46216</v>
      </c>
      <c r="F557" t="inlineStr">
        <is>
          <t>VÄRMLANDS LÄN</t>
        </is>
      </c>
      <c r="G557" t="inlineStr">
        <is>
          <t>HAGFORS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21724-2025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45783</v>
      </c>
      <c r="E558" s="1" t="n">
        <v>46216</v>
      </c>
      <c r="F558" t="inlineStr">
        <is>
          <t>VÄRMLANDS LÄN</t>
        </is>
      </c>
      <c r="G558" t="inlineStr">
        <is>
          <t>HAGFORS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45684</v>
      </c>
      <c r="E559" s="1" t="n">
        <v>46216</v>
      </c>
      <c r="F559" t="inlineStr">
        <is>
          <t>VÄRMLANDS LÄN</t>
        </is>
      </c>
      <c r="G559" t="inlineStr">
        <is>
          <t>HAGFORS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20682-2024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45436</v>
      </c>
      <c r="E560" s="1" t="n">
        <v>46216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3426-2023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44949</v>
      </c>
      <c r="E561" s="1" t="n">
        <v>46216</v>
      </c>
      <c r="F561" t="inlineStr">
        <is>
          <t>VÄRMLANDS LÄN</t>
        </is>
      </c>
      <c r="G561" t="inlineStr">
        <is>
          <t>HAGFORS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55049-2024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45621</v>
      </c>
      <c r="E562" s="1" t="n">
        <v>46216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30327-2022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44760</v>
      </c>
      <c r="E563" s="1" t="n">
        <v>46216</v>
      </c>
      <c r="F563" t="inlineStr">
        <is>
          <t>VÄRMLANDS LÄN</t>
        </is>
      </c>
      <c r="G563" t="inlineStr">
        <is>
          <t>HAGFORS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32690-2025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46216</v>
      </c>
      <c r="F564" t="inlineStr">
        <is>
          <t>VÄRMLANDS LÄN</t>
        </is>
      </c>
      <c r="G564" t="inlineStr">
        <is>
          <t>HAGFORS</t>
        </is>
      </c>
      <c r="H564" t="inlineStr">
        <is>
          <t>Kyrkan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36764-2025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45873</v>
      </c>
      <c r="E565" s="1" t="n">
        <v>46216</v>
      </c>
      <c r="F565" t="inlineStr">
        <is>
          <t>VÄRMLANDS LÄN</t>
        </is>
      </c>
      <c r="G565" t="inlineStr">
        <is>
          <t>HAGFORS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26615-2024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46216</v>
      </c>
      <c r="F566" t="inlineStr">
        <is>
          <t>VÄRMLANDS LÄN</t>
        </is>
      </c>
      <c r="G566" t="inlineStr">
        <is>
          <t>HAGFORS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19583-2023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45050</v>
      </c>
      <c r="E567" s="1" t="n">
        <v>46216</v>
      </c>
      <c r="F567" t="inlineStr">
        <is>
          <t>VÄRMLANDS LÄN</t>
        </is>
      </c>
      <c r="G567" t="inlineStr">
        <is>
          <t>HAGFORS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26012-2026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46216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34281-2025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46216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25890-2026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46216</v>
      </c>
      <c r="F570" t="inlineStr">
        <is>
          <t>VÄRMLANDS LÄN</t>
        </is>
      </c>
      <c r="G570" t="inlineStr">
        <is>
          <t>HAGFORS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39029-2022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44817</v>
      </c>
      <c r="E571" s="1" t="n">
        <v>46216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3669-2025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45681</v>
      </c>
      <c r="E572" s="1" t="n">
        <v>46216</v>
      </c>
      <c r="F572" t="inlineStr">
        <is>
          <t>VÄRMLANDS LÄN</t>
        </is>
      </c>
      <c r="G572" t="inlineStr">
        <is>
          <t>HAGFORS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15228-2024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45400</v>
      </c>
      <c r="E573" s="1" t="n">
        <v>46216</v>
      </c>
      <c r="F573" t="inlineStr">
        <is>
          <t>VÄRMLANDS LÄN</t>
        </is>
      </c>
      <c r="G573" t="inlineStr">
        <is>
          <t>HAGFORS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34572-2025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45847</v>
      </c>
      <c r="E574" s="1" t="n">
        <v>46216</v>
      </c>
      <c r="F574" t="inlineStr">
        <is>
          <t>VÄRMLANDS LÄN</t>
        </is>
      </c>
      <c r="G574" t="inlineStr">
        <is>
          <t>HAGFORS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68252-2021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44526</v>
      </c>
      <c r="E575" s="1" t="n">
        <v>46216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11744-2024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46216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27410-2023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45097</v>
      </c>
      <c r="E577" s="1" t="n">
        <v>46216</v>
      </c>
      <c r="F577" t="inlineStr">
        <is>
          <t>VÄRMLANDS LÄN</t>
        </is>
      </c>
      <c r="G577" t="inlineStr">
        <is>
          <t>HAGFORS</t>
        </is>
      </c>
      <c r="H577" t="inlineStr">
        <is>
          <t>Kyrkan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34541-2024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45525</v>
      </c>
      <c r="E578" s="1" t="n">
        <v>46216</v>
      </c>
      <c r="F578" t="inlineStr">
        <is>
          <t>VÄRMLANDS LÄN</t>
        </is>
      </c>
      <c r="G578" t="inlineStr">
        <is>
          <t>HAGFORS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19391-2025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46216</v>
      </c>
      <c r="F579" t="inlineStr">
        <is>
          <t>VÄRMLANDS LÄN</t>
        </is>
      </c>
      <c r="G579" t="inlineStr">
        <is>
          <t>HAGFORS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20756-2026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46141</v>
      </c>
      <c r="E580" s="1" t="n">
        <v>46216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40601-2021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44420</v>
      </c>
      <c r="E581" s="1" t="n">
        <v>46216</v>
      </c>
      <c r="F581" t="inlineStr">
        <is>
          <t>VÄRMLANDS LÄN</t>
        </is>
      </c>
      <c r="G581" t="inlineStr">
        <is>
          <t>HAGFORS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20594-2026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46216</v>
      </c>
      <c r="F582" t="inlineStr">
        <is>
          <t>VÄRMLANDS LÄN</t>
        </is>
      </c>
      <c r="G582" t="inlineStr">
        <is>
          <t>HAGFORS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20706-2026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46216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30180-2023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45110</v>
      </c>
      <c r="E584" s="1" t="n">
        <v>46216</v>
      </c>
      <c r="F584" t="inlineStr">
        <is>
          <t>VÄRMLANDS LÄN</t>
        </is>
      </c>
      <c r="G584" t="inlineStr">
        <is>
          <t>HAGFORS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26342-2026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46216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58808-2022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46216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20759-2026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46216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61265-2022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44915</v>
      </c>
      <c r="E588" s="1" t="n">
        <v>46216</v>
      </c>
      <c r="F588" t="inlineStr">
        <is>
          <t>VÄRMLANDS LÄN</t>
        </is>
      </c>
      <c r="G588" t="inlineStr">
        <is>
          <t>HAGFORS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20652-2022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44700</v>
      </c>
      <c r="E589" s="1" t="n">
        <v>46216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20564-2026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46216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26357-2026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46216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18170-2024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45420</v>
      </c>
      <c r="E592" s="1" t="n">
        <v>46216</v>
      </c>
      <c r="F592" t="inlineStr">
        <is>
          <t>VÄRMLANDS LÄN</t>
        </is>
      </c>
      <c r="G592" t="inlineStr">
        <is>
          <t>HAGFORS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58132-2024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45632</v>
      </c>
      <c r="E593" s="1" t="n">
        <v>46216</v>
      </c>
      <c r="F593" t="inlineStr">
        <is>
          <t>VÄRMLANDS LÄN</t>
        </is>
      </c>
      <c r="G593" t="inlineStr">
        <is>
          <t>HAGFORS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31618-2025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46216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3162-2025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45679</v>
      </c>
      <c r="E595" s="1" t="n">
        <v>46216</v>
      </c>
      <c r="F595" t="inlineStr">
        <is>
          <t>VÄRMLANDS LÄN</t>
        </is>
      </c>
      <c r="G595" t="inlineStr">
        <is>
          <t>HAGFORS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20798-2026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46141</v>
      </c>
      <c r="E596" s="1" t="n">
        <v>46216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20752-2026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46141</v>
      </c>
      <c r="E597" s="1" t="n">
        <v>46216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4028-2025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45684</v>
      </c>
      <c r="E598" s="1" t="n">
        <v>46216</v>
      </c>
      <c r="F598" t="inlineStr">
        <is>
          <t>VÄRMLANDS LÄN</t>
        </is>
      </c>
      <c r="G598" t="inlineStr">
        <is>
          <t>HAGFORS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46216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7087-2026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46216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14897-2024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45398</v>
      </c>
      <c r="E601" s="1" t="n">
        <v>46216</v>
      </c>
      <c r="F601" t="inlineStr">
        <is>
          <t>VÄRMLANDS LÄN</t>
        </is>
      </c>
      <c r="G601" t="inlineStr">
        <is>
          <t>HAGFORS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20494-2026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46216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26350-2026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46216</v>
      </c>
      <c r="F603" t="inlineStr">
        <is>
          <t>VÄRMLANDS LÄN</t>
        </is>
      </c>
      <c r="G603" t="inlineStr">
        <is>
          <t>HAGFORS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20729-2026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46216</v>
      </c>
      <c r="F604" t="inlineStr">
        <is>
          <t>VÄRMLANDS LÄN</t>
        </is>
      </c>
      <c r="G604" t="inlineStr">
        <is>
          <t>HAGFORS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26846-2026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46216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18.2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20880-2026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46142</v>
      </c>
      <c r="E606" s="1" t="n">
        <v>46216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56808-2023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45244</v>
      </c>
      <c r="E607" s="1" t="n">
        <v>46216</v>
      </c>
      <c r="F607" t="inlineStr">
        <is>
          <t>VÄRMLANDS LÄN</t>
        </is>
      </c>
      <c r="G607" t="inlineStr">
        <is>
          <t>HAGFORS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44596</v>
      </c>
      <c r="E608" s="1" t="n">
        <v>46216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26612-2026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46216</v>
      </c>
      <c r="F609" t="inlineStr">
        <is>
          <t>VÄRMLANDS LÄN</t>
        </is>
      </c>
      <c r="G609" t="inlineStr">
        <is>
          <t>HAGFORS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26660-2026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46216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26859-2026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46216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26858-2026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46216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20870-2026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46142</v>
      </c>
      <c r="E613" s="1" t="n">
        <v>46216</v>
      </c>
      <c r="F613" t="inlineStr">
        <is>
          <t>VÄRMLANDS LÄN</t>
        </is>
      </c>
      <c r="G613" t="inlineStr">
        <is>
          <t>HAGFORS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20911-2026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46142</v>
      </c>
      <c r="E614" s="1" t="n">
        <v>46216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26864-2026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46216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27394-2026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46189</v>
      </c>
      <c r="E616" s="1" t="n">
        <v>46216</v>
      </c>
      <c r="F616" t="inlineStr">
        <is>
          <t>VÄRMLANDS LÄN</t>
        </is>
      </c>
      <c r="G616" t="inlineStr">
        <is>
          <t>HAGFORS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27472-2026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46189</v>
      </c>
      <c r="E617" s="1" t="n">
        <v>46216</v>
      </c>
      <c r="F617" t="inlineStr">
        <is>
          <t>VÄRMLANDS LÄN</t>
        </is>
      </c>
      <c r="G617" t="inlineStr">
        <is>
          <t>HAGFORS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27280-2026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46216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52378-2021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44465</v>
      </c>
      <c r="E619" s="1" t="n">
        <v>46216</v>
      </c>
      <c r="F619" t="inlineStr">
        <is>
          <t>VÄRMLANDS LÄN</t>
        </is>
      </c>
      <c r="G619" t="inlineStr">
        <is>
          <t>HAGFORS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27268-2026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46216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20060-2023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45054</v>
      </c>
      <c r="E621" s="1" t="n">
        <v>46216</v>
      </c>
      <c r="F621" t="inlineStr">
        <is>
          <t>VÄRMLANDS LÄN</t>
        </is>
      </c>
      <c r="G621" t="inlineStr">
        <is>
          <t>HAGFORS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49753-2023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45212</v>
      </c>
      <c r="E622" s="1" t="n">
        <v>46216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27210-2026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46216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60991-2024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45645</v>
      </c>
      <c r="E624" s="1" t="n">
        <v>46216</v>
      </c>
      <c r="F624" t="inlineStr">
        <is>
          <t>VÄRMLANDS LÄN</t>
        </is>
      </c>
      <c r="G624" t="inlineStr">
        <is>
          <t>HAGFORS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56888-2023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45244</v>
      </c>
      <c r="E625" s="1" t="n">
        <v>46216</v>
      </c>
      <c r="F625" t="inlineStr">
        <is>
          <t>VÄRMLANDS LÄN</t>
        </is>
      </c>
      <c r="G625" t="inlineStr">
        <is>
          <t>HAGFORS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21203-2026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46216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6.7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8304-2022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44610</v>
      </c>
      <c r="E627" s="1" t="n">
        <v>46216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27306-2026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46216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41502-2024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45560</v>
      </c>
      <c r="E629" s="1" t="n">
        <v>46216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21728-2026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46149</v>
      </c>
      <c r="E630" s="1" t="n">
        <v>46216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3557-2023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44950</v>
      </c>
      <c r="E631" s="1" t="n">
        <v>46216</v>
      </c>
      <c r="F631" t="inlineStr">
        <is>
          <t>VÄRMLANDS LÄN</t>
        </is>
      </c>
      <c r="G631" t="inlineStr">
        <is>
          <t>HAGFORS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44950</v>
      </c>
      <c r="E632" s="1" t="n">
        <v>46216</v>
      </c>
      <c r="F632" t="inlineStr">
        <is>
          <t>VÄRMLANDS LÄN</t>
        </is>
      </c>
      <c r="G632" t="inlineStr">
        <is>
          <t>HAGFORS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27855-2026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46191</v>
      </c>
      <c r="E633" s="1" t="n">
        <v>46216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27799-2026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46191</v>
      </c>
      <c r="E634" s="1" t="n">
        <v>46216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33146-2024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45518</v>
      </c>
      <c r="E635" s="1" t="n">
        <v>46216</v>
      </c>
      <c r="F635" t="inlineStr">
        <is>
          <t>VÄRMLANDS LÄN</t>
        </is>
      </c>
      <c r="G635" t="inlineStr">
        <is>
          <t>HAGFORS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42223-2022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44830</v>
      </c>
      <c r="E636" s="1" t="n">
        <v>46216</v>
      </c>
      <c r="F636" t="inlineStr">
        <is>
          <t>VÄRMLANDS LÄN</t>
        </is>
      </c>
      <c r="G636" t="inlineStr">
        <is>
          <t>HAGFORS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19125-2024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45428</v>
      </c>
      <c r="E637" s="1" t="n">
        <v>46216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27929-2026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46191</v>
      </c>
      <c r="E638" s="1" t="n">
        <v>46216</v>
      </c>
      <c r="F638" t="inlineStr">
        <is>
          <t>VÄRMLANDS LÄN</t>
        </is>
      </c>
      <c r="G638" t="inlineStr">
        <is>
          <t>HAGFORS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28185-2026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46216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9.6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21879-2026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46216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21762-2026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46150</v>
      </c>
      <c r="E641" s="1" t="n">
        <v>46216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11241-2024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46216</v>
      </c>
      <c r="F642" t="inlineStr">
        <is>
          <t>VÄRMLANDS LÄN</t>
        </is>
      </c>
      <c r="G642" t="inlineStr">
        <is>
          <t>HAGFORS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18585-2025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45763</v>
      </c>
      <c r="E643" s="1" t="n">
        <v>46216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7.9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21776-2026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46216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8129-2024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45351</v>
      </c>
      <c r="E645" s="1" t="n">
        <v>46216</v>
      </c>
      <c r="F645" t="inlineStr">
        <is>
          <t>VÄRMLANDS LÄN</t>
        </is>
      </c>
      <c r="G645" t="inlineStr">
        <is>
          <t>HAGFORS</t>
        </is>
      </c>
      <c r="H645" t="inlineStr">
        <is>
          <t>Kyrkan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22516-2026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46216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47019-2023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46216</v>
      </c>
      <c r="F647" t="inlineStr">
        <is>
          <t>VÄRMLANDS LÄN</t>
        </is>
      </c>
      <c r="G647" t="inlineStr">
        <is>
          <t>HAGFORS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22588-2026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46216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22572-2026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46216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60664-2023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45259</v>
      </c>
      <c r="E650" s="1" t="n">
        <v>46216</v>
      </c>
      <c r="F650" t="inlineStr">
        <is>
          <t>VÄRMLANDS LÄN</t>
        </is>
      </c>
      <c r="G650" t="inlineStr">
        <is>
          <t>HAGFORS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35775-2024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45532</v>
      </c>
      <c r="E651" s="1" t="n">
        <v>46216</v>
      </c>
      <c r="F651" t="inlineStr">
        <is>
          <t>VÄRMLANDS LÄN</t>
        </is>
      </c>
      <c r="G651" t="inlineStr">
        <is>
          <t>HAGFORS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22667-2026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46216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50929-2023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45211</v>
      </c>
      <c r="E653" s="1" t="n">
        <v>46216</v>
      </c>
      <c r="F653" t="inlineStr">
        <is>
          <t>VÄRMLANDS LÄN</t>
        </is>
      </c>
      <c r="G653" t="inlineStr">
        <is>
          <t>HAGFORS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57359-2022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46216</v>
      </c>
      <c r="F654" t="inlineStr">
        <is>
          <t>VÄRMLANDS LÄN</t>
        </is>
      </c>
      <c r="G654" t="inlineStr">
        <is>
          <t>HAGFORS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41092-2024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46216</v>
      </c>
      <c r="F655" t="inlineStr">
        <is>
          <t>VÄRMLANDS LÄN</t>
        </is>
      </c>
      <c r="G655" t="inlineStr">
        <is>
          <t>HAGFORS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22648-2026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46216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22556-2026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46216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50199-2022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46216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28748-2026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46216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9288-2025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45714</v>
      </c>
      <c r="E660" s="1" t="n">
        <v>46216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28720-2026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46216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58084-2024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45632</v>
      </c>
      <c r="E662" s="1" t="n">
        <v>46216</v>
      </c>
      <c r="F662" t="inlineStr">
        <is>
          <t>VÄRMLANDS LÄN</t>
        </is>
      </c>
      <c r="G662" t="inlineStr">
        <is>
          <t>HAGFORS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19702-2022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44694</v>
      </c>
      <c r="E663" s="1" t="n">
        <v>46216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28788-2026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46216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9.699999999999999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28625-2026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46216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29430-2026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46216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29428-2026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46216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22911-2026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46160</v>
      </c>
      <c r="E668" s="1" t="n">
        <v>46216</v>
      </c>
      <c r="F668" t="inlineStr">
        <is>
          <t>VÄRMLANDS LÄN</t>
        </is>
      </c>
      <c r="G668" t="inlineStr">
        <is>
          <t>HAGFORS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745-2026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46029</v>
      </c>
      <c r="E669" s="1" t="n">
        <v>46216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29102-2026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46200</v>
      </c>
      <c r="E670" s="1" t="n">
        <v>46216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22503-2024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45447</v>
      </c>
      <c r="E671" s="1" t="n">
        <v>46216</v>
      </c>
      <c r="F671" t="inlineStr">
        <is>
          <t>VÄRMLANDS LÄN</t>
        </is>
      </c>
      <c r="G671" t="inlineStr">
        <is>
          <t>HAGFORS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26740-2026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46216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9.5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4279-2024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45324</v>
      </c>
      <c r="E673" s="1" t="n">
        <v>46216</v>
      </c>
      <c r="F673" t="inlineStr">
        <is>
          <t>VÄRMLANDS LÄN</t>
        </is>
      </c>
      <c r="G673" t="inlineStr">
        <is>
          <t>HAGFORS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920-2022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44571</v>
      </c>
      <c r="E674" s="1" t="n">
        <v>46216</v>
      </c>
      <c r="F674" t="inlineStr">
        <is>
          <t>VÄRMLANDS LÄN</t>
        </is>
      </c>
      <c r="G674" t="inlineStr">
        <is>
          <t>HAGFORS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29103-2026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46200</v>
      </c>
      <c r="E675" s="1" t="n">
        <v>46216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22332-2024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45446</v>
      </c>
      <c r="E676" s="1" t="n">
        <v>46216</v>
      </c>
      <c r="F676" t="inlineStr">
        <is>
          <t>VÄRMLANDS LÄN</t>
        </is>
      </c>
      <c r="G676" t="inlineStr">
        <is>
          <t>HAGFORS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12426-2024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45379</v>
      </c>
      <c r="E677" s="1" t="n">
        <v>46216</v>
      </c>
      <c r="F677" t="inlineStr">
        <is>
          <t>VÄRMLANDS LÄN</t>
        </is>
      </c>
      <c r="G677" t="inlineStr">
        <is>
          <t>HAGFORS</t>
        </is>
      </c>
      <c r="I677" t="n">
        <v>0.1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8922-2025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45713</v>
      </c>
      <c r="E678" s="1" t="n">
        <v>46216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29438-2026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46216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29427-2026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46203</v>
      </c>
      <c r="E680" s="1" t="n">
        <v>46216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29422-2026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46216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17882-2025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45758</v>
      </c>
      <c r="E682" s="1" t="n">
        <v>46216</v>
      </c>
      <c r="F682" t="inlineStr">
        <is>
          <t>VÄRMLANDS LÄN</t>
        </is>
      </c>
      <c r="G682" t="inlineStr">
        <is>
          <t>HAGFORS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7332-2025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45703</v>
      </c>
      <c r="E683" s="1" t="n">
        <v>46216</v>
      </c>
      <c r="F683" t="inlineStr">
        <is>
          <t>VÄRMLANDS LÄN</t>
        </is>
      </c>
      <c r="G683" t="inlineStr">
        <is>
          <t>HAGFORS</t>
        </is>
      </c>
      <c r="H683" t="inlineStr">
        <is>
          <t>Kyrkan</t>
        </is>
      </c>
      <c r="I683" t="n">
        <v>15.9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23016-2026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46161</v>
      </c>
      <c r="E684" s="1" t="n">
        <v>46216</v>
      </c>
      <c r="F684" t="inlineStr">
        <is>
          <t>VÄRMLANDS LÄN</t>
        </is>
      </c>
      <c r="G684" t="inlineStr">
        <is>
          <t>HAGFORS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17329-2024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45414</v>
      </c>
      <c r="E685" s="1" t="n">
        <v>46216</v>
      </c>
      <c r="F685" t="inlineStr">
        <is>
          <t>VÄRMLANDS LÄN</t>
        </is>
      </c>
      <c r="G685" t="inlineStr">
        <is>
          <t>HAGFORS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23129-2026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46161</v>
      </c>
      <c r="E686" s="1" t="n">
        <v>46216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8.699999999999999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22925-2026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46216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3980-2025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45684</v>
      </c>
      <c r="E688" s="1" t="n">
        <v>46216</v>
      </c>
      <c r="F688" t="inlineStr">
        <is>
          <t>VÄRMLANDS LÄN</t>
        </is>
      </c>
      <c r="G688" t="inlineStr">
        <is>
          <t>HAGFORS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52924-2023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45226</v>
      </c>
      <c r="E689" s="1" t="n">
        <v>46216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22917-2026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46160</v>
      </c>
      <c r="E690" s="1" t="n">
        <v>46216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31087-2024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45502</v>
      </c>
      <c r="E691" s="1" t="n">
        <v>46216</v>
      </c>
      <c r="F691" t="inlineStr">
        <is>
          <t>VÄRMLANDS LÄN</t>
        </is>
      </c>
      <c r="G691" t="inlineStr">
        <is>
          <t>HAGFORS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1710-2025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45671</v>
      </c>
      <c r="E692" s="1" t="n">
        <v>46216</v>
      </c>
      <c r="F692" t="inlineStr">
        <is>
          <t>VÄRMLANDS LÄN</t>
        </is>
      </c>
      <c r="G692" t="inlineStr">
        <is>
          <t>HAGFORS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48276-2024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45590</v>
      </c>
      <c r="E693" s="1" t="n">
        <v>46216</v>
      </c>
      <c r="F693" t="inlineStr">
        <is>
          <t>VÄRMLANDS LÄN</t>
        </is>
      </c>
      <c r="G693" t="inlineStr">
        <is>
          <t>HAGFORS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23549-2026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46216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54751-2022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44883</v>
      </c>
      <c r="E695" s="1" t="n">
        <v>46216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32149-2023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45107</v>
      </c>
      <c r="E696" s="1" t="n">
        <v>46216</v>
      </c>
      <c r="F696" t="inlineStr">
        <is>
          <t>VÄRMLANDS LÄN</t>
        </is>
      </c>
      <c r="G696" t="inlineStr">
        <is>
          <t>HAGFORS</t>
        </is>
      </c>
      <c r="I696" t="n">
        <v>9.1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52494-2024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45609</v>
      </c>
      <c r="E697" s="1" t="n">
        <v>46216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5338-2025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45692</v>
      </c>
      <c r="E698" s="1" t="n">
        <v>46216</v>
      </c>
      <c r="F698" t="inlineStr">
        <is>
          <t>VÄRMLANDS LÄN</t>
        </is>
      </c>
      <c r="G698" t="inlineStr">
        <is>
          <t>HAGFORS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51015-2025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45947</v>
      </c>
      <c r="E699" s="1" t="n">
        <v>46216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10562-2024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45366</v>
      </c>
      <c r="E700" s="1" t="n">
        <v>46216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5482-2022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44595</v>
      </c>
      <c r="E701" s="1" t="n">
        <v>46216</v>
      </c>
      <c r="F701" t="inlineStr">
        <is>
          <t>VÄRMLANDS LÄN</t>
        </is>
      </c>
      <c r="G701" t="inlineStr">
        <is>
          <t>HAGFORS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52016-2025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45952</v>
      </c>
      <c r="E702" s="1" t="n">
        <v>46216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9.800000000000001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52691-2025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45956</v>
      </c>
      <c r="E703" s="1" t="n">
        <v>46216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28.2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29400-2026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46216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36494-2025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45869</v>
      </c>
      <c r="E705" s="1" t="n">
        <v>46216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23525-2026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46216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29580-2026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46216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60167-2023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45258</v>
      </c>
      <c r="E708" s="1" t="n">
        <v>46216</v>
      </c>
      <c r="F708" t="inlineStr">
        <is>
          <t>VÄRMLANDS LÄN</t>
        </is>
      </c>
      <c r="G708" t="inlineStr">
        <is>
          <t>HAGFORS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60178-2023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45258</v>
      </c>
      <c r="E709" s="1" t="n">
        <v>46216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23269-2026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46216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30153-2026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46216</v>
      </c>
      <c r="F711" t="inlineStr">
        <is>
          <t>VÄRMLANDS LÄN</t>
        </is>
      </c>
      <c r="G711" t="inlineStr">
        <is>
          <t>HAGFORS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4748-2024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45328</v>
      </c>
      <c r="E712" s="1" t="n">
        <v>46216</v>
      </c>
      <c r="F712" t="inlineStr">
        <is>
          <t>VÄRMLANDS LÄN</t>
        </is>
      </c>
      <c r="G712" t="inlineStr">
        <is>
          <t>HAGFORS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45029</v>
      </c>
      <c r="E713" s="1" t="n">
        <v>46216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41603-2023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45175</v>
      </c>
      <c r="E714" s="1" t="n">
        <v>46216</v>
      </c>
      <c r="F714" t="inlineStr">
        <is>
          <t>VÄRMLANDS LÄN</t>
        </is>
      </c>
      <c r="G714" t="inlineStr">
        <is>
          <t>HAGFORS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30436-2026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46216</v>
      </c>
      <c r="F715" t="inlineStr">
        <is>
          <t>VÄRMLANDS LÄN</t>
        </is>
      </c>
      <c r="G715" t="inlineStr">
        <is>
          <t>HAGFORS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30437-2026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46216</v>
      </c>
      <c r="F716" t="inlineStr">
        <is>
          <t>VÄRMLANDS LÄN</t>
        </is>
      </c>
      <c r="G716" t="inlineStr">
        <is>
          <t>HAGFORS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12673-2024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45384</v>
      </c>
      <c r="E717" s="1" t="n">
        <v>46216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23728-2026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46164</v>
      </c>
      <c r="E718" s="1" t="n">
        <v>46216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11367-2025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45726</v>
      </c>
      <c r="E719" s="1" t="n">
        <v>46216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56895-2023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45244</v>
      </c>
      <c r="E720" s="1" t="n">
        <v>46216</v>
      </c>
      <c r="F720" t="inlineStr">
        <is>
          <t>VÄRMLANDS LÄN</t>
        </is>
      </c>
      <c r="G720" t="inlineStr">
        <is>
          <t>HAGFORS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2371-2025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45673</v>
      </c>
      <c r="E721" s="1" t="n">
        <v>46216</v>
      </c>
      <c r="F721" t="inlineStr">
        <is>
          <t>VÄRMLANDS LÄN</t>
        </is>
      </c>
      <c r="G721" t="inlineStr">
        <is>
          <t>HAGFORS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30167-2026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46216</v>
      </c>
      <c r="F722" t="inlineStr">
        <is>
          <t>VÄRMLANDS LÄN</t>
        </is>
      </c>
      <c r="G722" t="inlineStr">
        <is>
          <t>HAGFORS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42150-2024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45562</v>
      </c>
      <c r="E723" s="1" t="n">
        <v>46216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30433-2026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46209</v>
      </c>
      <c r="E724" s="1" t="n">
        <v>46216</v>
      </c>
      <c r="F724" t="inlineStr">
        <is>
          <t>VÄRMLANDS LÄN</t>
        </is>
      </c>
      <c r="G724" t="inlineStr">
        <is>
          <t>HAGFORS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23678-2026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46164</v>
      </c>
      <c r="E725" s="1" t="n">
        <v>46216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40835-2023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45172</v>
      </c>
      <c r="E726" s="1" t="n">
        <v>46216</v>
      </c>
      <c r="F726" t="inlineStr">
        <is>
          <t>VÄRMLANDS LÄN</t>
        </is>
      </c>
      <c r="G726" t="inlineStr">
        <is>
          <t>HAGFORS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47028-2023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45201</v>
      </c>
      <c r="E727" s="1" t="n">
        <v>46216</v>
      </c>
      <c r="F727" t="inlineStr">
        <is>
          <t>VÄRMLANDS LÄN</t>
        </is>
      </c>
      <c r="G727" t="inlineStr">
        <is>
          <t>HAGFORS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29950-2026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46216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30520-2024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45492</v>
      </c>
      <c r="E729" s="1" t="n">
        <v>46216</v>
      </c>
      <c r="F729" t="inlineStr">
        <is>
          <t>VÄRMLANDS LÄN</t>
        </is>
      </c>
      <c r="G729" t="inlineStr">
        <is>
          <t>HAGFORS</t>
        </is>
      </c>
      <c r="H729" t="inlineStr">
        <is>
          <t>Kyrkan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30635-2025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45831</v>
      </c>
      <c r="E730" s="1" t="n">
        <v>46216</v>
      </c>
      <c r="F730" t="inlineStr">
        <is>
          <t>VÄRMLANDS LÄN</t>
        </is>
      </c>
      <c r="G730" t="inlineStr">
        <is>
          <t>HAGFORS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30642-2025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45831</v>
      </c>
      <c r="E731" s="1" t="n">
        <v>46216</v>
      </c>
      <c r="F731" t="inlineStr">
        <is>
          <t>VÄRMLANDS LÄN</t>
        </is>
      </c>
      <c r="G731" t="inlineStr">
        <is>
          <t>HAGFORS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33399-2024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45519</v>
      </c>
      <c r="E732" s="1" t="n">
        <v>46216</v>
      </c>
      <c r="F732" t="inlineStr">
        <is>
          <t>VÄRMLANDS LÄN</t>
        </is>
      </c>
      <c r="G732" t="inlineStr">
        <is>
          <t>HAGFORS</t>
        </is>
      </c>
      <c r="I732" t="n">
        <v>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30141-2026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46216</v>
      </c>
      <c r="F733" t="inlineStr">
        <is>
          <t>VÄRMLANDS LÄN</t>
        </is>
      </c>
      <c r="G733" t="inlineStr">
        <is>
          <t>HAGFORS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30629-2026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46211</v>
      </c>
      <c r="E734" s="1" t="n">
        <v>46216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10236-2022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44622</v>
      </c>
      <c r="E735" s="1" t="n">
        <v>46216</v>
      </c>
      <c r="F735" t="inlineStr">
        <is>
          <t>VÄRMLANDS LÄN</t>
        </is>
      </c>
      <c r="G735" t="inlineStr">
        <is>
          <t>HAGFORS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24238-2026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46216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8.1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24240-2026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46216</v>
      </c>
      <c r="F737" t="inlineStr">
        <is>
          <t>VÄRMLANDS LÄN</t>
        </is>
      </c>
      <c r="G737" t="inlineStr">
        <is>
          <t>HAGFORS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46792-2022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44851</v>
      </c>
      <c r="E738" s="1" t="n">
        <v>46216</v>
      </c>
      <c r="F738" t="inlineStr">
        <is>
          <t>VÄRMLANDS LÄN</t>
        </is>
      </c>
      <c r="G738" t="inlineStr">
        <is>
          <t>HAGFORS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32033-2024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45510</v>
      </c>
      <c r="E739" s="1" t="n">
        <v>46216</v>
      </c>
      <c r="F739" t="inlineStr">
        <is>
          <t>VÄRMLANDS LÄN</t>
        </is>
      </c>
      <c r="G739" t="inlineStr">
        <is>
          <t>HAGFORS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54744-2024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46216</v>
      </c>
      <c r="F740" t="inlineStr">
        <is>
          <t>VÄRMLANDS LÄN</t>
        </is>
      </c>
      <c r="G740" t="inlineStr">
        <is>
          <t>HAGFORS</t>
        </is>
      </c>
      <c r="H740" t="inlineStr">
        <is>
          <t>Kyrkan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39640-2022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44817</v>
      </c>
      <c r="E741" s="1" t="n">
        <v>46216</v>
      </c>
      <c r="F741" t="inlineStr">
        <is>
          <t>VÄRMLANDS LÄN</t>
        </is>
      </c>
      <c r="G741" t="inlineStr">
        <is>
          <t>HAGFORS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1931-2024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45308</v>
      </c>
      <c r="E742" s="1" t="n">
        <v>46216</v>
      </c>
      <c r="F742" t="inlineStr">
        <is>
          <t>VÄRMLANDS LÄN</t>
        </is>
      </c>
      <c r="G742" t="inlineStr">
        <is>
          <t>HAGFORS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24626-2026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46171</v>
      </c>
      <c r="E743" s="1" t="n">
        <v>46216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24761-2026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46171</v>
      </c>
      <c r="E744" s="1" t="n">
        <v>46216</v>
      </c>
      <c r="F744" t="inlineStr">
        <is>
          <t>VÄRMLANDS LÄN</t>
        </is>
      </c>
      <c r="G744" t="inlineStr">
        <is>
          <t>HAGFORS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57159-2024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45629</v>
      </c>
      <c r="E745" s="1" t="n">
        <v>46216</v>
      </c>
      <c r="F745" t="inlineStr">
        <is>
          <t>VÄRMLANDS LÄN</t>
        </is>
      </c>
      <c r="G745" t="inlineStr">
        <is>
          <t>HAGFORS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30914-2026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46213</v>
      </c>
      <c r="E746" s="1" t="n">
        <v>46216</v>
      </c>
      <c r="F746" t="inlineStr">
        <is>
          <t>VÄRMLANDS LÄN</t>
        </is>
      </c>
      <c r="G746" t="inlineStr">
        <is>
          <t>HAGFORS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24628-2026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46171</v>
      </c>
      <c r="E747" s="1" t="n">
        <v>46216</v>
      </c>
      <c r="F747" t="inlineStr">
        <is>
          <t>VÄRMLANDS LÄN</t>
        </is>
      </c>
      <c r="G747" t="inlineStr">
        <is>
          <t>HAGFORS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24699-2026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46171</v>
      </c>
      <c r="E748" s="1" t="n">
        <v>46216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24778-2026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46171</v>
      </c>
      <c r="E749" s="1" t="n">
        <v>46216</v>
      </c>
      <c r="F749" t="inlineStr">
        <is>
          <t>VÄRMLANDS LÄN</t>
        </is>
      </c>
      <c r="G749" t="inlineStr">
        <is>
          <t>HAGFORS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34404-2023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45132</v>
      </c>
      <c r="E750" s="1" t="n">
        <v>46216</v>
      </c>
      <c r="F750" t="inlineStr">
        <is>
          <t>VÄRMLANDS LÄN</t>
        </is>
      </c>
      <c r="G750" t="inlineStr">
        <is>
          <t>HAGFORS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11160-2025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45723</v>
      </c>
      <c r="E751" s="1" t="n">
        <v>46216</v>
      </c>
      <c r="F751" t="inlineStr">
        <is>
          <t>VÄRMLANDS LÄN</t>
        </is>
      </c>
      <c r="G751" t="inlineStr">
        <is>
          <t>HAGFORS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43998-2024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45572</v>
      </c>
      <c r="E752" s="1" t="n">
        <v>46216</v>
      </c>
      <c r="F752" t="inlineStr">
        <is>
          <t>VÄRMLANDS LÄN</t>
        </is>
      </c>
      <c r="G752" t="inlineStr">
        <is>
          <t>HAGFORS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13282-2024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45386</v>
      </c>
      <c r="E753" s="1" t="n">
        <v>46216</v>
      </c>
      <c r="F753" t="inlineStr">
        <is>
          <t>VÄRMLANDS LÄN</t>
        </is>
      </c>
      <c r="G753" t="inlineStr">
        <is>
          <t>HAGFORS</t>
        </is>
      </c>
      <c r="H753" t="inlineStr">
        <is>
          <t>Kommuner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24625-2026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46171</v>
      </c>
      <c r="E754" s="1" t="n">
        <v>46216</v>
      </c>
      <c r="F754" t="inlineStr">
        <is>
          <t>VÄRMLANDS LÄN</t>
        </is>
      </c>
      <c r="G754" t="inlineStr">
        <is>
          <t>HAGFORS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24713-2026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46171</v>
      </c>
      <c r="E755" s="1" t="n">
        <v>46216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44728-2023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45190</v>
      </c>
      <c r="E756" s="1" t="n">
        <v>46216</v>
      </c>
      <c r="F756" t="inlineStr">
        <is>
          <t>VÄRMLANDS LÄN</t>
        </is>
      </c>
      <c r="G756" t="inlineStr">
        <is>
          <t>HAGFORS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42168-2024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45562</v>
      </c>
      <c r="E757" s="1" t="n">
        <v>46216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42170-2024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46216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42171-2024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46216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42243-2024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46216</v>
      </c>
      <c r="F760" t="inlineStr">
        <is>
          <t>VÄRMLANDS LÄN</t>
        </is>
      </c>
      <c r="G760" t="inlineStr">
        <is>
          <t>HAGFORS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6980-2022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44603</v>
      </c>
      <c r="E761" s="1" t="n">
        <v>46216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24677-2026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46171</v>
      </c>
      <c r="E762" s="1" t="n">
        <v>46216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36013-2023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45149</v>
      </c>
      <c r="E763" s="1" t="n">
        <v>46216</v>
      </c>
      <c r="F763" t="inlineStr">
        <is>
          <t>VÄRMLANDS LÄN</t>
        </is>
      </c>
      <c r="G763" t="inlineStr">
        <is>
          <t>HAGFORS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61311-2023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46216</v>
      </c>
      <c r="F764" t="inlineStr">
        <is>
          <t>VÄRMLANDS LÄN</t>
        </is>
      </c>
      <c r="G764" t="inlineStr">
        <is>
          <t>HAGFORS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61315-2023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46216</v>
      </c>
      <c r="F765" t="inlineStr">
        <is>
          <t>VÄRMLANDS LÄN</t>
        </is>
      </c>
      <c r="G765" t="inlineStr">
        <is>
          <t>HAGFORS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18907-2025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45764</v>
      </c>
      <c r="E766" s="1" t="n">
        <v>46216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17305-2023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45035</v>
      </c>
      <c r="E767" s="1" t="n">
        <v>46216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31178-2022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44770</v>
      </c>
      <c r="E768" s="1" t="n">
        <v>46216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59552-2024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45638</v>
      </c>
      <c r="E769" s="1" t="n">
        <v>46216</v>
      </c>
      <c r="F769" t="inlineStr">
        <is>
          <t>VÄRMLANDS LÄN</t>
        </is>
      </c>
      <c r="G769" t="inlineStr">
        <is>
          <t>HAGFORS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21067-2025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45777</v>
      </c>
      <c r="E770" s="1" t="n">
        <v>46216</v>
      </c>
      <c r="F770" t="inlineStr">
        <is>
          <t>VÄRMLANDS LÄN</t>
        </is>
      </c>
      <c r="G770" t="inlineStr">
        <is>
          <t>HAGFORS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21723-2025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45783</v>
      </c>
      <c r="E771" s="1" t="n">
        <v>46216</v>
      </c>
      <c r="F771" t="inlineStr">
        <is>
          <t>VÄRMLANDS LÄN</t>
        </is>
      </c>
      <c r="G771" t="inlineStr">
        <is>
          <t>HAGFORS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21729-2025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46216</v>
      </c>
      <c r="F772" t="inlineStr">
        <is>
          <t>VÄRMLANDS LÄN</t>
        </is>
      </c>
      <c r="G772" t="inlineStr">
        <is>
          <t>HAGFORS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24680-2024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45460</v>
      </c>
      <c r="E773" s="1" t="n">
        <v>46216</v>
      </c>
      <c r="F773" t="inlineStr">
        <is>
          <t>VÄRMLANDS LÄN</t>
        </is>
      </c>
      <c r="G773" t="inlineStr">
        <is>
          <t>HAGFORS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17833-2022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44683</v>
      </c>
      <c r="E774" s="1" t="n">
        <v>46216</v>
      </c>
      <c r="F774" t="inlineStr">
        <is>
          <t>VÄRMLANDS LÄN</t>
        </is>
      </c>
      <c r="G774" t="inlineStr">
        <is>
          <t>HAGFORS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47425-2024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45587</v>
      </c>
      <c r="E775" s="1" t="n">
        <v>46216</v>
      </c>
      <c r="F775" t="inlineStr">
        <is>
          <t>VÄRMLANDS LÄN</t>
        </is>
      </c>
      <c r="G775" t="inlineStr">
        <is>
          <t>HAGFORS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22231-2025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46216</v>
      </c>
      <c r="F776" t="inlineStr">
        <is>
          <t>VÄRMLANDS LÄN</t>
        </is>
      </c>
      <c r="G776" t="inlineStr">
        <is>
          <t>HAGFORS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40332-2023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45169</v>
      </c>
      <c r="E777" s="1" t="n">
        <v>46216</v>
      </c>
      <c r="F777" t="inlineStr">
        <is>
          <t>VÄRMLANDS LÄN</t>
        </is>
      </c>
      <c r="G777" t="inlineStr">
        <is>
          <t>HAGFORS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22799-2025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46216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22461-2025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45786</v>
      </c>
      <c r="E779" s="1" t="n">
        <v>46216</v>
      </c>
      <c r="F779" t="inlineStr">
        <is>
          <t>VÄRMLANDS LÄN</t>
        </is>
      </c>
      <c r="G779" t="inlineStr">
        <is>
          <t>HAGFORS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23268-2025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45791</v>
      </c>
      <c r="E780" s="1" t="n">
        <v>46216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22917-2025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45790</v>
      </c>
      <c r="E781" s="1" t="n">
        <v>46216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38239-2024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45545</v>
      </c>
      <c r="E782" s="1" t="n">
        <v>46216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22964-2025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45790</v>
      </c>
      <c r="E783" s="1" t="n">
        <v>46216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55950-2024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46216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23556-2025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45792</v>
      </c>
      <c r="E785" s="1" t="n">
        <v>46216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23525-2025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45792</v>
      </c>
      <c r="E786" s="1" t="n">
        <v>46216</v>
      </c>
      <c r="F786" t="inlineStr">
        <is>
          <t>VÄRMLANDS LÄN</t>
        </is>
      </c>
      <c r="G786" t="inlineStr">
        <is>
          <t>HAGFORS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23674-2025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46216</v>
      </c>
      <c r="F787" t="inlineStr">
        <is>
          <t>VÄRMLANDS LÄN</t>
        </is>
      </c>
      <c r="G787" t="inlineStr">
        <is>
          <t>HAGFORS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23712-2025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46216</v>
      </c>
      <c r="F788" t="inlineStr">
        <is>
          <t>VÄRMLANDS LÄN</t>
        </is>
      </c>
      <c r="G788" t="inlineStr">
        <is>
          <t>HAGFORS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54008-2024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45615</v>
      </c>
      <c r="E789" s="1" t="n">
        <v>46216</v>
      </c>
      <c r="F789" t="inlineStr">
        <is>
          <t>VÄRMLANDS LÄN</t>
        </is>
      </c>
      <c r="G789" t="inlineStr">
        <is>
          <t>HAGFORS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16798-2025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45754</v>
      </c>
      <c r="E790" s="1" t="n">
        <v>46216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15643-2024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45404</v>
      </c>
      <c r="E791" s="1" t="n">
        <v>46216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24434-2025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46216</v>
      </c>
      <c r="F792" t="inlineStr">
        <is>
          <t>VÄRMLANDS LÄN</t>
        </is>
      </c>
      <c r="G792" t="inlineStr">
        <is>
          <t>HAGFORS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24435-2025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45797</v>
      </c>
      <c r="E793" s="1" t="n">
        <v>46216</v>
      </c>
      <c r="F793" t="inlineStr">
        <is>
          <t>VÄRMLANDS LÄN</t>
        </is>
      </c>
      <c r="G793" t="inlineStr">
        <is>
          <t>HAGFORS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24438-2025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45797</v>
      </c>
      <c r="E794" s="1" t="n">
        <v>46216</v>
      </c>
      <c r="F794" t="inlineStr">
        <is>
          <t>VÄRMLANDS LÄN</t>
        </is>
      </c>
      <c r="G794" t="inlineStr">
        <is>
          <t>HAGFORS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13524-2025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45736</v>
      </c>
      <c r="E795" s="1" t="n">
        <v>46216</v>
      </c>
      <c r="F795" t="inlineStr">
        <is>
          <t>VÄRMLANDS LÄN</t>
        </is>
      </c>
      <c r="G795" t="inlineStr">
        <is>
          <t>HAGFORS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46216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46216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46216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46216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46216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46216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46216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46216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46216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46216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46216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46216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46216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46216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46216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46216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46216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46216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46216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46216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46216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46216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46216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46216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46216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46216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46216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46216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46216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46216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46216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46216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46216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46216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46216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46216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46216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46216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46216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46216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46216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2026-07-13T14:51:38Z</dcterms:created>
  <dcterms:modified xmlns:dcterms="http://purl.org/dc/terms/" xmlns:xsi="http://www.w3.org/2001/XMLSchema-instance" xsi:type="dcterms:W3CDTF">2026-07-13T14:51:39Z</dcterms:modified>
</cp:coreProperties>
</file>