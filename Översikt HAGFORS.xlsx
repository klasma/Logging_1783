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39627-2023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45167</v>
      </c>
      <c r="E2" s="1" t="n">
        <v>46305</v>
      </c>
      <c r="F2" t="inlineStr">
        <is>
          <t>VÄRMLANDS LÄN</t>
        </is>
      </c>
      <c r="G2" t="inlineStr">
        <is>
          <t>HAGFORS</t>
        </is>
      </c>
      <c r="I2" t="n">
        <v>20.2</v>
      </c>
      <c r="J2" t="n">
        <v>0</v>
      </c>
      <c r="K2" t="n">
        <v>3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12</v>
      </c>
      <c r="T2" t="n">
        <v>18</v>
      </c>
      <c r="U2" t="n">
        <v>11</v>
      </c>
      <c r="V2" s="2" t="inlineStr">
        <is>
          <t>Dropptaggsvamp
Dvärgbägarlav
Kolflarnlav
Kortskaftad ärgspik
Lunglav
Skuggblåslav
Smal trollknäppare
Vedskivlav
Vedtrappmossa
Bårdlav
Korallblylav
Vedticka</t>
        </is>
      </c>
      <c r="W2">
        <f>HYPERLINK("https://klasma.github.io/Logging_1783/artfynd/A 39627-2023 artfynd.xlsx", "A 39627-2023")</f>
        <v/>
      </c>
      <c r="X2">
        <f>HYPERLINK("https://klasma.github.io/Logging_1783/kartor/A 39627-2023 karta.png", "A 39627-2023")</f>
        <v/>
      </c>
      <c r="Y2">
        <f>HYPERLINK("https://klasma.github.io/Logging_1783/kartor_geotiff/A 39627-2023 georefererad karta.tif", "A 39627-2023")</f>
        <v/>
      </c>
      <c r="AA2">
        <f>HYPERLINK("https://klasma.github.io/Logging_1783/klagomål/A 39627-2023 FSC-klagomål.docx", "A 39627-2023")</f>
        <v/>
      </c>
      <c r="AB2">
        <f>HYPERLINK("https://klasma.github.io/Logging_1783/klagomålsmail/A 39627-2023 FSC-klagomål mail.docx", "A 39627-2023")</f>
        <v/>
      </c>
      <c r="AC2">
        <f>HYPERLINK("https://klasma.github.io/Logging_1783/tillsyn/A 39627-2023 tillsynsbegäran.docx", "A 39627-2023")</f>
        <v/>
      </c>
      <c r="AD2">
        <f>HYPERLINK("https://klasma.github.io/Logging_1783/tillsynsmail/A 39627-2023 tillsynsbegäran mail.docx", "A 39627-2023")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46305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46305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46305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46305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46305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46305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46305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46305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46305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46305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46305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46305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46305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46305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46305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46305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46305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46305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46305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46305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59330-2024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46305</v>
      </c>
      <c r="F23" t="inlineStr">
        <is>
          <t>VÄRMLANDS LÄN</t>
        </is>
      </c>
      <c r="G23" t="inlineStr">
        <is>
          <t>HAGFORS</t>
        </is>
      </c>
      <c r="I23" t="n">
        <v>3.7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Gränsticka
Utter</t>
        </is>
      </c>
      <c r="W23">
        <f>HYPERLINK("https://klasma.github.io/Logging_1783/artfynd/A 59330-2024 artfynd.xlsx", "A 59330-2024")</f>
        <v/>
      </c>
      <c r="X23">
        <f>HYPERLINK("https://klasma.github.io/Logging_1783/kartor/A 59330-2024 karta.png", "A 59330-2024")</f>
        <v/>
      </c>
      <c r="Y23">
        <f>HYPERLINK("https://klasma.github.io/Logging_1783/kartor_geotiff/A 59330-2024 georefererad karta.tif", "A 59330-2024")</f>
        <v/>
      </c>
      <c r="AA23">
        <f>HYPERLINK("https://klasma.github.io/Logging_1783/klagomål/A 59330-2024 FSC-klagomål.docx", "A 59330-2024")</f>
        <v/>
      </c>
      <c r="AB23">
        <f>HYPERLINK("https://klasma.github.io/Logging_1783/klagomålsmail/A 59330-2024 FSC-klagomål mail.docx", "A 59330-2024")</f>
        <v/>
      </c>
      <c r="AC23">
        <f>HYPERLINK("https://klasma.github.io/Logging_1783/tillsyn/A 59330-2024 tillsynsbegäran.docx", "A 59330-2024")</f>
        <v/>
      </c>
      <c r="AD23">
        <f>HYPERLINK("https://klasma.github.io/Logging_1783/tillsynsmail/A 59330-2024 tillsynsbegäran mail.docx", "A 59330-2024")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46305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46305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46305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46305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46305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46305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46305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46305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46305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21309-2023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45062</v>
      </c>
      <c r="E33" s="1" t="n">
        <v>46305</v>
      </c>
      <c r="F33" t="inlineStr">
        <is>
          <t>VÄRMLANDS LÄN</t>
        </is>
      </c>
      <c r="G33" t="inlineStr">
        <is>
          <t>HAGFORS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3</v>
      </c>
      <c r="V33" s="2" t="inlineStr">
        <is>
          <t>Kattfot</t>
        </is>
      </c>
      <c r="W33">
        <f>HYPERLINK("https://klasma.github.io/Logging_1783/artfynd/A 21309-2023 artfynd.xlsx", "A 21309-2023")</f>
        <v/>
      </c>
      <c r="X33">
        <f>HYPERLINK("https://klasma.github.io/Logging_1783/kartor/A 21309-2023 karta.png", "A 21309-2023")</f>
        <v/>
      </c>
      <c r="Y33">
        <f>HYPERLINK("https://klasma.github.io/Logging_1783/kartor_geotiff/A 21309-2023 georefererad karta.tif", "A 21309-2023")</f>
        <v/>
      </c>
      <c r="AA33">
        <f>HYPERLINK("https://klasma.github.io/Logging_1783/klagomål/A 21309-2023 FSC-klagomål.docx", "A 21309-2023")</f>
        <v/>
      </c>
      <c r="AB33">
        <f>HYPERLINK("https://klasma.github.io/Logging_1783/klagomålsmail/A 21309-2023 FSC-klagomål mail.docx", "A 21309-2023")</f>
        <v/>
      </c>
      <c r="AC33">
        <f>HYPERLINK("https://klasma.github.io/Logging_1783/tillsyn/A 21309-2023 tillsynsbegäran.docx", "A 21309-2023")</f>
        <v/>
      </c>
      <c r="AD33">
        <f>HYPERLINK("https://klasma.github.io/Logging_1783/tillsynsmail/A 21309-2023 tillsynsbegäran mail.docx", "A 21309-2023")</f>
        <v/>
      </c>
    </row>
    <row r="34" ht="15" customHeight="1">
      <c r="A34" t="inlineStr">
        <is>
          <t>A 56083-2022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44889</v>
      </c>
      <c r="E34" s="1" t="n">
        <v>46305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19.1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Dropptaggsvamp</t>
        </is>
      </c>
      <c r="W34">
        <f>HYPERLINK("https://klasma.github.io/Logging_1783/artfynd/A 56083-2022 artfynd.xlsx", "A 56083-2022")</f>
        <v/>
      </c>
      <c r="X34">
        <f>HYPERLINK("https://klasma.github.io/Logging_1783/kartor/A 56083-2022 karta.png", "A 56083-2022")</f>
        <v/>
      </c>
      <c r="Y34">
        <f>HYPERLINK("https://klasma.github.io/Logging_1783/kartor_geotiff/A 56083-2022 georefererad karta.tif", "A 56083-2022")</f>
        <v/>
      </c>
      <c r="AA34">
        <f>HYPERLINK("https://klasma.github.io/Logging_1783/klagomål/A 56083-2022 FSC-klagomål.docx", "A 56083-2022")</f>
        <v/>
      </c>
      <c r="AB34">
        <f>HYPERLINK("https://klasma.github.io/Logging_1783/klagomålsmail/A 56083-2022 FSC-klagomål mail.docx", "A 56083-2022")</f>
        <v/>
      </c>
      <c r="AC34">
        <f>HYPERLINK("https://klasma.github.io/Logging_1783/tillsyn/A 56083-2022 tillsynsbegäran.docx", "A 56083-2022")</f>
        <v/>
      </c>
      <c r="AD34">
        <f>HYPERLINK("https://klasma.github.io/Logging_1783/tillsynsmail/A 56083-2022 tillsynsbegäran mail.docx", "A 56083-2022")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46305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6986-2022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44603</v>
      </c>
      <c r="E36" s="1" t="n">
        <v>46305</v>
      </c>
      <c r="F36" t="inlineStr">
        <is>
          <t>VÄRMLANDS LÄN</t>
        </is>
      </c>
      <c r="G36" t="inlineStr">
        <is>
          <t>HAGFORS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Vedticka</t>
        </is>
      </c>
      <c r="W36">
        <f>HYPERLINK("https://klasma.github.io/Logging_1783/artfynd/A 6986-2022 artfynd.xlsx", "A 6986-2022")</f>
        <v/>
      </c>
      <c r="X36">
        <f>HYPERLINK("https://klasma.github.io/Logging_1783/kartor/A 6986-2022 karta.png", "A 6986-2022")</f>
        <v/>
      </c>
      <c r="Y36">
        <f>HYPERLINK("https://klasma.github.io/Logging_1783/kartor_geotiff/A 6986-2022 georefererad karta.tif", "A 6986-2022")</f>
        <v/>
      </c>
      <c r="AA36">
        <f>HYPERLINK("https://klasma.github.io/Logging_1783/klagomål/A 6986-2022 FSC-klagomål.docx", "A 6986-2022")</f>
        <v/>
      </c>
      <c r="AB36">
        <f>HYPERLINK("https://klasma.github.io/Logging_1783/klagomålsmail/A 6986-2022 FSC-klagomål mail.docx", "A 6986-2022")</f>
        <v/>
      </c>
      <c r="AC36">
        <f>HYPERLINK("https://klasma.github.io/Logging_1783/tillsyn/A 6986-2022 tillsynsbegäran.docx", "A 6986-2022")</f>
        <v/>
      </c>
      <c r="AD36">
        <f>HYPERLINK("https://klasma.github.io/Logging_1783/tillsynsmail/A 6986-2022 tillsynsbegäran mail.docx", "A 6986-2022")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46305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37152-2023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45155</v>
      </c>
      <c r="E38" s="1" t="n">
        <v>46305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Hökuggla</t>
        </is>
      </c>
      <c r="W38">
        <f>HYPERLINK("https://klasma.github.io/Logging_1783/artfynd/A 37152-2023 artfynd.xlsx", "A 37152-2023")</f>
        <v/>
      </c>
      <c r="X38">
        <f>HYPERLINK("https://klasma.github.io/Logging_1783/kartor/A 37152-2023 karta.png", "A 37152-2023")</f>
        <v/>
      </c>
      <c r="Y38">
        <f>HYPERLINK("https://klasma.github.io/Logging_1783/kartor_geotiff/A 37152-2023 georefererad karta.tif", "A 37152-2023")</f>
        <v/>
      </c>
      <c r="AA38">
        <f>HYPERLINK("https://klasma.github.io/Logging_1783/klagomål/A 37152-2023 FSC-klagomål.docx", "A 37152-2023")</f>
        <v/>
      </c>
      <c r="AB38">
        <f>HYPERLINK("https://klasma.github.io/Logging_1783/klagomålsmail/A 37152-2023 FSC-klagomål mail.docx", "A 37152-2023")</f>
        <v/>
      </c>
      <c r="AC38">
        <f>HYPERLINK("https://klasma.github.io/Logging_1783/tillsyn/A 37152-2023 tillsynsbegäran.docx", "A 37152-2023")</f>
        <v/>
      </c>
      <c r="AD38">
        <f>HYPERLINK("https://klasma.github.io/Logging_1783/tillsynsmail/A 37152-2023 tillsynsbegäran mail.docx", "A 37152-2023")</f>
        <v/>
      </c>
      <c r="AE38">
        <f>HYPERLINK("https://klasma.github.io/Logging_1783/fåglar/A 37152-2023 prioriterade fågelarter.docx", "A 37152-2023")</f>
        <v/>
      </c>
    </row>
    <row r="39" ht="15" customHeight="1">
      <c r="A39" t="inlineStr">
        <is>
          <t>A 22484-2025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45786</v>
      </c>
      <c r="E39" s="1" t="n">
        <v>46305</v>
      </c>
      <c r="F39" t="inlineStr">
        <is>
          <t>VÄRMLANDS LÄN</t>
        </is>
      </c>
      <c r="G39" t="inlineStr">
        <is>
          <t>HAGFORS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Rödlånke</t>
        </is>
      </c>
      <c r="W39">
        <f>HYPERLINK("https://klasma.github.io/Logging_1783/artfynd/A 22484-2025 artfynd.xlsx", "A 22484-2025")</f>
        <v/>
      </c>
      <c r="X39">
        <f>HYPERLINK("https://klasma.github.io/Logging_1783/kartor/A 22484-2025 karta.png", "A 22484-2025")</f>
        <v/>
      </c>
      <c r="Y39">
        <f>HYPERLINK("https://klasma.github.io/Logging_1783/kartor_geotiff/A 22484-2025 georefererad karta.tif", "A 22484-2025")</f>
        <v/>
      </c>
      <c r="AA39">
        <f>HYPERLINK("https://klasma.github.io/Logging_1783/klagomål/A 22484-2025 FSC-klagomål.docx", "A 22484-2025")</f>
        <v/>
      </c>
      <c r="AB39">
        <f>HYPERLINK("https://klasma.github.io/Logging_1783/klagomålsmail/A 22484-2025 FSC-klagomål mail.docx", "A 22484-2025")</f>
        <v/>
      </c>
      <c r="AC39">
        <f>HYPERLINK("https://klasma.github.io/Logging_1783/tillsyn/A 22484-2025 tillsynsbegäran.docx", "A 22484-2025")</f>
        <v/>
      </c>
      <c r="AD39">
        <f>HYPERLINK("https://klasma.github.io/Logging_1783/tillsynsmail/A 22484-2025 tillsynsbegäran mail.docx", "A 22484-2025")</f>
        <v/>
      </c>
    </row>
    <row r="40" ht="15" customHeight="1">
      <c r="A40" t="inlineStr">
        <is>
          <t>A 24885-2025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45799</v>
      </c>
      <c r="E40" s="1" t="n">
        <v>46305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husmossa</t>
        </is>
      </c>
      <c r="W40">
        <f>HYPERLINK("https://klasma.github.io/Logging_1783/artfynd/A 24885-2025 artfynd.xlsx", "A 24885-2025")</f>
        <v/>
      </c>
      <c r="X40">
        <f>HYPERLINK("https://klasma.github.io/Logging_1783/kartor/A 24885-2025 karta.png", "A 24885-2025")</f>
        <v/>
      </c>
      <c r="Y40">
        <f>HYPERLINK("https://klasma.github.io/Logging_1783/kartor_geotiff/A 24885-2025 georefererad karta.tif", "A 24885-2025")</f>
        <v/>
      </c>
      <c r="AA40">
        <f>HYPERLINK("https://klasma.github.io/Logging_1783/klagomål/A 24885-2025 FSC-klagomål.docx", "A 24885-2025")</f>
        <v/>
      </c>
      <c r="AB40">
        <f>HYPERLINK("https://klasma.github.io/Logging_1783/klagomålsmail/A 24885-2025 FSC-klagomål mail.docx", "A 24885-2025")</f>
        <v/>
      </c>
      <c r="AC40">
        <f>HYPERLINK("https://klasma.github.io/Logging_1783/tillsyn/A 24885-2025 tillsynsbegäran.docx", "A 24885-2025")</f>
        <v/>
      </c>
      <c r="AD40">
        <f>HYPERLINK("https://klasma.github.io/Logging_1783/tillsynsmail/A 24885-2025 tillsynsbegäran mail.docx", "A 24885-2025")</f>
        <v/>
      </c>
    </row>
    <row r="41" ht="15" customHeight="1">
      <c r="A41" t="inlineStr">
        <is>
          <t>A 30524-2022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44762</v>
      </c>
      <c r="E41" s="1" t="n">
        <v>46305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Kolflarnlav</t>
        </is>
      </c>
      <c r="W41">
        <f>HYPERLINK("https://klasma.github.io/Logging_1783/artfynd/A 30524-2022 artfynd.xlsx", "A 30524-2022")</f>
        <v/>
      </c>
      <c r="X41">
        <f>HYPERLINK("https://klasma.github.io/Logging_1783/kartor/A 30524-2022 karta.png", "A 30524-2022")</f>
        <v/>
      </c>
      <c r="Y41">
        <f>HYPERLINK("https://klasma.github.io/Logging_1783/kartor_geotiff/A 30524-2022 georefererad karta.tif", "A 30524-2022")</f>
        <v/>
      </c>
      <c r="AA41">
        <f>HYPERLINK("https://klasma.github.io/Logging_1783/klagomål/A 30524-2022 FSC-klagomål.docx", "A 30524-2022")</f>
        <v/>
      </c>
      <c r="AB41">
        <f>HYPERLINK("https://klasma.github.io/Logging_1783/klagomålsmail/A 30524-2022 FSC-klagomål mail.docx", "A 30524-2022")</f>
        <v/>
      </c>
      <c r="AC41">
        <f>HYPERLINK("https://klasma.github.io/Logging_1783/tillsyn/A 30524-2022 tillsynsbegäran.docx", "A 30524-2022")</f>
        <v/>
      </c>
      <c r="AD41">
        <f>HYPERLINK("https://klasma.github.io/Logging_1783/tillsynsmail/A 30524-2022 tillsynsbegäran mail.docx", "A 30524-2022")</f>
        <v/>
      </c>
    </row>
    <row r="42" ht="15" customHeight="1">
      <c r="A42" t="inlineStr">
        <is>
          <t>A 26624-2025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45810</v>
      </c>
      <c r="E42" s="1" t="n">
        <v>46305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HYPERLINK("https://klasma.github.io/Logging_1783/artfynd/A 26624-2025 artfynd.xlsx", "A 26624-2025")</f>
        <v/>
      </c>
      <c r="X42">
        <f>HYPERLINK("https://klasma.github.io/Logging_1783/kartor/A 26624-2025 karta.png", "A 26624-2025")</f>
        <v/>
      </c>
      <c r="Y42">
        <f>HYPERLINK("https://klasma.github.io/Logging_1783/kartor_geotiff/A 26624-2025 georefererad karta.tif", "A 26624-2025")</f>
        <v/>
      </c>
      <c r="AA42">
        <f>HYPERLINK("https://klasma.github.io/Logging_1783/klagomål/A 26624-2025 FSC-klagomål.docx", "A 26624-2025")</f>
        <v/>
      </c>
      <c r="AB42">
        <f>HYPERLINK("https://klasma.github.io/Logging_1783/klagomålsmail/A 26624-2025 FSC-klagomål mail.docx", "A 26624-2025")</f>
        <v/>
      </c>
      <c r="AC42">
        <f>HYPERLINK("https://klasma.github.io/Logging_1783/tillsyn/A 26624-2025 tillsynsbegäran.docx", "A 26624-2025")</f>
        <v/>
      </c>
      <c r="AD42">
        <f>HYPERLINK("https://klasma.github.io/Logging_1783/tillsynsmail/A 26624-2025 tillsynsbegäran mail.docx", "A 26624-2025")</f>
        <v/>
      </c>
    </row>
    <row r="43" ht="15" customHeight="1">
      <c r="A43" t="inlineStr">
        <is>
          <t>A 44095-2023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45188</v>
      </c>
      <c r="E43" s="1" t="n">
        <v>46305</v>
      </c>
      <c r="F43" t="inlineStr">
        <is>
          <t>VÄRMLANDS LÄN</t>
        </is>
      </c>
      <c r="G43" t="inlineStr">
        <is>
          <t>HAGFORS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44095-2023 artfynd.xlsx", "A 44095-2023")</f>
        <v/>
      </c>
      <c r="X43">
        <f>HYPERLINK("https://klasma.github.io/Logging_1783/kartor/A 44095-2023 karta.png", "A 44095-2023")</f>
        <v/>
      </c>
      <c r="Y43">
        <f>HYPERLINK("https://klasma.github.io/Logging_1783/kartor_geotiff/A 44095-2023 georefererad karta.tif", "A 44095-2023")</f>
        <v/>
      </c>
      <c r="AA43">
        <f>HYPERLINK("https://klasma.github.io/Logging_1783/klagomål/A 44095-2023 FSC-klagomål.docx", "A 44095-2023")</f>
        <v/>
      </c>
      <c r="AB43">
        <f>HYPERLINK("https://klasma.github.io/Logging_1783/klagomålsmail/A 44095-2023 FSC-klagomål mail.docx", "A 44095-2023")</f>
        <v/>
      </c>
      <c r="AC43">
        <f>HYPERLINK("https://klasma.github.io/Logging_1783/tillsyn/A 44095-2023 tillsynsbegäran.docx", "A 44095-2023")</f>
        <v/>
      </c>
      <c r="AD43">
        <f>HYPERLINK("https://klasma.github.io/Logging_1783/tillsynsmail/A 44095-2023 tillsynsbegäran mail.docx", "A 44095-2023")</f>
        <v/>
      </c>
    </row>
    <row r="44" ht="15" customHeight="1">
      <c r="A44" t="inlineStr">
        <is>
          <t>A 50030-2025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46305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HYPERLINK("https://klasma.github.io/Logging_1783/artfynd/A 50030-2025 artfynd.xlsx", "A 50030-2025")</f>
        <v/>
      </c>
      <c r="X44">
        <f>HYPERLINK("https://klasma.github.io/Logging_1783/kartor/A 50030-2025 karta.png", "A 50030-2025")</f>
        <v/>
      </c>
      <c r="Y44">
        <f>HYPERLINK("https://klasma.github.io/Logging_1783/kartor_geotiff/A 50030-2025 georefererad karta.tif", "A 50030-2025")</f>
        <v/>
      </c>
      <c r="AA44">
        <f>HYPERLINK("https://klasma.github.io/Logging_1783/klagomål/A 50030-2025 FSC-klagomål.docx", "A 50030-2025")</f>
        <v/>
      </c>
      <c r="AB44">
        <f>HYPERLINK("https://klasma.github.io/Logging_1783/klagomålsmail/A 50030-2025 FSC-klagomål mail.docx", "A 50030-2025")</f>
        <v/>
      </c>
      <c r="AC44">
        <f>HYPERLINK("https://klasma.github.io/Logging_1783/tillsyn/A 50030-2025 tillsynsbegäran.docx", "A 50030-2025")</f>
        <v/>
      </c>
      <c r="AD44">
        <f>HYPERLINK("https://klasma.github.io/Logging_1783/tillsynsmail/A 50030-2025 tillsynsbegäran mail.docx", "A 50030-2025")</f>
        <v/>
      </c>
    </row>
    <row r="45" ht="15" customHeight="1">
      <c r="A45" t="inlineStr">
        <is>
          <t>A 33848-2025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46305</v>
      </c>
      <c r="F45" t="inlineStr">
        <is>
          <t>VÄRMLANDS LÄN</t>
        </is>
      </c>
      <c r="G45" t="inlineStr">
        <is>
          <t>HAGFORS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33848-2025 artfynd.xlsx", "A 33848-2025")</f>
        <v/>
      </c>
      <c r="X45">
        <f>HYPERLINK("https://klasma.github.io/Logging_1783/kartor/A 33848-2025 karta.png", "A 33848-2025")</f>
        <v/>
      </c>
      <c r="Y45">
        <f>HYPERLINK("https://klasma.github.io/Logging_1783/kartor_geotiff/A 33848-2025 georefererad karta.tif", "A 33848-2025")</f>
        <v/>
      </c>
      <c r="AA45">
        <f>HYPERLINK("https://klasma.github.io/Logging_1783/klagomål/A 33848-2025 FSC-klagomål.docx", "A 33848-2025")</f>
        <v/>
      </c>
      <c r="AB45">
        <f>HYPERLINK("https://klasma.github.io/Logging_1783/klagomålsmail/A 33848-2025 FSC-klagomål mail.docx", "A 33848-2025")</f>
        <v/>
      </c>
      <c r="AC45">
        <f>HYPERLINK("https://klasma.github.io/Logging_1783/tillsyn/A 33848-2025 tillsynsbegäran.docx", "A 33848-2025")</f>
        <v/>
      </c>
      <c r="AD45">
        <f>HYPERLINK("https://klasma.github.io/Logging_1783/tillsynsmail/A 33848-2025 tillsynsbegäran mail.docx", "A 33848-2025")</f>
        <v/>
      </c>
    </row>
    <row r="46" ht="15" customHeight="1">
      <c r="A46" t="inlineStr">
        <is>
          <t>A 55484-2025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45971</v>
      </c>
      <c r="E46" s="1" t="n">
        <v>46305</v>
      </c>
      <c r="F46" t="inlineStr">
        <is>
          <t>VÄRMLANDS LÄN</t>
        </is>
      </c>
      <c r="G46" t="inlineStr">
        <is>
          <t>HAGFORS</t>
        </is>
      </c>
      <c r="H46" t="inlineStr">
        <is>
          <t>Bergvik skog väst AB</t>
        </is>
      </c>
      <c r="I46" t="n">
        <v>1.5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 sköldmossa</t>
        </is>
      </c>
      <c r="W46">
        <f>HYPERLINK("https://klasma.github.io/Logging_1783/artfynd/A 55484-2025 artfynd.xlsx", "A 55484-2025")</f>
        <v/>
      </c>
      <c r="X46">
        <f>HYPERLINK("https://klasma.github.io/Logging_1783/kartor/A 55484-2025 karta.png", "A 55484-2025")</f>
        <v/>
      </c>
      <c r="Y46">
        <f>HYPERLINK("https://klasma.github.io/Logging_1783/kartor_geotiff/A 55484-2025 georefererad karta.tif", "A 55484-2025")</f>
        <v/>
      </c>
      <c r="AA46">
        <f>HYPERLINK("https://klasma.github.io/Logging_1783/klagomål/A 55484-2025 FSC-klagomål.docx", "A 55484-2025")</f>
        <v/>
      </c>
      <c r="AB46">
        <f>HYPERLINK("https://klasma.github.io/Logging_1783/klagomålsmail/A 55484-2025 FSC-klagomål mail.docx", "A 55484-2025")</f>
        <v/>
      </c>
      <c r="AC46">
        <f>HYPERLINK("https://klasma.github.io/Logging_1783/tillsyn/A 55484-2025 tillsynsbegäran.docx", "A 55484-2025")</f>
        <v/>
      </c>
      <c r="AD46">
        <f>HYPERLINK("https://klasma.github.io/Logging_1783/tillsynsmail/A 55484-2025 tillsynsbegäran mail.docx", "A 55484-2025")</f>
        <v/>
      </c>
    </row>
    <row r="47" ht="15" customHeight="1">
      <c r="A47" t="inlineStr">
        <is>
          <t>A 20119-2025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46305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20119-2025 artfynd.xlsx", "A 20119-2025")</f>
        <v/>
      </c>
      <c r="X47">
        <f>HYPERLINK("https://klasma.github.io/Logging_1783/kartor/A 20119-2025 karta.png", "A 20119-2025")</f>
        <v/>
      </c>
      <c r="Y47">
        <f>HYPERLINK("https://klasma.github.io/Logging_1783/kartor_geotiff/A 20119-2025 georefererad karta.tif", "A 20119-2025")</f>
        <v/>
      </c>
      <c r="AA47">
        <f>HYPERLINK("https://klasma.github.io/Logging_1783/klagomål/A 20119-2025 FSC-klagomål.docx", "A 20119-2025")</f>
        <v/>
      </c>
      <c r="AB47">
        <f>HYPERLINK("https://klasma.github.io/Logging_1783/klagomålsmail/A 20119-2025 FSC-klagomål mail.docx", "A 20119-2025")</f>
        <v/>
      </c>
      <c r="AC47">
        <f>HYPERLINK("https://klasma.github.io/Logging_1783/tillsyn/A 20119-2025 tillsynsbegäran.docx", "A 20119-2025")</f>
        <v/>
      </c>
      <c r="AD47">
        <f>HYPERLINK("https://klasma.github.io/Logging_1783/tillsynsmail/A 20119-2025 tillsynsbegäran mail.docx", "A 20119-2025")</f>
        <v/>
      </c>
      <c r="AE47">
        <f>HYPERLINK("https://klasma.github.io/Logging_1783/fåglar/A 20119-2025 prioriterade fågelarter.docx", "A 20119-2025")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46305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51194-2022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46305</v>
      </c>
      <c r="F49" t="inlineStr">
        <is>
          <t>VÄRMLANDS LÄN</t>
        </is>
      </c>
      <c r="G49" t="inlineStr">
        <is>
          <t>HAGFORS</t>
        </is>
      </c>
      <c r="I49" t="n">
        <v>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HYPERLINK("https://klasma.github.io/Logging_1783/artfynd/A 51194-2022 artfynd.xlsx", "A 51194-2022")</f>
        <v/>
      </c>
      <c r="X49">
        <f>HYPERLINK("https://klasma.github.io/Logging_1783/kartor/A 51194-2022 karta.png", "A 51194-2022")</f>
        <v/>
      </c>
      <c r="Y49">
        <f>HYPERLINK("https://klasma.github.io/Logging_1783/kartor_geotiff/A 51194-2022 georefererad karta.tif", "A 51194-2022")</f>
        <v/>
      </c>
      <c r="AA49">
        <f>HYPERLINK("https://klasma.github.io/Logging_1783/klagomål/A 51194-2022 FSC-klagomål.docx", "A 51194-2022")</f>
        <v/>
      </c>
      <c r="AB49">
        <f>HYPERLINK("https://klasma.github.io/Logging_1783/klagomålsmail/A 51194-2022 FSC-klagomål mail.docx", "A 51194-2022")</f>
        <v/>
      </c>
      <c r="AC49">
        <f>HYPERLINK("https://klasma.github.io/Logging_1783/tillsyn/A 51194-2022 tillsynsbegäran.docx", "A 51194-2022")</f>
        <v/>
      </c>
      <c r="AD49">
        <f>HYPERLINK("https://klasma.github.io/Logging_1783/tillsynsmail/A 51194-2022 tillsynsbegäran mail.docx", "A 51194-2022")</f>
        <v/>
      </c>
    </row>
    <row r="50" ht="15" customHeight="1">
      <c r="A50" t="inlineStr">
        <is>
          <t>A 16319-2023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45028</v>
      </c>
      <c r="E50" s="1" t="n">
        <v>46305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16319-2023 artfynd.xlsx", "A 16319-2023")</f>
        <v/>
      </c>
      <c r="X50">
        <f>HYPERLINK("https://klasma.github.io/Logging_1783/kartor/A 16319-2023 karta.png", "A 16319-2023")</f>
        <v/>
      </c>
      <c r="Y50">
        <f>HYPERLINK("https://klasma.github.io/Logging_1783/kartor_geotiff/A 16319-2023 georefererad karta.tif", "A 16319-2023")</f>
        <v/>
      </c>
      <c r="AA50">
        <f>HYPERLINK("https://klasma.github.io/Logging_1783/klagomål/A 16319-2023 FSC-klagomål.docx", "A 16319-2023")</f>
        <v/>
      </c>
      <c r="AB50">
        <f>HYPERLINK("https://klasma.github.io/Logging_1783/klagomålsmail/A 16319-2023 FSC-klagomål mail.docx", "A 16319-2023")</f>
        <v/>
      </c>
      <c r="AC50">
        <f>HYPERLINK("https://klasma.github.io/Logging_1783/tillsyn/A 16319-2023 tillsynsbegäran.docx", "A 16319-2023")</f>
        <v/>
      </c>
      <c r="AD50">
        <f>HYPERLINK("https://klasma.github.io/Logging_1783/tillsynsmail/A 16319-2023 tillsynsbegäran mail.docx", "A 16319-2023")</f>
        <v/>
      </c>
    </row>
    <row r="51" ht="15" customHeight="1">
      <c r="A51" t="inlineStr">
        <is>
          <t>A 14850-2025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45743</v>
      </c>
      <c r="E51" s="1" t="n">
        <v>46305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HYPERLINK("https://klasma.github.io/Logging_1783/artfynd/A 14850-2025 artfynd.xlsx", "A 14850-2025")</f>
        <v/>
      </c>
      <c r="X51">
        <f>HYPERLINK("https://klasma.github.io/Logging_1783/kartor/A 14850-2025 karta.png", "A 14850-2025")</f>
        <v/>
      </c>
      <c r="Y51">
        <f>HYPERLINK("https://klasma.github.io/Logging_1783/kartor_geotiff/A 14850-2025 georefererad karta.tif", "A 14850-2025")</f>
        <v/>
      </c>
      <c r="AA51">
        <f>HYPERLINK("https://klasma.github.io/Logging_1783/klagomål/A 14850-2025 FSC-klagomål.docx", "A 14850-2025")</f>
        <v/>
      </c>
      <c r="AB51">
        <f>HYPERLINK("https://klasma.github.io/Logging_1783/klagomålsmail/A 14850-2025 FSC-klagomål mail.docx", "A 14850-2025")</f>
        <v/>
      </c>
      <c r="AC51">
        <f>HYPERLINK("https://klasma.github.io/Logging_1783/tillsyn/A 14850-2025 tillsynsbegäran.docx", "A 14850-2025")</f>
        <v/>
      </c>
      <c r="AD51">
        <f>HYPERLINK("https://klasma.github.io/Logging_1783/tillsynsmail/A 14850-2025 tillsynsbegäran mail.docx", "A 14850-2025")</f>
        <v/>
      </c>
    </row>
    <row r="52" ht="15" customHeight="1">
      <c r="A52" t="inlineStr">
        <is>
          <t>A 19362-2026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46133</v>
      </c>
      <c r="E52" s="1" t="n">
        <v>46305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19362-2026 artfynd.xlsx", "A 19362-2026")</f>
        <v/>
      </c>
      <c r="X52">
        <f>HYPERLINK("https://klasma.github.io/Logging_1783/kartor/A 19362-2026 karta.png", "A 19362-2026")</f>
        <v/>
      </c>
      <c r="Y52">
        <f>HYPERLINK("https://klasma.github.io/Logging_1783/kartor_geotiff/A 19362-2026 georefererad karta.tif", "A 19362-2026")</f>
        <v/>
      </c>
      <c r="AA52">
        <f>HYPERLINK("https://klasma.github.io/Logging_1783/klagomål/A 19362-2026 FSC-klagomål.docx", "A 19362-2026")</f>
        <v/>
      </c>
      <c r="AB52">
        <f>HYPERLINK("https://klasma.github.io/Logging_1783/klagomålsmail/A 19362-2026 FSC-klagomål mail.docx", "A 19362-2026")</f>
        <v/>
      </c>
      <c r="AC52">
        <f>HYPERLINK("https://klasma.github.io/Logging_1783/tillsyn/A 19362-2026 tillsynsbegäran.docx", "A 19362-2026")</f>
        <v/>
      </c>
      <c r="AD52">
        <f>HYPERLINK("https://klasma.github.io/Logging_1783/tillsynsmail/A 19362-2026 tillsynsbegäran mail.docx", "A 19362-2026")</f>
        <v/>
      </c>
    </row>
    <row r="53" ht="15" customHeight="1">
      <c r="A53" t="inlineStr">
        <is>
          <t>A 62954-2025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46009</v>
      </c>
      <c r="E53" s="1" t="n">
        <v>46305</v>
      </c>
      <c r="F53" t="inlineStr">
        <is>
          <t>VÄRMLANDS LÄN</t>
        </is>
      </c>
      <c r="G53" t="inlineStr">
        <is>
          <t>HAGFORS</t>
        </is>
      </c>
      <c r="I53" t="n">
        <v>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Kråka</t>
        </is>
      </c>
      <c r="W53">
        <f>HYPERLINK("https://klasma.github.io/Logging_1783/artfynd/A 62954-2025 artfynd.xlsx", "A 62954-2025")</f>
        <v/>
      </c>
      <c r="X53">
        <f>HYPERLINK("https://klasma.github.io/Logging_1783/kartor/A 62954-2025 karta.png", "A 62954-2025")</f>
        <v/>
      </c>
      <c r="Y53">
        <f>HYPERLINK("https://klasma.github.io/Logging_1783/kartor_geotiff/A 62954-2025 georefererad karta.tif", "A 62954-2025")</f>
        <v/>
      </c>
      <c r="AA53">
        <f>HYPERLINK("https://klasma.github.io/Logging_1783/klagomål/A 62954-2025 FSC-klagomål.docx", "A 62954-2025")</f>
        <v/>
      </c>
      <c r="AB53">
        <f>HYPERLINK("https://klasma.github.io/Logging_1783/klagomålsmail/A 62954-2025 FSC-klagomål mail.docx", "A 62954-2025")</f>
        <v/>
      </c>
      <c r="AC53">
        <f>HYPERLINK("https://klasma.github.io/Logging_1783/tillsyn/A 62954-2025 tillsynsbegäran.docx", "A 62954-2025")</f>
        <v/>
      </c>
      <c r="AD53">
        <f>HYPERLINK("https://klasma.github.io/Logging_1783/tillsynsmail/A 62954-2025 tillsynsbegäran mail.docx", "A 62954-2025")</f>
        <v/>
      </c>
    </row>
    <row r="54" ht="15" customHeight="1">
      <c r="A54" t="inlineStr">
        <is>
          <t>A 34158-2025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45845</v>
      </c>
      <c r="E54" s="1" t="n">
        <v>46305</v>
      </c>
      <c r="F54" t="inlineStr">
        <is>
          <t>VÄRMLANDS LÄN</t>
        </is>
      </c>
      <c r="G54" t="inlineStr">
        <is>
          <t>HAGFORS</t>
        </is>
      </c>
      <c r="I54" t="n">
        <v>5.8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Korallblylav</t>
        </is>
      </c>
      <c r="W54">
        <f>HYPERLINK("https://klasma.github.io/Logging_1783/artfynd/A 34158-2025 artfynd.xlsx", "A 34158-2025")</f>
        <v/>
      </c>
      <c r="X54">
        <f>HYPERLINK("https://klasma.github.io/Logging_1783/kartor/A 34158-2025 karta.png", "A 34158-2025")</f>
        <v/>
      </c>
      <c r="Y54">
        <f>HYPERLINK("https://klasma.github.io/Logging_1783/kartor_geotiff/A 34158-2025 georefererad karta.tif", "A 34158-2025")</f>
        <v/>
      </c>
      <c r="AA54">
        <f>HYPERLINK("https://klasma.github.io/Logging_1783/klagomål/A 34158-2025 FSC-klagomål.docx", "A 34158-2025")</f>
        <v/>
      </c>
      <c r="AB54">
        <f>HYPERLINK("https://klasma.github.io/Logging_1783/klagomålsmail/A 34158-2025 FSC-klagomål mail.docx", "A 34158-2025")</f>
        <v/>
      </c>
      <c r="AC54">
        <f>HYPERLINK("https://klasma.github.io/Logging_1783/tillsyn/A 34158-2025 tillsynsbegäran.docx", "A 34158-2025")</f>
        <v/>
      </c>
      <c r="AD54">
        <f>HYPERLINK("https://klasma.github.io/Logging_1783/tillsynsmail/A 34158-2025 tillsynsbegäran mail.docx", "A 34158-2025")</f>
        <v/>
      </c>
    </row>
    <row r="55" ht="15" customHeight="1">
      <c r="A55" t="inlineStr">
        <is>
          <t>A 8254-2026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46064</v>
      </c>
      <c r="E55" s="1" t="n">
        <v>46305</v>
      </c>
      <c r="F55" t="inlineStr">
        <is>
          <t>VÄRMLANDS LÄN</t>
        </is>
      </c>
      <c r="G55" t="inlineStr">
        <is>
          <t>HAGFORS</t>
        </is>
      </c>
      <c r="I55" t="n">
        <v>1.1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HYPERLINK("https://klasma.github.io/Logging_1783/artfynd/A 8254-2026 artfynd.xlsx", "A 8254-2026")</f>
        <v/>
      </c>
      <c r="X55">
        <f>HYPERLINK("https://klasma.github.io/Logging_1783/kartor/A 8254-2026 karta.png", "A 8254-2026")</f>
        <v/>
      </c>
      <c r="Y55">
        <f>HYPERLINK("https://klasma.github.io/Logging_1783/kartor_geotiff/A 8254-2026 georefererad karta.tif", "A 8254-2026")</f>
        <v/>
      </c>
      <c r="AA55">
        <f>HYPERLINK("https://klasma.github.io/Logging_1783/klagomål/A 8254-2026 FSC-klagomål.docx", "A 8254-2026")</f>
        <v/>
      </c>
      <c r="AB55">
        <f>HYPERLINK("https://klasma.github.io/Logging_1783/klagomålsmail/A 8254-2026 FSC-klagomål mail.docx", "A 8254-2026")</f>
        <v/>
      </c>
      <c r="AC55">
        <f>HYPERLINK("https://klasma.github.io/Logging_1783/tillsyn/A 8254-2026 tillsynsbegäran.docx", "A 8254-2026")</f>
        <v/>
      </c>
      <c r="AD55">
        <f>HYPERLINK("https://klasma.github.io/Logging_1783/tillsynsmail/A 8254-2026 tillsynsbegäran mail.docx", "A 8254-2026")</f>
        <v/>
      </c>
    </row>
    <row r="56" ht="15" customHeight="1">
      <c r="A56" t="inlineStr">
        <is>
          <t>A 12445-2026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46090</v>
      </c>
      <c r="E56" s="1" t="n">
        <v>46305</v>
      </c>
      <c r="F56" t="inlineStr">
        <is>
          <t>VÄRMLANDS LÄN</t>
        </is>
      </c>
      <c r="G56" t="inlineStr">
        <is>
          <t>HAGFORS</t>
        </is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HYPERLINK("https://klasma.github.io/Logging_1783/artfynd/A 12445-2026 artfynd.xlsx", "A 12445-2026")</f>
        <v/>
      </c>
      <c r="X56">
        <f>HYPERLINK("https://klasma.github.io/Logging_1783/kartor/A 12445-2026 karta.png", "A 12445-2026")</f>
        <v/>
      </c>
      <c r="Y56">
        <f>HYPERLINK("https://klasma.github.io/Logging_1783/kartor_geotiff/A 12445-2026 georefererad karta.tif", "A 12445-2026")</f>
        <v/>
      </c>
      <c r="AA56">
        <f>HYPERLINK("https://klasma.github.io/Logging_1783/klagomål/A 12445-2026 FSC-klagomål.docx", "A 12445-2026")</f>
        <v/>
      </c>
      <c r="AB56">
        <f>HYPERLINK("https://klasma.github.io/Logging_1783/klagomålsmail/A 12445-2026 FSC-klagomål mail.docx", "A 12445-2026")</f>
        <v/>
      </c>
      <c r="AC56">
        <f>HYPERLINK("https://klasma.github.io/Logging_1783/tillsyn/A 12445-2026 tillsynsbegäran.docx", "A 12445-2026")</f>
        <v/>
      </c>
      <c r="AD56">
        <f>HYPERLINK("https://klasma.github.io/Logging_1783/tillsynsmail/A 12445-2026 tillsynsbegäran mail.docx", "A 12445-2026")</f>
        <v/>
      </c>
      <c r="AE56">
        <f>HYPERLINK("https://klasma.github.io/Logging_1783/fåglar/A 12445-2026 prioriterade fågelarter.docx", "A 12445-2026")</f>
        <v/>
      </c>
    </row>
    <row r="57" ht="15" customHeight="1">
      <c r="A57" t="inlineStr">
        <is>
          <t>A 24659-2026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46305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Garnlav</t>
        </is>
      </c>
      <c r="W57">
        <f>HYPERLINK("https://klasma.github.io/Logging_1783/artfynd/A 24659-2026 artfynd.xlsx", "A 24659-2026")</f>
        <v/>
      </c>
      <c r="X57">
        <f>HYPERLINK("https://klasma.github.io/Logging_1783/kartor/A 24659-2026 karta.png", "A 24659-2026")</f>
        <v/>
      </c>
      <c r="Y57">
        <f>HYPERLINK("https://klasma.github.io/Logging_1783/kartor_geotiff/A 24659-2026 georefererad karta.tif", "A 24659-2026")</f>
        <v/>
      </c>
      <c r="AA57">
        <f>HYPERLINK("https://klasma.github.io/Logging_1783/klagomål/A 24659-2026 FSC-klagomål.docx", "A 24659-2026")</f>
        <v/>
      </c>
      <c r="AB57">
        <f>HYPERLINK("https://klasma.github.io/Logging_1783/klagomålsmail/A 24659-2026 FSC-klagomål mail.docx", "A 24659-2026")</f>
        <v/>
      </c>
      <c r="AC57">
        <f>HYPERLINK("https://klasma.github.io/Logging_1783/tillsyn/A 24659-2026 tillsynsbegäran.docx", "A 24659-2026")</f>
        <v/>
      </c>
      <c r="AD57">
        <f>HYPERLINK("https://klasma.github.io/Logging_1783/tillsynsmail/A 24659-2026 tillsynsbegäran mail.docx", "A 24659-2026")</f>
        <v/>
      </c>
    </row>
    <row r="58" ht="15" customHeight="1">
      <c r="A58" t="inlineStr">
        <is>
          <t>A 24716-2026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46171</v>
      </c>
      <c r="E58" s="1" t="n">
        <v>46305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82.3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Garnlav</t>
        </is>
      </c>
      <c r="W58">
        <f>HYPERLINK("https://klasma.github.io/Logging_1783/artfynd/A 24716-2026 artfynd.xlsx", "A 24716-2026")</f>
        <v/>
      </c>
      <c r="X58">
        <f>HYPERLINK("https://klasma.github.io/Logging_1783/kartor/A 24716-2026 karta.png", "A 24716-2026")</f>
        <v/>
      </c>
      <c r="Y58">
        <f>HYPERLINK("https://klasma.github.io/Logging_1783/kartor_geotiff/A 24716-2026 georefererad karta.tif", "A 24716-2026")</f>
        <v/>
      </c>
      <c r="AA58">
        <f>HYPERLINK("https://klasma.github.io/Logging_1783/klagomål/A 24716-2026 FSC-klagomål.docx", "A 24716-2026")</f>
        <v/>
      </c>
      <c r="AB58">
        <f>HYPERLINK("https://klasma.github.io/Logging_1783/klagomålsmail/A 24716-2026 FSC-klagomål mail.docx", "A 24716-2026")</f>
        <v/>
      </c>
      <c r="AC58">
        <f>HYPERLINK("https://klasma.github.io/Logging_1783/tillsyn/A 24716-2026 tillsynsbegäran.docx", "A 24716-2026")</f>
        <v/>
      </c>
      <c r="AD58">
        <f>HYPERLINK("https://klasma.github.io/Logging_1783/tillsynsmail/A 24716-2026 tillsynsbegäran mail.docx", "A 24716-2026")</f>
        <v/>
      </c>
    </row>
    <row r="59" ht="15" customHeight="1">
      <c r="A59" t="inlineStr">
        <is>
          <t>A 26189-2026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46182</v>
      </c>
      <c r="E59" s="1" t="n">
        <v>46305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Sävsparv</t>
        </is>
      </c>
      <c r="W59">
        <f>HYPERLINK("https://klasma.github.io/Logging_1783/artfynd/A 26189-2026 artfynd.xlsx", "A 26189-2026")</f>
        <v/>
      </c>
      <c r="X59">
        <f>HYPERLINK("https://klasma.github.io/Logging_1783/kartor/A 26189-2026 karta.png", "A 26189-2026")</f>
        <v/>
      </c>
      <c r="Y59">
        <f>HYPERLINK("https://klasma.github.io/Logging_1783/kartor_geotiff/A 26189-2026 georefererad karta.tif", "A 26189-2026")</f>
        <v/>
      </c>
      <c r="AA59">
        <f>HYPERLINK("https://klasma.github.io/Logging_1783/klagomål/A 26189-2026 FSC-klagomål.docx", "A 26189-2026")</f>
        <v/>
      </c>
      <c r="AB59">
        <f>HYPERLINK("https://klasma.github.io/Logging_1783/klagomålsmail/A 26189-2026 FSC-klagomål mail.docx", "A 26189-2026")</f>
        <v/>
      </c>
      <c r="AC59">
        <f>HYPERLINK("https://klasma.github.io/Logging_1783/tillsyn/A 26189-2026 tillsynsbegäran.docx", "A 26189-2026")</f>
        <v/>
      </c>
      <c r="AD59">
        <f>HYPERLINK("https://klasma.github.io/Logging_1783/tillsynsmail/A 26189-2026 tillsynsbegäran mail.docx", "A 26189-2026")</f>
        <v/>
      </c>
      <c r="AE59">
        <f>HYPERLINK("https://klasma.github.io/Logging_1783/fåglar/A 26189-2026 prioriterade fågelarter.docx", "A 26189-2026")</f>
        <v/>
      </c>
    </row>
    <row r="60" ht="15" customHeight="1">
      <c r="A60" t="inlineStr">
        <is>
          <t>A 29432-2026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46305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3.1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Vedtrappmossa</t>
        </is>
      </c>
      <c r="W60">
        <f>HYPERLINK("https://klasma.github.io/Logging_1783/artfynd/A 29432-2026 artfynd.xlsx", "A 29432-2026")</f>
        <v/>
      </c>
      <c r="X60">
        <f>HYPERLINK("https://klasma.github.io/Logging_1783/kartor/A 29432-2026 karta.png", "A 29432-2026")</f>
        <v/>
      </c>
      <c r="Y60">
        <f>HYPERLINK("https://klasma.github.io/Logging_1783/kartor_geotiff/A 29432-2026 georefererad karta.tif", "A 29432-2026")</f>
        <v/>
      </c>
      <c r="AA60">
        <f>HYPERLINK("https://klasma.github.io/Logging_1783/klagomål/A 29432-2026 FSC-klagomål.docx", "A 29432-2026")</f>
        <v/>
      </c>
      <c r="AB60">
        <f>HYPERLINK("https://klasma.github.io/Logging_1783/klagomålsmail/A 29432-2026 FSC-klagomål mail.docx", "A 29432-2026")</f>
        <v/>
      </c>
      <c r="AC60">
        <f>HYPERLINK("https://klasma.github.io/Logging_1783/tillsyn/A 29432-2026 tillsynsbegäran.docx", "A 29432-2026")</f>
        <v/>
      </c>
      <c r="AD60">
        <f>HYPERLINK("https://klasma.github.io/Logging_1783/tillsynsmail/A 29432-2026 tillsynsbegäran mail.docx", "A 29432-2026")</f>
        <v/>
      </c>
    </row>
    <row r="61" ht="15" customHeight="1">
      <c r="A61" t="inlineStr">
        <is>
          <t>A 35679-2026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46265</v>
      </c>
      <c r="E61" s="1" t="n">
        <v>46305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11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HYPERLINK("https://klasma.github.io/Logging_1783/artfynd/A 35679-2026 artfynd.xlsx", "A 35679-2026")</f>
        <v/>
      </c>
      <c r="X61">
        <f>HYPERLINK("https://klasma.github.io/Logging_1783/kartor/A 35679-2026 karta.png", "A 35679-2026")</f>
        <v/>
      </c>
      <c r="Y61">
        <f>HYPERLINK("https://klasma.github.io/Logging_1783/kartor_geotiff/A 35679-2026 georefererad karta.tif", "A 35679-2026")</f>
        <v/>
      </c>
      <c r="AA61">
        <f>HYPERLINK("https://klasma.github.io/Logging_1783/klagomål/A 35679-2026 FSC-klagomål.docx", "A 35679-2026")</f>
        <v/>
      </c>
      <c r="AB61">
        <f>HYPERLINK("https://klasma.github.io/Logging_1783/klagomålsmail/A 35679-2026 FSC-klagomål mail.docx", "A 35679-2026")</f>
        <v/>
      </c>
      <c r="AC61">
        <f>HYPERLINK("https://klasma.github.io/Logging_1783/tillsyn/A 35679-2026 tillsynsbegäran.docx", "A 35679-2026")</f>
        <v/>
      </c>
      <c r="AD61">
        <f>HYPERLINK("https://klasma.github.io/Logging_1783/tillsynsmail/A 35679-2026 tillsynsbegäran mail.docx", "A 35679-2026")</f>
        <v/>
      </c>
      <c r="AE61">
        <f>HYPERLINK("https://klasma.github.io/Logging_1783/fåglar/A 35679-2026 prioriterade fågelarter.docx", "A 35679-2026")</f>
        <v/>
      </c>
    </row>
    <row r="62" ht="15" customHeight="1">
      <c r="A62" t="inlineStr">
        <is>
          <t>A 36223-2026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46268</v>
      </c>
      <c r="E62" s="1" t="n">
        <v>46305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Gråspett</t>
        </is>
      </c>
      <c r="W62">
        <f>HYPERLINK("https://klasma.github.io/Logging_1783/artfynd/A 36223-2026 artfynd.xlsx", "A 36223-2026")</f>
        <v/>
      </c>
      <c r="X62">
        <f>HYPERLINK("https://klasma.github.io/Logging_1783/kartor/A 36223-2026 karta.png", "A 36223-2026")</f>
        <v/>
      </c>
      <c r="Y62">
        <f>HYPERLINK("https://klasma.github.io/Logging_1783/kartor_geotiff/A 36223-2026 georefererad karta.tif", "A 36223-2026")</f>
        <v/>
      </c>
      <c r="AA62">
        <f>HYPERLINK("https://klasma.github.io/Logging_1783/klagomål/A 36223-2026 FSC-klagomål.docx", "A 36223-2026")</f>
        <v/>
      </c>
      <c r="AB62">
        <f>HYPERLINK("https://klasma.github.io/Logging_1783/klagomålsmail/A 36223-2026 FSC-klagomål mail.docx", "A 36223-2026")</f>
        <v/>
      </c>
      <c r="AC62">
        <f>HYPERLINK("https://klasma.github.io/Logging_1783/tillsyn/A 36223-2026 tillsynsbegäran.docx", "A 36223-2026")</f>
        <v/>
      </c>
      <c r="AD62">
        <f>HYPERLINK("https://klasma.github.io/Logging_1783/tillsynsmail/A 36223-2026 tillsynsbegäran mail.docx", "A 36223-2026")</f>
        <v/>
      </c>
      <c r="AE62">
        <f>HYPERLINK("https://klasma.github.io/Logging_1783/fåglar/A 36223-2026 prioriterade fågelarter.docx", "A 36223-2026")</f>
        <v/>
      </c>
    </row>
    <row r="63" ht="15" customHeight="1">
      <c r="A63" t="inlineStr">
        <is>
          <t>A 31742-2026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46227</v>
      </c>
      <c r="E63" s="1" t="n">
        <v>46305</v>
      </c>
      <c r="F63" t="inlineStr">
        <is>
          <t>VÄRMLANDS LÄN</t>
        </is>
      </c>
      <c r="G63" t="inlineStr">
        <is>
          <t>HAGFORS</t>
        </is>
      </c>
      <c r="I63" t="n">
        <v>4.2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HYPERLINK("https://klasma.github.io/Logging_1783/artfynd/A 31742-2026 artfynd.xlsx", "A 31742-2026")</f>
        <v/>
      </c>
      <c r="X63">
        <f>HYPERLINK("https://klasma.github.io/Logging_1783/kartor/A 31742-2026 karta.png", "A 31742-2026")</f>
        <v/>
      </c>
      <c r="Y63">
        <f>HYPERLINK("https://klasma.github.io/Logging_1783/kartor_geotiff/A 31742-2026 georefererad karta.tif", "A 31742-2026")</f>
        <v/>
      </c>
      <c r="AA63">
        <f>HYPERLINK("https://klasma.github.io/Logging_1783/klagomål/A 31742-2026 FSC-klagomål.docx", "A 31742-2026")</f>
        <v/>
      </c>
      <c r="AB63">
        <f>HYPERLINK("https://klasma.github.io/Logging_1783/klagomålsmail/A 31742-2026 FSC-klagomål mail.docx", "A 31742-2026")</f>
        <v/>
      </c>
      <c r="AC63">
        <f>HYPERLINK("https://klasma.github.io/Logging_1783/tillsyn/A 31742-2026 tillsynsbegäran.docx", "A 31742-2026")</f>
        <v/>
      </c>
      <c r="AD63">
        <f>HYPERLINK("https://klasma.github.io/Logging_1783/tillsynsmail/A 31742-2026 tillsynsbegäran mail.docx", "A 31742-2026")</f>
        <v/>
      </c>
    </row>
    <row r="64" ht="15" customHeight="1">
      <c r="A64" t="inlineStr">
        <is>
          <t>A 32592-2026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46240</v>
      </c>
      <c r="E64" s="1" t="n">
        <v>46305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Lunglav</t>
        </is>
      </c>
      <c r="W64">
        <f>HYPERLINK("https://klasma.github.io/Logging_1783/artfynd/A 32592-2026 artfynd.xlsx", "A 32592-2026")</f>
        <v/>
      </c>
      <c r="X64">
        <f>HYPERLINK("https://klasma.github.io/Logging_1783/kartor/A 32592-2026 karta.png", "A 32592-2026")</f>
        <v/>
      </c>
      <c r="Y64">
        <f>HYPERLINK("https://klasma.github.io/Logging_1783/kartor_geotiff/A 32592-2026 georefererad karta.tif", "A 32592-2026")</f>
        <v/>
      </c>
      <c r="AA64">
        <f>HYPERLINK("https://klasma.github.io/Logging_1783/klagomål/A 32592-2026 FSC-klagomål.docx", "A 32592-2026")</f>
        <v/>
      </c>
      <c r="AB64">
        <f>HYPERLINK("https://klasma.github.io/Logging_1783/klagomålsmail/A 32592-2026 FSC-klagomål mail.docx", "A 32592-2026")</f>
        <v/>
      </c>
      <c r="AC64">
        <f>HYPERLINK("https://klasma.github.io/Logging_1783/tillsyn/A 32592-2026 tillsynsbegäran.docx", "A 32592-2026")</f>
        <v/>
      </c>
      <c r="AD64">
        <f>HYPERLINK("https://klasma.github.io/Logging_1783/tillsynsmail/A 32592-2026 tillsynsbegäran mail.docx", "A 32592-2026")</f>
        <v/>
      </c>
    </row>
    <row r="65" ht="15" customHeight="1">
      <c r="A65" t="inlineStr">
        <is>
          <t>A 40211-2026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46290</v>
      </c>
      <c r="E65" s="1" t="n">
        <v>46305</v>
      </c>
      <c r="F65" t="inlineStr">
        <is>
          <t>VÄRMLANDS LÄN</t>
        </is>
      </c>
      <c r="G65" t="inlineStr">
        <is>
          <t>HAGFORS</t>
        </is>
      </c>
      <c r="I65" t="n">
        <v>2.3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Garnlav</t>
        </is>
      </c>
      <c r="W65">
        <f>HYPERLINK("https://klasma.github.io/Logging_1783/artfynd/A 40211-2026 artfynd.xlsx", "A 40211-2026")</f>
        <v/>
      </c>
      <c r="X65">
        <f>HYPERLINK("https://klasma.github.io/Logging_1783/kartor/A 40211-2026 karta.png", "A 40211-2026")</f>
        <v/>
      </c>
      <c r="Y65">
        <f>HYPERLINK("https://klasma.github.io/Logging_1783/kartor_geotiff/A 40211-2026 georefererad karta.tif", "A 40211-2026")</f>
        <v/>
      </c>
      <c r="AA65">
        <f>HYPERLINK("https://klasma.github.io/Logging_1783/klagomål/A 40211-2026 FSC-klagomål.docx", "A 40211-2026")</f>
        <v/>
      </c>
      <c r="AB65">
        <f>HYPERLINK("https://klasma.github.io/Logging_1783/klagomålsmail/A 40211-2026 FSC-klagomål mail.docx", "A 40211-2026")</f>
        <v/>
      </c>
      <c r="AC65">
        <f>HYPERLINK("https://klasma.github.io/Logging_1783/tillsyn/A 40211-2026 tillsynsbegäran.docx", "A 40211-2026")</f>
        <v/>
      </c>
      <c r="AD65">
        <f>HYPERLINK("https://klasma.github.io/Logging_1783/tillsynsmail/A 40211-2026 tillsynsbegäran mail.docx", "A 40211-2026")</f>
        <v/>
      </c>
    </row>
    <row r="66" ht="15" customHeight="1">
      <c r="A66" t="inlineStr">
        <is>
          <t>A 35256-2026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46261</v>
      </c>
      <c r="E66" s="1" t="n">
        <v>46305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5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Vedticka</t>
        </is>
      </c>
      <c r="W66">
        <f>HYPERLINK("https://klasma.github.io/Logging_1783/artfynd/A 35256-2026 artfynd.xlsx", "A 35256-2026")</f>
        <v/>
      </c>
      <c r="X66">
        <f>HYPERLINK("https://klasma.github.io/Logging_1783/kartor/A 35256-2026 karta.png", "A 35256-2026")</f>
        <v/>
      </c>
      <c r="Y66">
        <f>HYPERLINK("https://klasma.github.io/Logging_1783/kartor_geotiff/A 35256-2026 georefererad karta.tif", "A 35256-2026")</f>
        <v/>
      </c>
      <c r="AA66">
        <f>HYPERLINK("https://klasma.github.io/Logging_1783/klagomål/A 35256-2026 FSC-klagomål.docx", "A 35256-2026")</f>
        <v/>
      </c>
      <c r="AB66">
        <f>HYPERLINK("https://klasma.github.io/Logging_1783/klagomålsmail/A 35256-2026 FSC-klagomål mail.docx", "A 35256-2026")</f>
        <v/>
      </c>
      <c r="AC66">
        <f>HYPERLINK("https://klasma.github.io/Logging_1783/tillsyn/A 35256-2026 tillsynsbegäran.docx", "A 35256-2026")</f>
        <v/>
      </c>
      <c r="AD66">
        <f>HYPERLINK("https://klasma.github.io/Logging_1783/tillsynsmail/A 35256-2026 tillsynsbegäran mail.docx", "A 35256-2026")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46305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46305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46305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46305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46305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46305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46305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46305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46305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46305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46305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46305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46305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46305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46305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46305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46305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46305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46305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46305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46305</v>
      </c>
      <c r="F87" t="inlineStr">
        <is>
          <t>VÄRMLANDS LÄN</t>
        </is>
      </c>
      <c r="G87" t="inlineStr">
        <is>
          <t>HAGFORS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46305</v>
      </c>
      <c r="F88" t="inlineStr">
        <is>
          <t>VÄRMLANDS LÄN</t>
        </is>
      </c>
      <c r="G88" t="inlineStr">
        <is>
          <t>HAGFORS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44594</v>
      </c>
      <c r="E89" s="1" t="n">
        <v>46305</v>
      </c>
      <c r="F89" t="inlineStr">
        <is>
          <t>VÄRMLANDS LÄN</t>
        </is>
      </c>
      <c r="G89" t="inlineStr">
        <is>
          <t>HAGFORS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44545</v>
      </c>
      <c r="E90" s="1" t="n">
        <v>46305</v>
      </c>
      <c r="F90" t="inlineStr">
        <is>
          <t>VÄRMLANDS LÄN</t>
        </is>
      </c>
      <c r="G90" t="inlineStr">
        <is>
          <t>HAGFORS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46305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46305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43475-2022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44836</v>
      </c>
      <c r="E93" s="1" t="n">
        <v>46305</v>
      </c>
      <c r="F93" t="inlineStr">
        <is>
          <t>VÄRMLANDS LÄN</t>
        </is>
      </c>
      <c r="G93" t="inlineStr">
        <is>
          <t>HAGFORS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46305</v>
      </c>
      <c r="F94" t="inlineStr">
        <is>
          <t>VÄRMLANDS LÄN</t>
        </is>
      </c>
      <c r="G94" t="inlineStr">
        <is>
          <t>HAGFORS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46305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17923-2022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44683</v>
      </c>
      <c r="E96" s="1" t="n">
        <v>46305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44810</v>
      </c>
      <c r="E97" s="1" t="n">
        <v>46305</v>
      </c>
      <c r="F97" t="inlineStr">
        <is>
          <t>VÄRMLANDS LÄN</t>
        </is>
      </c>
      <c r="G97" t="inlineStr">
        <is>
          <t>HAGFORS</t>
        </is>
      </c>
      <c r="I97" t="n">
        <v>10.3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46305</v>
      </c>
      <c r="F98" t="inlineStr">
        <is>
          <t>VÄRMLANDS LÄN</t>
        </is>
      </c>
      <c r="G98" t="inlineStr">
        <is>
          <t>HAGFORS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70713-2021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44537</v>
      </c>
      <c r="E99" s="1" t="n">
        <v>46305</v>
      </c>
      <c r="F99" t="inlineStr">
        <is>
          <t>VÄRMLANDS LÄN</t>
        </is>
      </c>
      <c r="G99" t="inlineStr">
        <is>
          <t>HAGFORS</t>
        </is>
      </c>
      <c r="H99" t="inlineStr">
        <is>
          <t>Kommuner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46305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44699</v>
      </c>
      <c r="E101" s="1" t="n">
        <v>46305</v>
      </c>
      <c r="F101" t="inlineStr">
        <is>
          <t>VÄRMLANDS LÄN</t>
        </is>
      </c>
      <c r="G101" t="inlineStr">
        <is>
          <t>HAGFORS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46305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46305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72375-2021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44545</v>
      </c>
      <c r="E104" s="1" t="n">
        <v>46305</v>
      </c>
      <c r="F104" t="inlineStr">
        <is>
          <t>VÄRMLANDS LÄN</t>
        </is>
      </c>
      <c r="G104" t="inlineStr">
        <is>
          <t>HAGFORS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46305</v>
      </c>
      <c r="F105" t="inlineStr">
        <is>
          <t>VÄRMLANDS LÄN</t>
        </is>
      </c>
      <c r="G105" t="inlineStr">
        <is>
          <t>HAGFORS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46305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8577-2022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44613</v>
      </c>
      <c r="E107" s="1" t="n">
        <v>46305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11744-2024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45373</v>
      </c>
      <c r="E108" s="1" t="n">
        <v>46305</v>
      </c>
      <c r="F108" t="inlineStr">
        <is>
          <t>VÄRMLANDS LÄN</t>
        </is>
      </c>
      <c r="G108" t="inlineStr">
        <is>
          <t>HAGFORS</t>
        </is>
      </c>
      <c r="H108" t="inlineStr">
        <is>
          <t>Bergvik skog väst AB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45338</v>
      </c>
      <c r="E109" s="1" t="n">
        <v>46305</v>
      </c>
      <c r="F109" t="inlineStr">
        <is>
          <t>VÄRMLANDS LÄN</t>
        </is>
      </c>
      <c r="G109" t="inlineStr">
        <is>
          <t>HAGFORS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47516-2023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45203</v>
      </c>
      <c r="E110" s="1" t="n">
        <v>46305</v>
      </c>
      <c r="F110" t="inlineStr">
        <is>
          <t>VÄRMLANDS LÄN</t>
        </is>
      </c>
      <c r="G110" t="inlineStr">
        <is>
          <t>HAGFORS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65565-2021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46305</v>
      </c>
      <c r="F111" t="inlineStr">
        <is>
          <t>VÄRMLANDS LÄN</t>
        </is>
      </c>
      <c r="G111" t="inlineStr">
        <is>
          <t>HAGFORS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17402-2022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44678</v>
      </c>
      <c r="E112" s="1" t="n">
        <v>46305</v>
      </c>
      <c r="F112" t="inlineStr">
        <is>
          <t>VÄRMLANDS LÄN</t>
        </is>
      </c>
      <c r="G112" t="inlineStr">
        <is>
          <t>HAGFORS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44896</v>
      </c>
      <c r="E113" s="1" t="n">
        <v>46305</v>
      </c>
      <c r="F113" t="inlineStr">
        <is>
          <t>VÄRMLANDS LÄN</t>
        </is>
      </c>
      <c r="G113" t="inlineStr">
        <is>
          <t>HAGFORS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44706</v>
      </c>
      <c r="E114" s="1" t="n">
        <v>46305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45400</v>
      </c>
      <c r="E115" s="1" t="n">
        <v>46305</v>
      </c>
      <c r="F115" t="inlineStr">
        <is>
          <t>VÄRMLANDS LÄN</t>
        </is>
      </c>
      <c r="G115" t="inlineStr">
        <is>
          <t>HAGFORS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39640-2022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46305</v>
      </c>
      <c r="F116" t="inlineStr">
        <is>
          <t>VÄRMLANDS LÄN</t>
        </is>
      </c>
      <c r="G116" t="inlineStr">
        <is>
          <t>HAGFORS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45090</v>
      </c>
      <c r="E117" s="1" t="n">
        <v>46305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46305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11241-2024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45371</v>
      </c>
      <c r="E119" s="1" t="n">
        <v>46305</v>
      </c>
      <c r="F119" t="inlineStr">
        <is>
          <t>VÄRMLANDS LÄN</t>
        </is>
      </c>
      <c r="G119" t="inlineStr">
        <is>
          <t>HAGFORS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21451-2024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45441</v>
      </c>
      <c r="E120" s="1" t="n">
        <v>46305</v>
      </c>
      <c r="F120" t="inlineStr">
        <is>
          <t>VÄRMLANDS LÄN</t>
        </is>
      </c>
      <c r="G120" t="inlineStr">
        <is>
          <t>HAGFORS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20103-2024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46305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61818-2023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45266</v>
      </c>
      <c r="E122" s="1" t="n">
        <v>46305</v>
      </c>
      <c r="F122" t="inlineStr">
        <is>
          <t>VÄRMLANDS LÄN</t>
        </is>
      </c>
      <c r="G122" t="inlineStr">
        <is>
          <t>HAGFORS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55137-2024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45621</v>
      </c>
      <c r="E123" s="1" t="n">
        <v>46305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45425</v>
      </c>
      <c r="E124" s="1" t="n">
        <v>46305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45112</v>
      </c>
      <c r="E125" s="1" t="n">
        <v>46305</v>
      </c>
      <c r="F125" t="inlineStr">
        <is>
          <t>VÄRMLANDS LÄN</t>
        </is>
      </c>
      <c r="G125" t="inlineStr">
        <is>
          <t>HAGFORS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46305</v>
      </c>
      <c r="F126" t="inlineStr">
        <is>
          <t>VÄRMLANDS LÄN</t>
        </is>
      </c>
      <c r="G126" t="inlineStr">
        <is>
          <t>HAGFORS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46305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46305</v>
      </c>
      <c r="F128" t="inlineStr">
        <is>
          <t>VÄRMLANDS LÄN</t>
        </is>
      </c>
      <c r="G128" t="inlineStr">
        <is>
          <t>HAGFORS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44904</v>
      </c>
      <c r="E129" s="1" t="n">
        <v>46305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20466-2023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46305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46305</v>
      </c>
      <c r="F131" t="inlineStr">
        <is>
          <t>VÄRMLANDS LÄN</t>
        </is>
      </c>
      <c r="G131" t="inlineStr">
        <is>
          <t>HAGFORS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46305</v>
      </c>
      <c r="F132" t="inlineStr">
        <is>
          <t>VÄRMLANDS LÄN</t>
        </is>
      </c>
      <c r="G132" t="inlineStr">
        <is>
          <t>HAGFORS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45244</v>
      </c>
      <c r="E133" s="1" t="n">
        <v>46305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46305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46305</v>
      </c>
      <c r="F135" t="inlineStr">
        <is>
          <t>VÄRMLANDS LÄN</t>
        </is>
      </c>
      <c r="G135" t="inlineStr">
        <is>
          <t>HAGFORS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45673</v>
      </c>
      <c r="E136" s="1" t="n">
        <v>46305</v>
      </c>
      <c r="F136" t="inlineStr">
        <is>
          <t>VÄRMLANDS LÄN</t>
        </is>
      </c>
      <c r="G136" t="inlineStr">
        <is>
          <t>HAGFORS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18014-2024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45419</v>
      </c>
      <c r="E137" s="1" t="n">
        <v>46305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45713</v>
      </c>
      <c r="E138" s="1" t="n">
        <v>46305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45772</v>
      </c>
      <c r="E139" s="1" t="n">
        <v>46305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19554-2024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45429</v>
      </c>
      <c r="E140" s="1" t="n">
        <v>46305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28654-2023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45103</v>
      </c>
      <c r="E141" s="1" t="n">
        <v>46305</v>
      </c>
      <c r="F141" t="inlineStr">
        <is>
          <t>VÄRMLANDS LÄN</t>
        </is>
      </c>
      <c r="G141" t="inlineStr">
        <is>
          <t>HAGFORS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46305</v>
      </c>
      <c r="F142" t="inlineStr">
        <is>
          <t>VÄRMLANDS LÄN</t>
        </is>
      </c>
      <c r="G142" t="inlineStr">
        <is>
          <t>HAGFORS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45268</v>
      </c>
      <c r="E143" s="1" t="n">
        <v>46305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14897-2024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45398</v>
      </c>
      <c r="E144" s="1" t="n">
        <v>46305</v>
      </c>
      <c r="F144" t="inlineStr">
        <is>
          <t>VÄRMLANDS LÄN</t>
        </is>
      </c>
      <c r="G144" t="inlineStr">
        <is>
          <t>HAGFORS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46305</v>
      </c>
      <c r="F145" t="inlineStr">
        <is>
          <t>VÄRMLANDS LÄN</t>
        </is>
      </c>
      <c r="G145" t="inlineStr">
        <is>
          <t>HAGFORS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45149</v>
      </c>
      <c r="E146" s="1" t="n">
        <v>46305</v>
      </c>
      <c r="F146" t="inlineStr">
        <is>
          <t>VÄRMLANDS LÄN</t>
        </is>
      </c>
      <c r="G146" t="inlineStr">
        <is>
          <t>HAGFORS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46305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56895-2023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46305</v>
      </c>
      <c r="F148" t="inlineStr">
        <is>
          <t>VÄRMLANDS LÄN</t>
        </is>
      </c>
      <c r="G148" t="inlineStr">
        <is>
          <t>HAGFORS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22503-2024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45447</v>
      </c>
      <c r="E149" s="1" t="n">
        <v>46305</v>
      </c>
      <c r="F149" t="inlineStr">
        <is>
          <t>VÄRMLANDS LÄN</t>
        </is>
      </c>
      <c r="G149" t="inlineStr">
        <is>
          <t>HAGFORS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35664-2023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46305</v>
      </c>
      <c r="F150" t="inlineStr">
        <is>
          <t>VÄRMLANDS LÄN</t>
        </is>
      </c>
      <c r="G150" t="inlineStr">
        <is>
          <t>HAGFORS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46305</v>
      </c>
      <c r="F151" t="inlineStr">
        <is>
          <t>VÄRMLANDS LÄN</t>
        </is>
      </c>
      <c r="G151" t="inlineStr">
        <is>
          <t>HAGFORS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46305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45443</v>
      </c>
      <c r="E153" s="1" t="n">
        <v>46305</v>
      </c>
      <c r="F153" t="inlineStr">
        <is>
          <t>VÄRMLANDS LÄN</t>
        </is>
      </c>
      <c r="G153" t="inlineStr">
        <is>
          <t>HAGFORS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46305</v>
      </c>
      <c r="F154" t="inlineStr">
        <is>
          <t>VÄRMLANDS LÄN</t>
        </is>
      </c>
      <c r="G154" t="inlineStr">
        <is>
          <t>HAGFORS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45226</v>
      </c>
      <c r="E155" s="1" t="n">
        <v>46305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45420</v>
      </c>
      <c r="E156" s="1" t="n">
        <v>46305</v>
      </c>
      <c r="F156" t="inlineStr">
        <is>
          <t>VÄRMLANDS LÄN</t>
        </is>
      </c>
      <c r="G156" t="inlineStr">
        <is>
          <t>HAGFORS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46305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44728-2023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46305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44950</v>
      </c>
      <c r="E159" s="1" t="n">
        <v>46305</v>
      </c>
      <c r="F159" t="inlineStr">
        <is>
          <t>VÄRMLANDS LÄN</t>
        </is>
      </c>
      <c r="G159" t="inlineStr">
        <is>
          <t>HAGFORS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44950</v>
      </c>
      <c r="E160" s="1" t="n">
        <v>46305</v>
      </c>
      <c r="F160" t="inlineStr">
        <is>
          <t>VÄRMLANDS LÄN</t>
        </is>
      </c>
      <c r="G160" t="inlineStr">
        <is>
          <t>HAGFORS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35088-2024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45527</v>
      </c>
      <c r="E161" s="1" t="n">
        <v>46305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46305</v>
      </c>
      <c r="F162" t="inlineStr">
        <is>
          <t>VÄRMLANDS LÄN</t>
        </is>
      </c>
      <c r="G162" t="inlineStr">
        <is>
          <t>HAGFORS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44834</v>
      </c>
      <c r="E163" s="1" t="n">
        <v>46305</v>
      </c>
      <c r="F163" t="inlineStr">
        <is>
          <t>VÄRMLANDS LÄN</t>
        </is>
      </c>
      <c r="G163" t="inlineStr">
        <is>
          <t>HAGFORS</t>
        </is>
      </c>
      <c r="H163" t="inlineStr">
        <is>
          <t>Kyrkan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44770</v>
      </c>
      <c r="E164" s="1" t="n">
        <v>46305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10.1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15538-2024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45401</v>
      </c>
      <c r="E165" s="1" t="n">
        <v>46305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17297-2024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46305</v>
      </c>
      <c r="F166" t="inlineStr">
        <is>
          <t>VÄRMLANDS LÄN</t>
        </is>
      </c>
      <c r="G166" t="inlineStr">
        <is>
          <t>HAGFORS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17329-2024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45414</v>
      </c>
      <c r="E167" s="1" t="n">
        <v>46305</v>
      </c>
      <c r="F167" t="inlineStr">
        <is>
          <t>VÄRMLANDS LÄN</t>
        </is>
      </c>
      <c r="G167" t="inlineStr">
        <is>
          <t>HAGFORS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45328</v>
      </c>
      <c r="E168" s="1" t="n">
        <v>46305</v>
      </c>
      <c r="F168" t="inlineStr">
        <is>
          <t>VÄRMLANDS LÄN</t>
        </is>
      </c>
      <c r="G168" t="inlineStr">
        <is>
          <t>HAGFORS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65065-2023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45287</v>
      </c>
      <c r="E169" s="1" t="n">
        <v>46305</v>
      </c>
      <c r="F169" t="inlineStr">
        <is>
          <t>VÄRMLANDS LÄN</t>
        </is>
      </c>
      <c r="G169" t="inlineStr">
        <is>
          <t>HAGFORS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45226</v>
      </c>
      <c r="E170" s="1" t="n">
        <v>46305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58210-2022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44901</v>
      </c>
      <c r="E171" s="1" t="n">
        <v>46305</v>
      </c>
      <c r="F171" t="inlineStr">
        <is>
          <t>VÄRMLANDS LÄN</t>
        </is>
      </c>
      <c r="G171" t="inlineStr">
        <is>
          <t>HAGFORS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46305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46305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25258-2023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45079</v>
      </c>
      <c r="E174" s="1" t="n">
        <v>46305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46305</v>
      </c>
      <c r="F175" t="inlineStr">
        <is>
          <t>VÄRMLANDS LÄN</t>
        </is>
      </c>
      <c r="G175" t="inlineStr">
        <is>
          <t>HAGFORS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46305</v>
      </c>
      <c r="F176" t="inlineStr">
        <is>
          <t>VÄRMLANDS LÄN</t>
        </is>
      </c>
      <c r="G176" t="inlineStr">
        <is>
          <t>HAGFORS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46305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46305</v>
      </c>
      <c r="F178" t="inlineStr">
        <is>
          <t>VÄRMLANDS LÄN</t>
        </is>
      </c>
      <c r="G178" t="inlineStr">
        <is>
          <t>HAGFORS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60167-2023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45258</v>
      </c>
      <c r="E179" s="1" t="n">
        <v>46305</v>
      </c>
      <c r="F179" t="inlineStr">
        <is>
          <t>VÄRMLANDS LÄN</t>
        </is>
      </c>
      <c r="G179" t="inlineStr">
        <is>
          <t>HAGFORS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36293-2023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46305</v>
      </c>
      <c r="F180" t="inlineStr">
        <is>
          <t>VÄRMLANDS LÄN</t>
        </is>
      </c>
      <c r="G180" t="inlineStr">
        <is>
          <t>HAGFORS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46305</v>
      </c>
      <c r="F181" t="inlineStr">
        <is>
          <t>VÄRMLANDS LÄN</t>
        </is>
      </c>
      <c r="G181" t="inlineStr">
        <is>
          <t>HAGFORS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46305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46305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45518</v>
      </c>
      <c r="E184" s="1" t="n">
        <v>46305</v>
      </c>
      <c r="F184" t="inlineStr">
        <is>
          <t>VÄRMLANDS LÄN</t>
        </is>
      </c>
      <c r="G184" t="inlineStr">
        <is>
          <t>HAGFORS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44869</v>
      </c>
      <c r="E185" s="1" t="n">
        <v>46305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34529-2023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45140</v>
      </c>
      <c r="E186" s="1" t="n">
        <v>46305</v>
      </c>
      <c r="F186" t="inlineStr">
        <is>
          <t>VÄRMLANDS LÄN</t>
        </is>
      </c>
      <c r="G186" t="inlineStr">
        <is>
          <t>HAGFORS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46305</v>
      </c>
      <c r="F187" t="inlineStr">
        <is>
          <t>VÄRMLANDS LÄN</t>
        </is>
      </c>
      <c r="G187" t="inlineStr">
        <is>
          <t>HAGFORS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45519</v>
      </c>
      <c r="E188" s="1" t="n">
        <v>46305</v>
      </c>
      <c r="F188" t="inlineStr">
        <is>
          <t>VÄRMLANDS LÄN</t>
        </is>
      </c>
      <c r="G188" t="inlineStr">
        <is>
          <t>HAGFORS</t>
        </is>
      </c>
      <c r="I188" t="n">
        <v>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24857-2025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46305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45489</v>
      </c>
      <c r="E190" s="1" t="n">
        <v>46305</v>
      </c>
      <c r="F190" t="inlineStr">
        <is>
          <t>VÄRMLANDS LÄN</t>
        </is>
      </c>
      <c r="G190" t="inlineStr">
        <is>
          <t>HAGFORS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38612-2023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45162</v>
      </c>
      <c r="E191" s="1" t="n">
        <v>46305</v>
      </c>
      <c r="F191" t="inlineStr">
        <is>
          <t>VÄRMLANDS LÄN</t>
        </is>
      </c>
      <c r="G191" t="inlineStr">
        <is>
          <t>HAGFORS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56888-2023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46305</v>
      </c>
      <c r="F192" t="inlineStr">
        <is>
          <t>VÄRMLANDS LÄN</t>
        </is>
      </c>
      <c r="G192" t="inlineStr">
        <is>
          <t>HAGFORS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46305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46305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24638-2023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45084</v>
      </c>
      <c r="E195" s="1" t="n">
        <v>46305</v>
      </c>
      <c r="F195" t="inlineStr">
        <is>
          <t>VÄRMLANDS LÄN</t>
        </is>
      </c>
      <c r="G195" t="inlineStr">
        <is>
          <t>HAGFORS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44951</v>
      </c>
      <c r="E196" s="1" t="n">
        <v>46305</v>
      </c>
      <c r="F196" t="inlineStr">
        <is>
          <t>VÄRMLANDS LÄN</t>
        </is>
      </c>
      <c r="G196" t="inlineStr">
        <is>
          <t>HAGFORS</t>
        </is>
      </c>
      <c r="H196" t="inlineStr">
        <is>
          <t>Kyrkan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39904-2025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46305</v>
      </c>
      <c r="F197" t="inlineStr">
        <is>
          <t>VÄRMLANDS LÄN</t>
        </is>
      </c>
      <c r="G197" t="inlineStr">
        <is>
          <t>HAGFORS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46305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45729</v>
      </c>
      <c r="E199" s="1" t="n">
        <v>46305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46305</v>
      </c>
      <c r="F200" t="inlineStr">
        <is>
          <t>VÄRMLANDS LÄN</t>
        </is>
      </c>
      <c r="G200" t="inlineStr">
        <is>
          <t>HAGFORS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45739</v>
      </c>
      <c r="E201" s="1" t="n">
        <v>46305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41153-2025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46305</v>
      </c>
      <c r="F202" t="inlineStr">
        <is>
          <t>VÄRMLANDS LÄN</t>
        </is>
      </c>
      <c r="G202" t="inlineStr">
        <is>
          <t>HAGFORS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41154-2025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46305</v>
      </c>
      <c r="F203" t="inlineStr">
        <is>
          <t>VÄRMLANDS LÄN</t>
        </is>
      </c>
      <c r="G203" t="inlineStr">
        <is>
          <t>HAGFORS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60974-2024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46305</v>
      </c>
      <c r="F204" t="inlineStr">
        <is>
          <t>VÄRMLANDS LÄN</t>
        </is>
      </c>
      <c r="G204" t="inlineStr">
        <is>
          <t>HAGFORS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46305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35775-2024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45532</v>
      </c>
      <c r="E206" s="1" t="n">
        <v>46305</v>
      </c>
      <c r="F206" t="inlineStr">
        <is>
          <t>VÄRMLANDS LÄN</t>
        </is>
      </c>
      <c r="G206" t="inlineStr">
        <is>
          <t>HAGFORS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46305</v>
      </c>
      <c r="F207" t="inlineStr">
        <is>
          <t>VÄRMLANDS LÄN</t>
        </is>
      </c>
      <c r="G207" t="inlineStr">
        <is>
          <t>HAGFORS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61169-2024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45645</v>
      </c>
      <c r="E208" s="1" t="n">
        <v>46305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46305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32149-2023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46305</v>
      </c>
      <c r="F210" t="inlineStr">
        <is>
          <t>VÄRMLANDS LÄN</t>
        </is>
      </c>
      <c r="G210" t="inlineStr">
        <is>
          <t>HAGFORS</t>
        </is>
      </c>
      <c r="I210" t="n">
        <v>9.1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26777-2023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46305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45624</v>
      </c>
      <c r="E212" s="1" t="n">
        <v>46305</v>
      </c>
      <c r="F212" t="inlineStr">
        <is>
          <t>VÄRMLANDS LÄN</t>
        </is>
      </c>
      <c r="G212" t="inlineStr">
        <is>
          <t>HAGFORS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41784-2025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45902</v>
      </c>
      <c r="E213" s="1" t="n">
        <v>46305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45684</v>
      </c>
      <c r="E214" s="1" t="n">
        <v>46305</v>
      </c>
      <c r="F214" t="inlineStr">
        <is>
          <t>VÄRMLANDS LÄN</t>
        </is>
      </c>
      <c r="G214" t="inlineStr">
        <is>
          <t>HAGFORS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46305</v>
      </c>
      <c r="F215" t="inlineStr">
        <is>
          <t>VÄRMLANDS LÄN</t>
        </is>
      </c>
      <c r="G215" t="inlineStr">
        <is>
          <t>HAGFORS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71447-2021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44540</v>
      </c>
      <c r="E216" s="1" t="n">
        <v>46305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19894-2024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45433</v>
      </c>
      <c r="E217" s="1" t="n">
        <v>46305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45335</v>
      </c>
      <c r="E218" s="1" t="n">
        <v>46305</v>
      </c>
      <c r="F218" t="inlineStr">
        <is>
          <t>VÄRMLANDS LÄN</t>
        </is>
      </c>
      <c r="G218" t="inlineStr">
        <is>
          <t>HAGFORS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45323</v>
      </c>
      <c r="E219" s="1" t="n">
        <v>46305</v>
      </c>
      <c r="F219" t="inlineStr">
        <is>
          <t>VÄRMLANDS LÄN</t>
        </is>
      </c>
      <c r="G219" t="inlineStr">
        <is>
          <t>HAGFORS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44938</v>
      </c>
      <c r="E220" s="1" t="n">
        <v>46305</v>
      </c>
      <c r="F220" t="inlineStr">
        <is>
          <t>VÄRMLANDS LÄN</t>
        </is>
      </c>
      <c r="G220" t="inlineStr">
        <is>
          <t>HAGFORS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46305</v>
      </c>
      <c r="F221" t="inlineStr">
        <is>
          <t>VÄRMLANDS LÄN</t>
        </is>
      </c>
      <c r="G221" t="inlineStr">
        <is>
          <t>HAGFORS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44924</v>
      </c>
      <c r="E222" s="1" t="n">
        <v>46305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45632</v>
      </c>
      <c r="E223" s="1" t="n">
        <v>46305</v>
      </c>
      <c r="F223" t="inlineStr">
        <is>
          <t>VÄRMLANDS LÄN</t>
        </is>
      </c>
      <c r="G223" t="inlineStr">
        <is>
          <t>HAGFORS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45632</v>
      </c>
      <c r="E224" s="1" t="n">
        <v>46305</v>
      </c>
      <c r="F224" t="inlineStr">
        <is>
          <t>VÄRMLANDS LÄN</t>
        </is>
      </c>
      <c r="G224" t="inlineStr">
        <is>
          <t>HAGFORS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45905</v>
      </c>
      <c r="E225" s="1" t="n">
        <v>46305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46305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27826-2024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45475</v>
      </c>
      <c r="E227" s="1" t="n">
        <v>46305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45475</v>
      </c>
      <c r="E228" s="1" t="n">
        <v>46305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19125-2024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45428</v>
      </c>
      <c r="E229" s="1" t="n">
        <v>46305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19.5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45335</v>
      </c>
      <c r="E230" s="1" t="n">
        <v>46305</v>
      </c>
      <c r="F230" t="inlineStr">
        <is>
          <t>VÄRMLANDS LÄN</t>
        </is>
      </c>
      <c r="G230" t="inlineStr">
        <is>
          <t>HAGFORS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46305</v>
      </c>
      <c r="F231" t="inlineStr">
        <is>
          <t>VÄRMLANDS LÄN</t>
        </is>
      </c>
      <c r="G231" t="inlineStr">
        <is>
          <t>HAGFORS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42173-2024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45562</v>
      </c>
      <c r="E232" s="1" t="n">
        <v>46305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17305-2023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45035</v>
      </c>
      <c r="E233" s="1" t="n">
        <v>46305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42178-2024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46305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42235-2024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46305</v>
      </c>
      <c r="F235" t="inlineStr">
        <is>
          <t>VÄRMLANDS LÄN</t>
        </is>
      </c>
      <c r="G235" t="inlineStr">
        <is>
          <t>HAGFORS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42430-2025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45905</v>
      </c>
      <c r="E236" s="1" t="n">
        <v>46305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44567</v>
      </c>
      <c r="E237" s="1" t="n">
        <v>46305</v>
      </c>
      <c r="F237" t="inlineStr">
        <is>
          <t>VÄRMLANDS LÄN</t>
        </is>
      </c>
      <c r="G237" t="inlineStr">
        <is>
          <t>HAGFORS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46305</v>
      </c>
      <c r="F238" t="inlineStr">
        <is>
          <t>VÄRMLANDS LÄN</t>
        </is>
      </c>
      <c r="G238" t="inlineStr">
        <is>
          <t>HAGFORS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45148</v>
      </c>
      <c r="E239" s="1" t="n">
        <v>46305</v>
      </c>
      <c r="F239" t="inlineStr">
        <is>
          <t>VÄRMLANDS LÄN</t>
        </is>
      </c>
      <c r="G239" t="inlineStr">
        <is>
          <t>HAGFORS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29447-2025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46305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45475</v>
      </c>
      <c r="E241" s="1" t="n">
        <v>46305</v>
      </c>
      <c r="F241" t="inlineStr">
        <is>
          <t>VÄRMLANDS LÄN</t>
        </is>
      </c>
      <c r="G241" t="inlineStr">
        <is>
          <t>HAGFORS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44582</v>
      </c>
      <c r="E242" s="1" t="n">
        <v>46305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44622</v>
      </c>
      <c r="E243" s="1" t="n">
        <v>46305</v>
      </c>
      <c r="F243" t="inlineStr">
        <is>
          <t>VÄRMLANDS LÄN</t>
        </is>
      </c>
      <c r="G243" t="inlineStr">
        <is>
          <t>HAGFORS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21067-2025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45777</v>
      </c>
      <c r="E244" s="1" t="n">
        <v>46305</v>
      </c>
      <c r="F244" t="inlineStr">
        <is>
          <t>VÄRMLANDS LÄN</t>
        </is>
      </c>
      <c r="G244" t="inlineStr">
        <is>
          <t>HAGFORS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46305</v>
      </c>
      <c r="F245" t="inlineStr">
        <is>
          <t>VÄRMLANDS LÄN</t>
        </is>
      </c>
      <c r="G245" t="inlineStr">
        <is>
          <t>HAGFORS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23065-2025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46305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19583-2023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45050</v>
      </c>
      <c r="E247" s="1" t="n">
        <v>46305</v>
      </c>
      <c r="F247" t="inlineStr">
        <is>
          <t>VÄRMLANDS LÄN</t>
        </is>
      </c>
      <c r="G247" t="inlineStr">
        <is>
          <t>HAGFORS</t>
        </is>
      </c>
      <c r="H247" t="inlineStr">
        <is>
          <t>Kommuner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47425-2024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46305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45460</v>
      </c>
      <c r="E249" s="1" t="n">
        <v>46305</v>
      </c>
      <c r="F249" t="inlineStr">
        <is>
          <t>VÄRMLANDS LÄN</t>
        </is>
      </c>
      <c r="G249" t="inlineStr">
        <is>
          <t>HAGFORS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46305</v>
      </c>
      <c r="F250" t="inlineStr">
        <is>
          <t>VÄRMLANDS LÄN</t>
        </is>
      </c>
      <c r="G250" t="inlineStr">
        <is>
          <t>HAGFORS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41603-2023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45175</v>
      </c>
      <c r="E251" s="1" t="n">
        <v>46305</v>
      </c>
      <c r="F251" t="inlineStr">
        <is>
          <t>VÄRMLANDS LÄN</t>
        </is>
      </c>
      <c r="G251" t="inlineStr">
        <is>
          <t>HAGFORS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21723-2025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45783</v>
      </c>
      <c r="E252" s="1" t="n">
        <v>46305</v>
      </c>
      <c r="F252" t="inlineStr">
        <is>
          <t>VÄRMLANDS LÄN</t>
        </is>
      </c>
      <c r="G252" t="inlineStr">
        <is>
          <t>HAGFORS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32147-2023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46305</v>
      </c>
      <c r="F253" t="inlineStr">
        <is>
          <t>VÄRMLANDS LÄN</t>
        </is>
      </c>
      <c r="G253" t="inlineStr">
        <is>
          <t>HAGFORS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44804-2025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46305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22461-2025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45786</v>
      </c>
      <c r="E255" s="1" t="n">
        <v>46305</v>
      </c>
      <c r="F255" t="inlineStr">
        <is>
          <t>VÄRMLANDS LÄN</t>
        </is>
      </c>
      <c r="G255" t="inlineStr">
        <is>
          <t>HAGFORS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17833-2022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44683</v>
      </c>
      <c r="E256" s="1" t="n">
        <v>46305</v>
      </c>
      <c r="F256" t="inlineStr">
        <is>
          <t>VÄRMLANDS LÄN</t>
        </is>
      </c>
      <c r="G256" t="inlineStr">
        <is>
          <t>HAGFORS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44938</v>
      </c>
      <c r="E257" s="1" t="n">
        <v>46305</v>
      </c>
      <c r="F257" t="inlineStr">
        <is>
          <t>VÄRMLANDS LÄN</t>
        </is>
      </c>
      <c r="G257" t="inlineStr">
        <is>
          <t>HAGFORS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46305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42170-2024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46305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46305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42243-2024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45562</v>
      </c>
      <c r="E261" s="1" t="n">
        <v>46305</v>
      </c>
      <c r="F261" t="inlineStr">
        <is>
          <t>VÄRMLANDS LÄN</t>
        </is>
      </c>
      <c r="G261" t="inlineStr">
        <is>
          <t>HAGFORS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38887-2024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45547</v>
      </c>
      <c r="E262" s="1" t="n">
        <v>46305</v>
      </c>
      <c r="F262" t="inlineStr">
        <is>
          <t>VÄRMLANDS LÄN</t>
        </is>
      </c>
      <c r="G262" t="inlineStr">
        <is>
          <t>HAGFORS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46305</v>
      </c>
      <c r="F263" t="inlineStr">
        <is>
          <t>VÄRMLANDS LÄN</t>
        </is>
      </c>
      <c r="G263" t="inlineStr">
        <is>
          <t>HAGFORS</t>
        </is>
      </c>
      <c r="I263" t="n">
        <v>13.5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34636-2024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45526</v>
      </c>
      <c r="E264" s="1" t="n">
        <v>46305</v>
      </c>
      <c r="F264" t="inlineStr">
        <is>
          <t>VÄRMLANDS LÄN</t>
        </is>
      </c>
      <c r="G264" t="inlineStr">
        <is>
          <t>HAGFORS</t>
        </is>
      </c>
      <c r="H264" t="inlineStr">
        <is>
          <t>Bergvik skog väst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46305</v>
      </c>
      <c r="F265" t="inlineStr">
        <is>
          <t>VÄRMLANDS LÄN</t>
        </is>
      </c>
      <c r="G265" t="inlineStr">
        <is>
          <t>HAGFORS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45492</v>
      </c>
      <c r="E266" s="1" t="n">
        <v>46305</v>
      </c>
      <c r="F266" t="inlineStr">
        <is>
          <t>VÄRMLANDS LÄN</t>
        </is>
      </c>
      <c r="G266" t="inlineStr">
        <is>
          <t>HAGFORS</t>
        </is>
      </c>
      <c r="H266" t="inlineStr">
        <is>
          <t>Kyrkan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46305</v>
      </c>
      <c r="F267" t="inlineStr">
        <is>
          <t>VÄRMLANDS LÄN</t>
        </is>
      </c>
      <c r="G267" t="inlineStr">
        <is>
          <t>HAGFORS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45361-2025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46305</v>
      </c>
      <c r="F268" t="inlineStr">
        <is>
          <t>VÄRMLANDS LÄN</t>
        </is>
      </c>
      <c r="G268" t="inlineStr">
        <is>
          <t>HAGFORS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22917-2025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45790</v>
      </c>
      <c r="E269" s="1" t="n">
        <v>46305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46305</v>
      </c>
      <c r="F270" t="inlineStr">
        <is>
          <t>VÄRMLANDS LÄN</t>
        </is>
      </c>
      <c r="G270" t="inlineStr">
        <is>
          <t>HAGFORS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22964-2025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45790</v>
      </c>
      <c r="E271" s="1" t="n">
        <v>46305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45789</v>
      </c>
      <c r="E272" s="1" t="n">
        <v>46305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46305</v>
      </c>
      <c r="F273" t="inlineStr">
        <is>
          <t>VÄRMLANDS LÄN</t>
        </is>
      </c>
      <c r="G273" t="inlineStr">
        <is>
          <t>HAGFORS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45791</v>
      </c>
      <c r="E274" s="1" t="n">
        <v>46305</v>
      </c>
      <c r="F274" t="inlineStr">
        <is>
          <t>VÄRMLANDS LÄN</t>
        </is>
      </c>
      <c r="G274" t="inlineStr">
        <is>
          <t>HAGFORS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46305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46305</v>
      </c>
      <c r="F276" t="inlineStr">
        <is>
          <t>VÄRMLANDS LÄN</t>
        </is>
      </c>
      <c r="G276" t="inlineStr">
        <is>
          <t>HAGFORS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23556-2025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45792</v>
      </c>
      <c r="E277" s="1" t="n">
        <v>46305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40692-2022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44824</v>
      </c>
      <c r="E278" s="1" t="n">
        <v>46305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23525-2025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45792</v>
      </c>
      <c r="E279" s="1" t="n">
        <v>46305</v>
      </c>
      <c r="F279" t="inlineStr">
        <is>
          <t>VÄRMLANDS LÄN</t>
        </is>
      </c>
      <c r="G279" t="inlineStr">
        <is>
          <t>HAGFORS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16824-2023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45033</v>
      </c>
      <c r="E280" s="1" t="n">
        <v>46305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54757-2022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44883</v>
      </c>
      <c r="E281" s="1" t="n">
        <v>46305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17.9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46280-2025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46305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46305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46581-2025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46305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46305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15.8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45420</v>
      </c>
      <c r="E286" s="1" t="n">
        <v>46305</v>
      </c>
      <c r="F286" t="inlineStr">
        <is>
          <t>VÄRMLANDS LÄN</t>
        </is>
      </c>
      <c r="G286" t="inlineStr">
        <is>
          <t>HAGFORS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45201</v>
      </c>
      <c r="E287" s="1" t="n">
        <v>46305</v>
      </c>
      <c r="F287" t="inlineStr">
        <is>
          <t>VÄRMLANDS LÄN</t>
        </is>
      </c>
      <c r="G287" t="inlineStr">
        <is>
          <t>HAGFORS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46305</v>
      </c>
      <c r="F288" t="inlineStr">
        <is>
          <t>VÄRMLANDS LÄN</t>
        </is>
      </c>
      <c r="G288" t="inlineStr">
        <is>
          <t>HAGFORS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46305</v>
      </c>
      <c r="F289" t="inlineStr">
        <is>
          <t>VÄRMLANDS LÄN</t>
        </is>
      </c>
      <c r="G289" t="inlineStr">
        <is>
          <t>HAGFORS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43998-2024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45572</v>
      </c>
      <c r="E290" s="1" t="n">
        <v>46305</v>
      </c>
      <c r="F290" t="inlineStr">
        <is>
          <t>VÄRMLANDS LÄN</t>
        </is>
      </c>
      <c r="G290" t="inlineStr">
        <is>
          <t>HAGFORS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46832-2025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45927</v>
      </c>
      <c r="E291" s="1" t="n">
        <v>46305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59552-2024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46305</v>
      </c>
      <c r="F292" t="inlineStr">
        <is>
          <t>VÄRMLANDS LÄN</t>
        </is>
      </c>
      <c r="G292" t="inlineStr">
        <is>
          <t>HAGFORS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45545</v>
      </c>
      <c r="E293" s="1" t="n">
        <v>46305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6980-2022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44603</v>
      </c>
      <c r="E294" s="1" t="n">
        <v>46305</v>
      </c>
      <c r="F294" t="inlineStr">
        <is>
          <t>VÄRMLANDS LÄN</t>
        </is>
      </c>
      <c r="G294" t="inlineStr">
        <is>
          <t>HAGFORS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46305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22.1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46831-2025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45927</v>
      </c>
      <c r="E296" s="1" t="n">
        <v>46305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46305</v>
      </c>
      <c r="F297" t="inlineStr">
        <is>
          <t>VÄRMLANDS LÄN</t>
        </is>
      </c>
      <c r="G297" t="inlineStr">
        <is>
          <t>HAGFORS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45623</v>
      </c>
      <c r="E298" s="1" t="n">
        <v>46305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46305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45379</v>
      </c>
      <c r="E300" s="1" t="n">
        <v>46305</v>
      </c>
      <c r="F300" t="inlineStr">
        <is>
          <t>VÄRMLANDS LÄN</t>
        </is>
      </c>
      <c r="G300" t="inlineStr">
        <is>
          <t>HAGFORS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46838-2025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45928</v>
      </c>
      <c r="E301" s="1" t="n">
        <v>46305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13.8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46305</v>
      </c>
      <c r="F302" t="inlineStr">
        <is>
          <t>VÄRMLANDS LÄN</t>
        </is>
      </c>
      <c r="G302" t="inlineStr">
        <is>
          <t>HAGFORS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50929-2023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46305</v>
      </c>
      <c r="F303" t="inlineStr">
        <is>
          <t>VÄRMLANDS LÄN</t>
        </is>
      </c>
      <c r="G303" t="inlineStr">
        <is>
          <t>HAGFORS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15643-2024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45404</v>
      </c>
      <c r="E304" s="1" t="n">
        <v>46305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41092-2024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45559</v>
      </c>
      <c r="E305" s="1" t="n">
        <v>46305</v>
      </c>
      <c r="F305" t="inlineStr">
        <is>
          <t>VÄRMLANDS LÄN</t>
        </is>
      </c>
      <c r="G305" t="inlineStr">
        <is>
          <t>HAGFORS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54744-2024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45618</v>
      </c>
      <c r="E306" s="1" t="n">
        <v>46305</v>
      </c>
      <c r="F306" t="inlineStr">
        <is>
          <t>VÄRMLANDS LÄN</t>
        </is>
      </c>
      <c r="G306" t="inlineStr">
        <is>
          <t>HAGFORS</t>
        </is>
      </c>
      <c r="H306" t="inlineStr">
        <is>
          <t>Kyrkan</t>
        </is>
      </c>
      <c r="I306" t="n">
        <v>8.800000000000001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45793</v>
      </c>
      <c r="E307" s="1" t="n">
        <v>46305</v>
      </c>
      <c r="F307" t="inlineStr">
        <is>
          <t>VÄRMLANDS LÄN</t>
        </is>
      </c>
      <c r="G307" t="inlineStr">
        <is>
          <t>HAGFORS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22031-2023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46305</v>
      </c>
      <c r="F308" t="inlineStr">
        <is>
          <t>VÄRMLANDS LÄN</t>
        </is>
      </c>
      <c r="G308" t="inlineStr">
        <is>
          <t>HAGFORS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45644</v>
      </c>
      <c r="E309" s="1" t="n">
        <v>46305</v>
      </c>
      <c r="F309" t="inlineStr">
        <is>
          <t>VÄRMLANDS LÄN</t>
        </is>
      </c>
      <c r="G309" t="inlineStr">
        <is>
          <t>HAGFORS</t>
        </is>
      </c>
      <c r="H309" t="inlineStr">
        <is>
          <t>Kyrkan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24435-2025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45797</v>
      </c>
      <c r="E310" s="1" t="n">
        <v>46305</v>
      </c>
      <c r="F310" t="inlineStr">
        <is>
          <t>VÄRMLANDS LÄN</t>
        </is>
      </c>
      <c r="G310" t="inlineStr">
        <is>
          <t>HAGFORS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45932</v>
      </c>
      <c r="E311" s="1" t="n">
        <v>46305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16798-2025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46305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22332-2024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45446</v>
      </c>
      <c r="E313" s="1" t="n">
        <v>46305</v>
      </c>
      <c r="F313" t="inlineStr">
        <is>
          <t>VÄRMLANDS LÄN</t>
        </is>
      </c>
      <c r="G313" t="inlineStr">
        <is>
          <t>HAGFORS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31657-2024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45506</v>
      </c>
      <c r="E314" s="1" t="n">
        <v>46305</v>
      </c>
      <c r="F314" t="inlineStr">
        <is>
          <t>VÄRMLANDS LÄN</t>
        </is>
      </c>
      <c r="G314" t="inlineStr">
        <is>
          <t>HAGFORS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24434-2025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45797</v>
      </c>
      <c r="E315" s="1" t="n">
        <v>46305</v>
      </c>
      <c r="F315" t="inlineStr">
        <is>
          <t>VÄRMLANDS LÄN</t>
        </is>
      </c>
      <c r="G315" t="inlineStr">
        <is>
          <t>HAGFORS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46305</v>
      </c>
      <c r="F316" t="inlineStr">
        <is>
          <t>VÄRMLANDS LÄN</t>
        </is>
      </c>
      <c r="G316" t="inlineStr">
        <is>
          <t>HAGFORS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64936-2023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46305</v>
      </c>
      <c r="F317" t="inlineStr">
        <is>
          <t>VÄRMLANDS LÄN</t>
        </is>
      </c>
      <c r="G317" t="inlineStr">
        <is>
          <t>HAGFORS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24438-2025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45797</v>
      </c>
      <c r="E318" s="1" t="n">
        <v>46305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45037</v>
      </c>
      <c r="E319" s="1" t="n">
        <v>46305</v>
      </c>
      <c r="F319" t="inlineStr">
        <is>
          <t>VÄRMLANDS LÄN</t>
        </is>
      </c>
      <c r="G319" t="inlineStr">
        <is>
          <t>HAGFORS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48134-2025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45933</v>
      </c>
      <c r="E320" s="1" t="n">
        <v>46305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46305</v>
      </c>
      <c r="F321" t="inlineStr">
        <is>
          <t>VÄRMLANDS LÄN</t>
        </is>
      </c>
      <c r="G321" t="inlineStr">
        <is>
          <t>HAGFORS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15886-2022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46305</v>
      </c>
      <c r="F322" t="inlineStr">
        <is>
          <t>VÄRMLANDS LÄN</t>
        </is>
      </c>
      <c r="G322" t="inlineStr">
        <is>
          <t>HAGFORS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24895-2025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46305</v>
      </c>
      <c r="F323" t="inlineStr">
        <is>
          <t>VÄRMLANDS LÄN</t>
        </is>
      </c>
      <c r="G323" t="inlineStr">
        <is>
          <t>HAGFORS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45933</v>
      </c>
      <c r="E324" s="1" t="n">
        <v>46305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46305</v>
      </c>
      <c r="F325" t="inlineStr">
        <is>
          <t>VÄRMLANDS LÄN</t>
        </is>
      </c>
      <c r="G325" t="inlineStr">
        <is>
          <t>HAGFORS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25031-2025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45799</v>
      </c>
      <c r="E326" s="1" t="n">
        <v>46305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46305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45659</v>
      </c>
      <c r="E328" s="1" t="n">
        <v>46305</v>
      </c>
      <c r="F328" t="inlineStr">
        <is>
          <t>VÄRMLANDS LÄN</t>
        </is>
      </c>
      <c r="G328" t="inlineStr">
        <is>
          <t>HAGFORS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45390</v>
      </c>
      <c r="E329" s="1" t="n">
        <v>46305</v>
      </c>
      <c r="F329" t="inlineStr">
        <is>
          <t>VÄRMLANDS LÄN</t>
        </is>
      </c>
      <c r="G329" t="inlineStr">
        <is>
          <t>HAGFORS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46305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9.699999999999999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48176-2025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45933</v>
      </c>
      <c r="E331" s="1" t="n">
        <v>46305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20113-2023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45055</v>
      </c>
      <c r="E332" s="1" t="n">
        <v>46305</v>
      </c>
      <c r="F332" t="inlineStr">
        <is>
          <t>VÄRMLANDS LÄN</t>
        </is>
      </c>
      <c r="G332" t="inlineStr">
        <is>
          <t>HAGFORS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49146-2025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45938</v>
      </c>
      <c r="E333" s="1" t="n">
        <v>46305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45842</v>
      </c>
      <c r="E334" s="1" t="n">
        <v>46305</v>
      </c>
      <c r="F334" t="inlineStr">
        <is>
          <t>VÄRMLANDS LÄN</t>
        </is>
      </c>
      <c r="G334" t="inlineStr">
        <is>
          <t>HAGFORS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45763</v>
      </c>
      <c r="E335" s="1" t="n">
        <v>46305</v>
      </c>
      <c r="F335" t="inlineStr">
        <is>
          <t>VÄRMLANDS LÄN</t>
        </is>
      </c>
      <c r="G335" t="inlineStr">
        <is>
          <t>HAGFORS</t>
        </is>
      </c>
      <c r="H335" t="inlineStr">
        <is>
          <t>Kyrkan</t>
        </is>
      </c>
      <c r="I335" t="n">
        <v>7.9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45546</v>
      </c>
      <c r="E336" s="1" t="n">
        <v>46305</v>
      </c>
      <c r="F336" t="inlineStr">
        <is>
          <t>VÄRMLANDS LÄN</t>
        </is>
      </c>
      <c r="G336" t="inlineStr">
        <is>
          <t>HAGFORS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49220-2025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45938</v>
      </c>
      <c r="E337" s="1" t="n">
        <v>46305</v>
      </c>
      <c r="F337" t="inlineStr">
        <is>
          <t>VÄRMLANDS LÄN</t>
        </is>
      </c>
      <c r="G337" t="inlineStr">
        <is>
          <t>HAGFORS</t>
        </is>
      </c>
      <c r="I337" t="n">
        <v>8.300000000000001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26463-2025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45807</v>
      </c>
      <c r="E338" s="1" t="n">
        <v>46305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46305</v>
      </c>
      <c r="F339" t="inlineStr">
        <is>
          <t>VÄRMLANDS LÄN</t>
        </is>
      </c>
      <c r="G339" t="inlineStr">
        <is>
          <t>HAGFORS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52383-2024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46305</v>
      </c>
      <c r="F340" t="inlineStr">
        <is>
          <t>VÄRMLANDS LÄN</t>
        </is>
      </c>
      <c r="G340" t="inlineStr">
        <is>
          <t>HAGFORS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45754</v>
      </c>
      <c r="E341" s="1" t="n">
        <v>46305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7.7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46305</v>
      </c>
      <c r="F342" t="inlineStr">
        <is>
          <t>VÄRMLANDS LÄN</t>
        </is>
      </c>
      <c r="G342" t="inlineStr">
        <is>
          <t>HAGFORS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9763-2025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45716</v>
      </c>
      <c r="E343" s="1" t="n">
        <v>46305</v>
      </c>
      <c r="F343" t="inlineStr">
        <is>
          <t>VÄRMLANDS LÄN</t>
        </is>
      </c>
      <c r="G343" t="inlineStr">
        <is>
          <t>HAGFORS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19072-2025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45765</v>
      </c>
      <c r="E344" s="1" t="n">
        <v>46305</v>
      </c>
      <c r="F344" t="inlineStr">
        <is>
          <t>VÄRMLANDS LÄN</t>
        </is>
      </c>
      <c r="G344" t="inlineStr">
        <is>
          <t>HAGFORS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52924-2023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45226</v>
      </c>
      <c r="E345" s="1" t="n">
        <v>46305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13094-2024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46305</v>
      </c>
      <c r="F346" t="inlineStr">
        <is>
          <t>VÄRMLANDS LÄN</t>
        </is>
      </c>
      <c r="G346" t="inlineStr">
        <is>
          <t>HAGFORS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8922-2025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45713</v>
      </c>
      <c r="E347" s="1" t="n">
        <v>46305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26617-2025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45810</v>
      </c>
      <c r="E348" s="1" t="n">
        <v>46305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8496-2022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44613</v>
      </c>
      <c r="E349" s="1" t="n">
        <v>46305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48809-2025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45937</v>
      </c>
      <c r="E350" s="1" t="n">
        <v>46305</v>
      </c>
      <c r="F350" t="inlineStr">
        <is>
          <t>VÄRMLANDS LÄN</t>
        </is>
      </c>
      <c r="G350" t="inlineStr">
        <is>
          <t>HAGFORS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45679</v>
      </c>
      <c r="E351" s="1" t="n">
        <v>46305</v>
      </c>
      <c r="F351" t="inlineStr">
        <is>
          <t>VÄRMLANDS LÄN</t>
        </is>
      </c>
      <c r="G351" t="inlineStr">
        <is>
          <t>HAGFORS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49533-2025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46305</v>
      </c>
      <c r="F352" t="inlineStr">
        <is>
          <t>VÄRMLANDS LÄN</t>
        </is>
      </c>
      <c r="G352" t="inlineStr">
        <is>
          <t>HAGFORS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45811</v>
      </c>
      <c r="E353" s="1" t="n">
        <v>46305</v>
      </c>
      <c r="F353" t="inlineStr">
        <is>
          <t>VÄRMLANDS LÄN</t>
        </is>
      </c>
      <c r="G353" t="inlineStr">
        <is>
          <t>HAGFORS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26980-2025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45811</v>
      </c>
      <c r="E354" s="1" t="n">
        <v>46305</v>
      </c>
      <c r="F354" t="inlineStr">
        <is>
          <t>VÄRMLANDS LÄN</t>
        </is>
      </c>
      <c r="G354" t="inlineStr">
        <is>
          <t>HAGFORS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46305</v>
      </c>
      <c r="F355" t="inlineStr">
        <is>
          <t>VÄRMLANDS LÄN</t>
        </is>
      </c>
      <c r="G355" t="inlineStr">
        <is>
          <t>HAGFORS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27319-2025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45812</v>
      </c>
      <c r="E356" s="1" t="n">
        <v>46305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42175-2024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46305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27229-2025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45812</v>
      </c>
      <c r="E358" s="1" t="n">
        <v>46305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45941</v>
      </c>
      <c r="E359" s="1" t="n">
        <v>46305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46305</v>
      </c>
      <c r="F360" t="inlineStr">
        <is>
          <t>VÄRMLANDS LÄN</t>
        </is>
      </c>
      <c r="G360" t="inlineStr">
        <is>
          <t>HAGFORS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50880-2025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45946</v>
      </c>
      <c r="E361" s="1" t="n">
        <v>46305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50752-2025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46305</v>
      </c>
      <c r="F362" t="inlineStr">
        <is>
          <t>VÄRMLANDS LÄN</t>
        </is>
      </c>
      <c r="G362" t="inlineStr">
        <is>
          <t>HAGFORS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46305</v>
      </c>
      <c r="F363" t="inlineStr">
        <is>
          <t>VÄRMLANDS LÄN</t>
        </is>
      </c>
      <c r="G363" t="inlineStr">
        <is>
          <t>HAGFORS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27181-2025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45812</v>
      </c>
      <c r="E364" s="1" t="n">
        <v>46305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27195-2025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45812</v>
      </c>
      <c r="E365" s="1" t="n">
        <v>46305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27263-2025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46305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46305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45211</v>
      </c>
      <c r="E368" s="1" t="n">
        <v>46305</v>
      </c>
      <c r="F368" t="inlineStr">
        <is>
          <t>VÄRMLANDS LÄN</t>
        </is>
      </c>
      <c r="G368" t="inlineStr">
        <is>
          <t>HAGFORS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13300-2023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46305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36030-2023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45149</v>
      </c>
      <c r="E370" s="1" t="n">
        <v>46305</v>
      </c>
      <c r="F370" t="inlineStr">
        <is>
          <t>VÄRMLANDS LÄN</t>
        </is>
      </c>
      <c r="G370" t="inlineStr">
        <is>
          <t>HAGFORS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45818</v>
      </c>
      <c r="E371" s="1" t="n">
        <v>46305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45703</v>
      </c>
      <c r="E372" s="1" t="n">
        <v>46305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15.9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46305</v>
      </c>
      <c r="F373" t="inlineStr">
        <is>
          <t>VÄRMLANDS LÄN</t>
        </is>
      </c>
      <c r="G373" t="inlineStr">
        <is>
          <t>HAGFORS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35886-2023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45148</v>
      </c>
      <c r="E374" s="1" t="n">
        <v>46305</v>
      </c>
      <c r="F374" t="inlineStr">
        <is>
          <t>VÄRMLANDS LÄN</t>
        </is>
      </c>
      <c r="G374" t="inlineStr">
        <is>
          <t>HAGFORS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29855-2023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46305</v>
      </c>
      <c r="F375" t="inlineStr">
        <is>
          <t>VÄRMLANDS LÄN</t>
        </is>
      </c>
      <c r="G375" t="inlineStr">
        <is>
          <t>HAGFORS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18699-2022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44687</v>
      </c>
      <c r="E376" s="1" t="n">
        <v>46305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20.2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51160-2025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45947</v>
      </c>
      <c r="E377" s="1" t="n">
        <v>46305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52494-2024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45609</v>
      </c>
      <c r="E378" s="1" t="n">
        <v>46305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45623</v>
      </c>
      <c r="E379" s="1" t="n">
        <v>46305</v>
      </c>
      <c r="F379" t="inlineStr">
        <is>
          <t>VÄRMLANDS LÄN</t>
        </is>
      </c>
      <c r="G379" t="inlineStr">
        <is>
          <t>HAGFORS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50977-2025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45947</v>
      </c>
      <c r="E380" s="1" t="n">
        <v>46305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46305</v>
      </c>
      <c r="F381" t="inlineStr">
        <is>
          <t>VÄRMLANDS LÄN</t>
        </is>
      </c>
      <c r="G381" t="inlineStr">
        <is>
          <t>HAGFORS</t>
        </is>
      </c>
      <c r="H381" t="inlineStr">
        <is>
          <t>Kyrkan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29149-2025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45821</v>
      </c>
      <c r="E382" s="1" t="n">
        <v>46305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29115-2025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45821</v>
      </c>
      <c r="E383" s="1" t="n">
        <v>46305</v>
      </c>
      <c r="F383" t="inlineStr">
        <is>
          <t>VÄRMLANDS LÄN</t>
        </is>
      </c>
      <c r="G383" t="inlineStr">
        <is>
          <t>HAGFORS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45949</v>
      </c>
      <c r="E384" s="1" t="n">
        <v>46305</v>
      </c>
      <c r="F384" t="inlineStr">
        <is>
          <t>VÄRMLANDS LÄN</t>
        </is>
      </c>
      <c r="G384" t="inlineStr">
        <is>
          <t>HAGFORS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29949-2025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45826</v>
      </c>
      <c r="E385" s="1" t="n">
        <v>46305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29958-2025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45826</v>
      </c>
      <c r="E386" s="1" t="n">
        <v>46305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34404-2023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45132</v>
      </c>
      <c r="E387" s="1" t="n">
        <v>46305</v>
      </c>
      <c r="F387" t="inlineStr">
        <is>
          <t>VÄRMLANDS LÄN</t>
        </is>
      </c>
      <c r="G387" t="inlineStr">
        <is>
          <t>HAGFORS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56808-2023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45244</v>
      </c>
      <c r="E388" s="1" t="n">
        <v>46305</v>
      </c>
      <c r="F388" t="inlineStr">
        <is>
          <t>VÄRMLANDS LÄN</t>
        </is>
      </c>
      <c r="G388" t="inlineStr">
        <is>
          <t>HAGFORS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45826</v>
      </c>
      <c r="E389" s="1" t="n">
        <v>46305</v>
      </c>
      <c r="F389" t="inlineStr">
        <is>
          <t>VÄRMLANDS LÄN</t>
        </is>
      </c>
      <c r="G389" t="inlineStr">
        <is>
          <t>HAGFORS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46305</v>
      </c>
      <c r="F390" t="inlineStr">
        <is>
          <t>VÄRMLANDS LÄN</t>
        </is>
      </c>
      <c r="G390" t="inlineStr">
        <is>
          <t>HAGFORS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45684</v>
      </c>
      <c r="E391" s="1" t="n">
        <v>46305</v>
      </c>
      <c r="F391" t="inlineStr">
        <is>
          <t>VÄRMLANDS LÄN</t>
        </is>
      </c>
      <c r="G391" t="inlineStr">
        <is>
          <t>HAGFORS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45006</v>
      </c>
      <c r="E392" s="1" t="n">
        <v>46305</v>
      </c>
      <c r="F392" t="inlineStr">
        <is>
          <t>VÄRMLANDS LÄN</t>
        </is>
      </c>
      <c r="G392" t="inlineStr">
        <is>
          <t>HAGFORS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46305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19783-2023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45051</v>
      </c>
      <c r="E394" s="1" t="n">
        <v>46305</v>
      </c>
      <c r="F394" t="inlineStr">
        <is>
          <t>VÄRMLANDS LÄN</t>
        </is>
      </c>
      <c r="G394" t="inlineStr">
        <is>
          <t>HAGFORS</t>
        </is>
      </c>
      <c r="H394" t="inlineStr">
        <is>
          <t>Kommuner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45461</v>
      </c>
      <c r="E395" s="1" t="n">
        <v>46305</v>
      </c>
      <c r="F395" t="inlineStr">
        <is>
          <t>VÄRMLANDS LÄN</t>
        </is>
      </c>
      <c r="G395" t="inlineStr">
        <is>
          <t>HAGFORS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52479-2025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45954</v>
      </c>
      <c r="E396" s="1" t="n">
        <v>46305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52450-2025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45954</v>
      </c>
      <c r="E397" s="1" t="n">
        <v>46305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9.800000000000001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45954</v>
      </c>
      <c r="E398" s="1" t="n">
        <v>46305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52462-2025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45954</v>
      </c>
      <c r="E399" s="1" t="n">
        <v>46305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53620-2025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45960</v>
      </c>
      <c r="E400" s="1" t="n">
        <v>46305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45960</v>
      </c>
      <c r="E401" s="1" t="n">
        <v>46305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45172</v>
      </c>
      <c r="E402" s="1" t="n">
        <v>46305</v>
      </c>
      <c r="F402" t="inlineStr">
        <is>
          <t>VÄRMLANDS LÄN</t>
        </is>
      </c>
      <c r="G402" t="inlineStr">
        <is>
          <t>HAGFORS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52224-2023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45224</v>
      </c>
      <c r="E403" s="1" t="n">
        <v>46305</v>
      </c>
      <c r="F403" t="inlineStr">
        <is>
          <t>VÄRMLANDS LÄN</t>
        </is>
      </c>
      <c r="G403" t="inlineStr">
        <is>
          <t>HAGFORS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53811-2025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45960</v>
      </c>
      <c r="E404" s="1" t="n">
        <v>46305</v>
      </c>
      <c r="F404" t="inlineStr">
        <is>
          <t>VÄRMLANDS LÄN</t>
        </is>
      </c>
      <c r="G404" t="inlineStr">
        <is>
          <t>HAGFORS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47028-2023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45201</v>
      </c>
      <c r="E405" s="1" t="n">
        <v>46305</v>
      </c>
      <c r="F405" t="inlineStr">
        <is>
          <t>VÄRMLANDS LÄN</t>
        </is>
      </c>
      <c r="G405" t="inlineStr">
        <is>
          <t>HAGFORS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46305</v>
      </c>
      <c r="F406" t="inlineStr">
        <is>
          <t>VÄRMLANDS LÄN</t>
        </is>
      </c>
      <c r="G406" t="inlineStr">
        <is>
          <t>HAGFORS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38555-2023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46305</v>
      </c>
      <c r="F407" t="inlineStr">
        <is>
          <t>VÄRMLANDS LÄN</t>
        </is>
      </c>
      <c r="G407" t="inlineStr">
        <is>
          <t>HAGFORS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46305</v>
      </c>
      <c r="F408" t="inlineStr">
        <is>
          <t>VÄRMLANDS LÄN</t>
        </is>
      </c>
      <c r="G408" t="inlineStr">
        <is>
          <t>HAGFORS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18907-2025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46305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20682-2024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45436</v>
      </c>
      <c r="E410" s="1" t="n">
        <v>46305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45966</v>
      </c>
      <c r="E411" s="1" t="n">
        <v>46305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54645-2025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45966</v>
      </c>
      <c r="E412" s="1" t="n">
        <v>46305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45758</v>
      </c>
      <c r="E413" s="1" t="n">
        <v>46305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30180-2023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45110</v>
      </c>
      <c r="E414" s="1" t="n">
        <v>46305</v>
      </c>
      <c r="F414" t="inlineStr">
        <is>
          <t>VÄRMLANDS LÄN</t>
        </is>
      </c>
      <c r="G414" t="inlineStr">
        <is>
          <t>HAGFORS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55190-2025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45968</v>
      </c>
      <c r="E415" s="1" t="n">
        <v>46305</v>
      </c>
      <c r="F415" t="inlineStr">
        <is>
          <t>VÄRMLANDS LÄN</t>
        </is>
      </c>
      <c r="G415" t="inlineStr">
        <is>
          <t>HAGFORS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45967</v>
      </c>
      <c r="E416" s="1" t="n">
        <v>46305</v>
      </c>
      <c r="F416" t="inlineStr">
        <is>
          <t>VÄRMLANDS LÄN</t>
        </is>
      </c>
      <c r="G416" t="inlineStr">
        <is>
          <t>HAGFORS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45841</v>
      </c>
      <c r="E417" s="1" t="n">
        <v>46305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33440-2025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45841</v>
      </c>
      <c r="E418" s="1" t="n">
        <v>46305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53813-2024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45615</v>
      </c>
      <c r="E419" s="1" t="n">
        <v>46305</v>
      </c>
      <c r="F419" t="inlineStr">
        <is>
          <t>VÄRMLANDS LÄN</t>
        </is>
      </c>
      <c r="G419" t="inlineStr">
        <is>
          <t>HAGFORS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46305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44757</v>
      </c>
      <c r="E421" s="1" t="n">
        <v>46305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61232-2024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45645</v>
      </c>
      <c r="E422" s="1" t="n">
        <v>46305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33454-2025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45841</v>
      </c>
      <c r="E423" s="1" t="n">
        <v>46305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55519-2025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45971</v>
      </c>
      <c r="E424" s="1" t="n">
        <v>46305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46305</v>
      </c>
      <c r="F425" t="inlineStr">
        <is>
          <t>VÄRMLANDS LÄN</t>
        </is>
      </c>
      <c r="G425" t="inlineStr">
        <is>
          <t>HAGFORS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46305</v>
      </c>
      <c r="F426" t="inlineStr">
        <is>
          <t>VÄRMLANDS LÄN</t>
        </is>
      </c>
      <c r="G426" t="inlineStr">
        <is>
          <t>HAGFORS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45845</v>
      </c>
      <c r="E427" s="1" t="n">
        <v>46305</v>
      </c>
      <c r="F427" t="inlineStr">
        <is>
          <t>VÄRMLANDS LÄN</t>
        </is>
      </c>
      <c r="G427" t="inlineStr">
        <is>
          <t>HAGFORS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19702-2022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44694</v>
      </c>
      <c r="E428" s="1" t="n">
        <v>46305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21954-2025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45784</v>
      </c>
      <c r="E429" s="1" t="n">
        <v>46305</v>
      </c>
      <c r="F429" t="inlineStr">
        <is>
          <t>VÄRMLANDS LÄN</t>
        </is>
      </c>
      <c r="G429" t="inlineStr">
        <is>
          <t>HAGFORS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46305</v>
      </c>
      <c r="F430" t="inlineStr">
        <is>
          <t>VÄRMLANDS LÄN</t>
        </is>
      </c>
      <c r="G430" t="inlineStr">
        <is>
          <t>HAGFORS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45152</v>
      </c>
      <c r="E431" s="1" t="n">
        <v>46305</v>
      </c>
      <c r="F431" t="inlineStr">
        <is>
          <t>VÄRMLANDS LÄN</t>
        </is>
      </c>
      <c r="G431" t="inlineStr">
        <is>
          <t>HAGFORS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46305</v>
      </c>
      <c r="F432" t="inlineStr">
        <is>
          <t>VÄRMLANDS LÄN</t>
        </is>
      </c>
      <c r="G432" t="inlineStr">
        <is>
          <t>HAGFORS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31166-2022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44770</v>
      </c>
      <c r="E433" s="1" t="n">
        <v>46305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64155-2023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45279</v>
      </c>
      <c r="E434" s="1" t="n">
        <v>46305</v>
      </c>
      <c r="F434" t="inlineStr">
        <is>
          <t>VÄRMLANDS LÄN</t>
        </is>
      </c>
      <c r="G434" t="inlineStr">
        <is>
          <t>HAGFORS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55895-2025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46305</v>
      </c>
      <c r="F435" t="inlineStr">
        <is>
          <t>VÄRMLANDS LÄN</t>
        </is>
      </c>
      <c r="G435" t="inlineStr">
        <is>
          <t>HAGFORS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14464-2025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45741</v>
      </c>
      <c r="E436" s="1" t="n">
        <v>46305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45854</v>
      </c>
      <c r="E437" s="1" t="n">
        <v>46305</v>
      </c>
      <c r="F437" t="inlineStr">
        <is>
          <t>VÄRMLANDS LÄN</t>
        </is>
      </c>
      <c r="G437" t="inlineStr">
        <is>
          <t>HAGFORS</t>
        </is>
      </c>
      <c r="H437" t="inlineStr">
        <is>
          <t>Kyrkan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45854</v>
      </c>
      <c r="E438" s="1" t="n">
        <v>46305</v>
      </c>
      <c r="F438" t="inlineStr">
        <is>
          <t>VÄRMLANDS LÄN</t>
        </is>
      </c>
      <c r="G438" t="inlineStr">
        <is>
          <t>HAGFORS</t>
        </is>
      </c>
      <c r="H438" t="inlineStr">
        <is>
          <t>Kyrkan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56714-2025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46305</v>
      </c>
      <c r="F439" t="inlineStr">
        <is>
          <t>VÄRMLANDS LÄN</t>
        </is>
      </c>
      <c r="G439" t="inlineStr">
        <is>
          <t>HAGFORS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23813-2025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45793</v>
      </c>
      <c r="E440" s="1" t="n">
        <v>46305</v>
      </c>
      <c r="F440" t="inlineStr">
        <is>
          <t>VÄRMLANDS LÄN</t>
        </is>
      </c>
      <c r="G440" t="inlineStr">
        <is>
          <t>HAGFORS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57379-2022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44896</v>
      </c>
      <c r="E441" s="1" t="n">
        <v>46305</v>
      </c>
      <c r="F441" t="inlineStr">
        <is>
          <t>VÄRMLANDS LÄN</t>
        </is>
      </c>
      <c r="G441" t="inlineStr">
        <is>
          <t>HAGFORS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47019-2023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45201</v>
      </c>
      <c r="E442" s="1" t="n">
        <v>46305</v>
      </c>
      <c r="F442" t="inlineStr">
        <is>
          <t>VÄRMLANDS LÄN</t>
        </is>
      </c>
      <c r="G442" t="inlineStr">
        <is>
          <t>HAGFORS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45029</v>
      </c>
      <c r="E443" s="1" t="n">
        <v>46305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39029-2022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44817</v>
      </c>
      <c r="E444" s="1" t="n">
        <v>46305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61981-2024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45653</v>
      </c>
      <c r="E445" s="1" t="n">
        <v>46305</v>
      </c>
      <c r="F445" t="inlineStr">
        <is>
          <t>VÄRMLANDS LÄN</t>
        </is>
      </c>
      <c r="G445" t="inlineStr">
        <is>
          <t>HAGFORS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45057</v>
      </c>
      <c r="E446" s="1" t="n">
        <v>46305</v>
      </c>
      <c r="F446" t="inlineStr">
        <is>
          <t>VÄRMLANDS LÄN</t>
        </is>
      </c>
      <c r="G446" t="inlineStr">
        <is>
          <t>HAGFORS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58437-2023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46305</v>
      </c>
      <c r="F447" t="inlineStr">
        <is>
          <t>VÄRMLANDS LÄN</t>
        </is>
      </c>
      <c r="G447" t="inlineStr">
        <is>
          <t>HAGFORS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11160-2025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45723</v>
      </c>
      <c r="E448" s="1" t="n">
        <v>46305</v>
      </c>
      <c r="F448" t="inlineStr">
        <is>
          <t>VÄRMLANDS LÄN</t>
        </is>
      </c>
      <c r="G448" t="inlineStr">
        <is>
          <t>HAGFORS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45725</v>
      </c>
      <c r="E449" s="1" t="n">
        <v>46305</v>
      </c>
      <c r="F449" t="inlineStr">
        <is>
          <t>VÄRMLANDS LÄN</t>
        </is>
      </c>
      <c r="G449" t="inlineStr">
        <is>
          <t>HAGFORS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56477-2025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46305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46305</v>
      </c>
      <c r="F451" t="inlineStr">
        <is>
          <t>VÄRMLANDS LÄN</t>
        </is>
      </c>
      <c r="G451" t="inlineStr">
        <is>
          <t>HAGFORS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20652-2022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44700</v>
      </c>
      <c r="E452" s="1" t="n">
        <v>46305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56468-2025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45975</v>
      </c>
      <c r="E453" s="1" t="n">
        <v>46305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45975</v>
      </c>
      <c r="E454" s="1" t="n">
        <v>46305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30710-2022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44763</v>
      </c>
      <c r="E455" s="1" t="n">
        <v>46305</v>
      </c>
      <c r="F455" t="inlineStr">
        <is>
          <t>VÄRMLANDS LÄN</t>
        </is>
      </c>
      <c r="G455" t="inlineStr">
        <is>
          <t>HAGFORS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10382-2025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46305</v>
      </c>
      <c r="F456" t="inlineStr">
        <is>
          <t>VÄRMLANDS LÄN</t>
        </is>
      </c>
      <c r="G456" t="inlineStr">
        <is>
          <t>HAGFORS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45310</v>
      </c>
      <c r="E457" s="1" t="n">
        <v>46305</v>
      </c>
      <c r="F457" t="inlineStr">
        <is>
          <t>VÄRMLANDS LÄN</t>
        </is>
      </c>
      <c r="G457" t="inlineStr">
        <is>
          <t>HAGFORS</t>
        </is>
      </c>
      <c r="H457" t="inlineStr">
        <is>
          <t>Kyrkan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57462-2025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45980</v>
      </c>
      <c r="E458" s="1" t="n">
        <v>46305</v>
      </c>
      <c r="F458" t="inlineStr">
        <is>
          <t>VÄRMLANDS LÄN</t>
        </is>
      </c>
      <c r="G458" t="inlineStr">
        <is>
          <t>HAGFORS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57460-2025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46305</v>
      </c>
      <c r="F459" t="inlineStr">
        <is>
          <t>VÄRMLANDS LÄN</t>
        </is>
      </c>
      <c r="G459" t="inlineStr">
        <is>
          <t>HAGFORS</t>
        </is>
      </c>
      <c r="H459" t="inlineStr">
        <is>
          <t>Kyrkan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46305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45979</v>
      </c>
      <c r="E461" s="1" t="n">
        <v>46305</v>
      </c>
      <c r="F461" t="inlineStr">
        <is>
          <t>VÄRMLANDS LÄN</t>
        </is>
      </c>
      <c r="G461" t="inlineStr">
        <is>
          <t>HAGFORS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29269-2025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45824</v>
      </c>
      <c r="E462" s="1" t="n">
        <v>46305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26.5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37027-2025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46305</v>
      </c>
      <c r="F463" t="inlineStr">
        <is>
          <t>VÄRMLANDS LÄN</t>
        </is>
      </c>
      <c r="G463" t="inlineStr">
        <is>
          <t>HAGFORS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46305</v>
      </c>
      <c r="F464" t="inlineStr">
        <is>
          <t>VÄRMLANDS LÄN</t>
        </is>
      </c>
      <c r="G464" t="inlineStr">
        <is>
          <t>HAGFORS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25349-2023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45087</v>
      </c>
      <c r="E465" s="1" t="n">
        <v>46305</v>
      </c>
      <c r="F465" t="inlineStr">
        <is>
          <t>VÄRMLANDS LÄN</t>
        </is>
      </c>
      <c r="G465" t="inlineStr">
        <is>
          <t>HAGFORS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61304-2023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45264</v>
      </c>
      <c r="E466" s="1" t="n">
        <v>46305</v>
      </c>
      <c r="F466" t="inlineStr">
        <is>
          <t>VÄRMLANDS LÄN</t>
        </is>
      </c>
      <c r="G466" t="inlineStr">
        <is>
          <t>HAGFORS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5482-2022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46305</v>
      </c>
      <c r="F467" t="inlineStr">
        <is>
          <t>VÄRMLANDS LÄN</t>
        </is>
      </c>
      <c r="G467" t="inlineStr">
        <is>
          <t>HAGFORS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45356</v>
      </c>
      <c r="E468" s="1" t="n">
        <v>46305</v>
      </c>
      <c r="F468" t="inlineStr">
        <is>
          <t>VÄRMLANDS LÄN</t>
        </is>
      </c>
      <c r="G468" t="inlineStr">
        <is>
          <t>HAGFORS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44937</v>
      </c>
      <c r="E469" s="1" t="n">
        <v>46305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43558-2024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45569</v>
      </c>
      <c r="E470" s="1" t="n">
        <v>46305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57814-2025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45981</v>
      </c>
      <c r="E471" s="1" t="n">
        <v>46305</v>
      </c>
      <c r="F471" t="inlineStr">
        <is>
          <t>VÄRMLANDS LÄN</t>
        </is>
      </c>
      <c r="G471" t="inlineStr">
        <is>
          <t>HAGFORS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16153-2025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45750</v>
      </c>
      <c r="E472" s="1" t="n">
        <v>46305</v>
      </c>
      <c r="F472" t="inlineStr">
        <is>
          <t>VÄRMLANDS LÄN</t>
        </is>
      </c>
      <c r="G472" t="inlineStr">
        <is>
          <t>HAGFORS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45155</v>
      </c>
      <c r="E473" s="1" t="n">
        <v>46305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5.5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30327-2022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44760</v>
      </c>
      <c r="E474" s="1" t="n">
        <v>46305</v>
      </c>
      <c r="F474" t="inlineStr">
        <is>
          <t>VÄRMLANDS LÄN</t>
        </is>
      </c>
      <c r="G474" t="inlineStr">
        <is>
          <t>HAGFORS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44809</v>
      </c>
      <c r="E475" s="1" t="n">
        <v>46305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13411-2026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46094</v>
      </c>
      <c r="E476" s="1" t="n">
        <v>46305</v>
      </c>
      <c r="F476" t="inlineStr">
        <is>
          <t>VÄRMLANDS LÄN</t>
        </is>
      </c>
      <c r="G476" t="inlineStr">
        <is>
          <t>HAGFORS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46094</v>
      </c>
      <c r="E477" s="1" t="n">
        <v>46305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13466-2026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46094</v>
      </c>
      <c r="E478" s="1" t="n">
        <v>46305</v>
      </c>
      <c r="F478" t="inlineStr">
        <is>
          <t>VÄRMLANDS LÄN</t>
        </is>
      </c>
      <c r="G478" t="inlineStr">
        <is>
          <t>HAGFORS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45618</v>
      </c>
      <c r="E479" s="1" t="n">
        <v>46305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46792-2022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46305</v>
      </c>
      <c r="F480" t="inlineStr">
        <is>
          <t>VÄRMLANDS LÄN</t>
        </is>
      </c>
      <c r="G480" t="inlineStr">
        <is>
          <t>HAGFORS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13926-2026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46098</v>
      </c>
      <c r="E481" s="1" t="n">
        <v>46305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46305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49753-2023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45212</v>
      </c>
      <c r="E483" s="1" t="n">
        <v>46305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5.1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34540-2024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46305</v>
      </c>
      <c r="F484" t="inlineStr">
        <is>
          <t>VÄRMLANDS LÄN</t>
        </is>
      </c>
      <c r="G484" t="inlineStr">
        <is>
          <t>HAGFORS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14288-2026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46305</v>
      </c>
      <c r="F485" t="inlineStr">
        <is>
          <t>VÄRMLANDS LÄN</t>
        </is>
      </c>
      <c r="G485" t="inlineStr">
        <is>
          <t>HAGFORS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13809-2026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46098</v>
      </c>
      <c r="E486" s="1" t="n">
        <v>46305</v>
      </c>
      <c r="F486" t="inlineStr">
        <is>
          <t>VÄRMLANDS LÄN</t>
        </is>
      </c>
      <c r="G486" t="inlineStr">
        <is>
          <t>HAGFORS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46305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31660-2022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44776</v>
      </c>
      <c r="E488" s="1" t="n">
        <v>46305</v>
      </c>
      <c r="F488" t="inlineStr">
        <is>
          <t>VÄRMLANDS LÄN</t>
        </is>
      </c>
      <c r="G488" t="inlineStr">
        <is>
          <t>HAGFORS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14574-2026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46101</v>
      </c>
      <c r="E489" s="1" t="n">
        <v>46305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14832-2026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46104</v>
      </c>
      <c r="E490" s="1" t="n">
        <v>46305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17.2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33969-2022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44790</v>
      </c>
      <c r="E491" s="1" t="n">
        <v>46305</v>
      </c>
      <c r="F491" t="inlineStr">
        <is>
          <t>VÄRMLANDS LÄN</t>
        </is>
      </c>
      <c r="G491" t="inlineStr">
        <is>
          <t>HAGFORS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24814-2024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45461</v>
      </c>
      <c r="E492" s="1" t="n">
        <v>46305</v>
      </c>
      <c r="F492" t="inlineStr">
        <is>
          <t>VÄRMLANDS LÄN</t>
        </is>
      </c>
      <c r="G492" t="inlineStr">
        <is>
          <t>HAGFORS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56466-2024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45625</v>
      </c>
      <c r="E493" s="1" t="n">
        <v>46305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58278-2025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46305</v>
      </c>
      <c r="F494" t="inlineStr">
        <is>
          <t>VÄRMLANDS LÄN</t>
        </is>
      </c>
      <c r="G494" t="inlineStr">
        <is>
          <t>HAGFORS</t>
        </is>
      </c>
      <c r="H494" t="inlineStr">
        <is>
          <t>Kyrkan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15213-2026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46305</v>
      </c>
      <c r="F495" t="inlineStr">
        <is>
          <t>VÄRMLANDS LÄN</t>
        </is>
      </c>
      <c r="G495" t="inlineStr">
        <is>
          <t>HAGFORS</t>
        </is>
      </c>
      <c r="H495" t="inlineStr">
        <is>
          <t>Kyrkan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46305</v>
      </c>
      <c r="F496" t="inlineStr">
        <is>
          <t>VÄRMLANDS LÄN</t>
        </is>
      </c>
      <c r="G496" t="inlineStr">
        <is>
          <t>HAGFORS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15031-2026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46305</v>
      </c>
      <c r="F497" t="inlineStr">
        <is>
          <t>VÄRMLANDS LÄN</t>
        </is>
      </c>
      <c r="G497" t="inlineStr">
        <is>
          <t>HAGFORS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45476</v>
      </c>
      <c r="E498" s="1" t="n">
        <v>46305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46106</v>
      </c>
      <c r="E499" s="1" t="n">
        <v>46305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15666-2026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46305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59047-2025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45988</v>
      </c>
      <c r="E501" s="1" t="n">
        <v>46305</v>
      </c>
      <c r="F501" t="inlineStr">
        <is>
          <t>VÄRMLANDS LÄN</t>
        </is>
      </c>
      <c r="G501" t="inlineStr">
        <is>
          <t>HAGFORS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36206-2024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45534</v>
      </c>
      <c r="E502" s="1" t="n">
        <v>46305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15554-2026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46305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46106</v>
      </c>
      <c r="E504" s="1" t="n">
        <v>46305</v>
      </c>
      <c r="F504" t="inlineStr">
        <is>
          <t>VÄRMLANDS LÄN</t>
        </is>
      </c>
      <c r="G504" t="inlineStr">
        <is>
          <t>HAGFORS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15504-2026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46106</v>
      </c>
      <c r="E505" s="1" t="n">
        <v>46305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61311-2023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46305</v>
      </c>
      <c r="F506" t="inlineStr">
        <is>
          <t>VÄRMLANDS LÄN</t>
        </is>
      </c>
      <c r="G506" t="inlineStr">
        <is>
          <t>HAGFORS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61315-2023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45264</v>
      </c>
      <c r="E507" s="1" t="n">
        <v>46305</v>
      </c>
      <c r="F507" t="inlineStr">
        <is>
          <t>VÄRMLANDS LÄN</t>
        </is>
      </c>
      <c r="G507" t="inlineStr">
        <is>
          <t>HAGFORS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31812-2024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45509</v>
      </c>
      <c r="E508" s="1" t="n">
        <v>46305</v>
      </c>
      <c r="F508" t="inlineStr">
        <is>
          <t>VÄRMLANDS LÄN</t>
        </is>
      </c>
      <c r="G508" t="inlineStr">
        <is>
          <t>HAGFORS</t>
        </is>
      </c>
      <c r="H508" t="inlineStr">
        <is>
          <t>Kommuner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15491-2026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46305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16284-2026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46111</v>
      </c>
      <c r="E510" s="1" t="n">
        <v>46305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9.4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16157-2026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46108</v>
      </c>
      <c r="E511" s="1" t="n">
        <v>46305</v>
      </c>
      <c r="F511" t="inlineStr">
        <is>
          <t>VÄRMLANDS LÄN</t>
        </is>
      </c>
      <c r="G511" t="inlineStr">
        <is>
          <t>HAGFORS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70712-2021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44537</v>
      </c>
      <c r="E512" s="1" t="n">
        <v>46305</v>
      </c>
      <c r="F512" t="inlineStr">
        <is>
          <t>VÄRMLANDS LÄN</t>
        </is>
      </c>
      <c r="G512" t="inlineStr">
        <is>
          <t>HAGFORS</t>
        </is>
      </c>
      <c r="H512" t="inlineStr">
        <is>
          <t>Kommuner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16146-2026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46108</v>
      </c>
      <c r="E513" s="1" t="n">
        <v>46305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20060-2023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45054</v>
      </c>
      <c r="E514" s="1" t="n">
        <v>46305</v>
      </c>
      <c r="F514" t="inlineStr">
        <is>
          <t>VÄRMLANDS LÄN</t>
        </is>
      </c>
      <c r="G514" t="inlineStr">
        <is>
          <t>HAGFORS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920-2022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44571</v>
      </c>
      <c r="E515" s="1" t="n">
        <v>46305</v>
      </c>
      <c r="F515" t="inlineStr">
        <is>
          <t>VÄRMLANDS LÄN</t>
        </is>
      </c>
      <c r="G515" t="inlineStr">
        <is>
          <t>HAGFORS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42150-2024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45562</v>
      </c>
      <c r="E516" s="1" t="n">
        <v>46305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45758</v>
      </c>
      <c r="E517" s="1" t="n">
        <v>46305</v>
      </c>
      <c r="F517" t="inlineStr">
        <is>
          <t>VÄRMLANDS LÄN</t>
        </is>
      </c>
      <c r="G517" t="inlineStr">
        <is>
          <t>HAGFORS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60178-2023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45258</v>
      </c>
      <c r="E518" s="1" t="n">
        <v>46305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15587-2026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46106</v>
      </c>
      <c r="E519" s="1" t="n">
        <v>46305</v>
      </c>
      <c r="F519" t="inlineStr">
        <is>
          <t>VÄRMLANDS LÄN</t>
        </is>
      </c>
      <c r="G519" t="inlineStr">
        <is>
          <t>HAGFORS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62546-2022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44924</v>
      </c>
      <c r="E520" s="1" t="n">
        <v>46305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61140-2023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45261</v>
      </c>
      <c r="E521" s="1" t="n">
        <v>46305</v>
      </c>
      <c r="F521" t="inlineStr">
        <is>
          <t>VÄRMLANDS LÄN</t>
        </is>
      </c>
      <c r="G521" t="inlineStr">
        <is>
          <t>HAGFORS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14435-2025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45741</v>
      </c>
      <c r="E522" s="1" t="n">
        <v>46305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15270-2024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45400</v>
      </c>
      <c r="E523" s="1" t="n">
        <v>46305</v>
      </c>
      <c r="F523" t="inlineStr">
        <is>
          <t>VÄRMLANDS LÄN</t>
        </is>
      </c>
      <c r="G523" t="inlineStr">
        <is>
          <t>HAGFORS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17815-2026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46122</v>
      </c>
      <c r="E524" s="1" t="n">
        <v>46305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17843-2026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46122</v>
      </c>
      <c r="E525" s="1" t="n">
        <v>46305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60606-2025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45996</v>
      </c>
      <c r="E526" s="1" t="n">
        <v>46305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60648-2025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45996</v>
      </c>
      <c r="E527" s="1" t="n">
        <v>46305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17778-2026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46305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60841-2025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45999</v>
      </c>
      <c r="E529" s="1" t="n">
        <v>46305</v>
      </c>
      <c r="F529" t="inlineStr">
        <is>
          <t>VÄRMLANDS LÄN</t>
        </is>
      </c>
      <c r="G529" t="inlineStr">
        <is>
          <t>HAGFORS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18217-2026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46305</v>
      </c>
      <c r="F530" t="inlineStr">
        <is>
          <t>VÄRMLANDS LÄN</t>
        </is>
      </c>
      <c r="G530" t="inlineStr">
        <is>
          <t>HAGFORS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18528-2026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46127</v>
      </c>
      <c r="E531" s="1" t="n">
        <v>46305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8304-2022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44610</v>
      </c>
      <c r="E532" s="1" t="n">
        <v>46305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55447-2022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46305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18797-2026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46305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61787-2025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46002</v>
      </c>
      <c r="E535" s="1" t="n">
        <v>46305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46129</v>
      </c>
      <c r="E536" s="1" t="n">
        <v>46305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44953</v>
      </c>
      <c r="E537" s="1" t="n">
        <v>46305</v>
      </c>
      <c r="F537" t="inlineStr">
        <is>
          <t>VÄRMLANDS LÄN</t>
        </is>
      </c>
      <c r="G537" t="inlineStr">
        <is>
          <t>HAGFORS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44951</v>
      </c>
      <c r="E538" s="1" t="n">
        <v>46305</v>
      </c>
      <c r="F538" t="inlineStr">
        <is>
          <t>VÄRMLANDS LÄN</t>
        </is>
      </c>
      <c r="G538" t="inlineStr">
        <is>
          <t>HAGFORS</t>
        </is>
      </c>
      <c r="H538" t="inlineStr">
        <is>
          <t>Kommuner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18895-2026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46129</v>
      </c>
      <c r="E539" s="1" t="n">
        <v>46305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13850-2022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44649</v>
      </c>
      <c r="E540" s="1" t="n">
        <v>46305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5.3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61718-2025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46002</v>
      </c>
      <c r="E541" s="1" t="n">
        <v>46305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19339-2026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46305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61910-2025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46003</v>
      </c>
      <c r="E543" s="1" t="n">
        <v>46305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19548-2026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46305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19459-2026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46305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19307-2026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46133</v>
      </c>
      <c r="E546" s="1" t="n">
        <v>46305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3.4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19350-2026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46133</v>
      </c>
      <c r="E547" s="1" t="n">
        <v>46305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46305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62125-2025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46305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19421-2026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46305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61850-2025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46003</v>
      </c>
      <c r="E551" s="1" t="n">
        <v>46305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61902-2021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44502</v>
      </c>
      <c r="E552" s="1" t="n">
        <v>46305</v>
      </c>
      <c r="F552" t="inlineStr">
        <is>
          <t>VÄRMLANDS LÄN</t>
        </is>
      </c>
      <c r="G552" t="inlineStr">
        <is>
          <t>HAGFORS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61998-2025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46003</v>
      </c>
      <c r="E553" s="1" t="n">
        <v>46305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17.4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62168-2025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46006</v>
      </c>
      <c r="E554" s="1" t="n">
        <v>46305</v>
      </c>
      <c r="F554" t="inlineStr">
        <is>
          <t>VÄRMLANDS LÄN</t>
        </is>
      </c>
      <c r="G554" t="inlineStr">
        <is>
          <t>HAGFORS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19363-2026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46133</v>
      </c>
      <c r="E555" s="1" t="n">
        <v>46305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62240-2025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46006</v>
      </c>
      <c r="E556" s="1" t="n">
        <v>46305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61843-2025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46003</v>
      </c>
      <c r="E557" s="1" t="n">
        <v>46305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46305</v>
      </c>
      <c r="F558" t="inlineStr">
        <is>
          <t>VÄRMLANDS LÄN</t>
        </is>
      </c>
      <c r="G558" t="inlineStr">
        <is>
          <t>HAGFORS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58307-2023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45250</v>
      </c>
      <c r="E559" s="1" t="n">
        <v>46305</v>
      </c>
      <c r="F559" t="inlineStr">
        <is>
          <t>VÄRMLANDS LÄN</t>
        </is>
      </c>
      <c r="G559" t="inlineStr">
        <is>
          <t>HAGFORS</t>
        </is>
      </c>
      <c r="H559" t="inlineStr">
        <is>
          <t>Kommuner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11104-2022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44628</v>
      </c>
      <c r="E560" s="1" t="n">
        <v>46305</v>
      </c>
      <c r="F560" t="inlineStr">
        <is>
          <t>VÄRMLANDS LÄN</t>
        </is>
      </c>
      <c r="G560" t="inlineStr">
        <is>
          <t>HAGFORS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39396-2023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45166</v>
      </c>
      <c r="E561" s="1" t="n">
        <v>46305</v>
      </c>
      <c r="F561" t="inlineStr">
        <is>
          <t>VÄRMLANDS LÄN</t>
        </is>
      </c>
      <c r="G561" t="inlineStr">
        <is>
          <t>HAGFORS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62749-2025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46008</v>
      </c>
      <c r="E562" s="1" t="n">
        <v>46305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62542-2025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46305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28571-2025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45819</v>
      </c>
      <c r="E564" s="1" t="n">
        <v>46305</v>
      </c>
      <c r="F564" t="inlineStr">
        <is>
          <t>VÄRMLANDS LÄN</t>
        </is>
      </c>
      <c r="G564" t="inlineStr">
        <is>
          <t>HAGFORS</t>
        </is>
      </c>
      <c r="I564" t="n">
        <v>5.4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62632-2025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46305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60664-2023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45259</v>
      </c>
      <c r="E566" s="1" t="n">
        <v>46305</v>
      </c>
      <c r="F566" t="inlineStr">
        <is>
          <t>VÄRMLANDS LÄN</t>
        </is>
      </c>
      <c r="G566" t="inlineStr">
        <is>
          <t>HAGFORS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59449-2024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45638</v>
      </c>
      <c r="E567" s="1" t="n">
        <v>46305</v>
      </c>
      <c r="F567" t="inlineStr">
        <is>
          <t>VÄRMLANDS LÄN</t>
        </is>
      </c>
      <c r="G567" t="inlineStr">
        <is>
          <t>HAGFORS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63301-2025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46010</v>
      </c>
      <c r="E568" s="1" t="n">
        <v>46305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63361-2025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46010</v>
      </c>
      <c r="E569" s="1" t="n">
        <v>46305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63285-2025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46010</v>
      </c>
      <c r="E570" s="1" t="n">
        <v>46305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4745-2024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45328</v>
      </c>
      <c r="E571" s="1" t="n">
        <v>46305</v>
      </c>
      <c r="F571" t="inlineStr">
        <is>
          <t>VÄRMLANDS LÄN</t>
        </is>
      </c>
      <c r="G571" t="inlineStr">
        <is>
          <t>HAGFORS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32688-2025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46305</v>
      </c>
      <c r="F572" t="inlineStr">
        <is>
          <t>VÄRMLANDS LÄN</t>
        </is>
      </c>
      <c r="G572" t="inlineStr">
        <is>
          <t>HAGFORS</t>
        </is>
      </c>
      <c r="H572" t="inlineStr">
        <is>
          <t>Kyrkan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63831-2025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46020</v>
      </c>
      <c r="E573" s="1" t="n">
        <v>46305</v>
      </c>
      <c r="F573" t="inlineStr">
        <is>
          <t>VÄRMLANDS LÄN</t>
        </is>
      </c>
      <c r="G573" t="inlineStr">
        <is>
          <t>HAGFORS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63764-2025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46018</v>
      </c>
      <c r="E574" s="1" t="n">
        <v>46305</v>
      </c>
      <c r="F574" t="inlineStr">
        <is>
          <t>VÄRMLANDS LÄN</t>
        </is>
      </c>
      <c r="G574" t="inlineStr">
        <is>
          <t>HAGFORS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63765-2025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46018</v>
      </c>
      <c r="E575" s="1" t="n">
        <v>46305</v>
      </c>
      <c r="F575" t="inlineStr">
        <is>
          <t>VÄRMLANDS LÄN</t>
        </is>
      </c>
      <c r="G575" t="inlineStr">
        <is>
          <t>HAGFORS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63875-2025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46020</v>
      </c>
      <c r="E576" s="1" t="n">
        <v>46305</v>
      </c>
      <c r="F576" t="inlineStr">
        <is>
          <t>VÄRMLANDS LÄN</t>
        </is>
      </c>
      <c r="G576" t="inlineStr">
        <is>
          <t>HAGFORS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63834-2025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46020</v>
      </c>
      <c r="E577" s="1" t="n">
        <v>46305</v>
      </c>
      <c r="F577" t="inlineStr">
        <is>
          <t>VÄRMLANDS LÄN</t>
        </is>
      </c>
      <c r="G577" t="inlineStr">
        <is>
          <t>HAGFORS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45684</v>
      </c>
      <c r="E578" s="1" t="n">
        <v>46305</v>
      </c>
      <c r="F578" t="inlineStr">
        <is>
          <t>VÄRMLANDS LÄN</t>
        </is>
      </c>
      <c r="G578" t="inlineStr">
        <is>
          <t>HAGFORS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8820-2024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45356</v>
      </c>
      <c r="E579" s="1" t="n">
        <v>46305</v>
      </c>
      <c r="F579" t="inlineStr">
        <is>
          <t>VÄRMLANDS LÄN</t>
        </is>
      </c>
      <c r="G579" t="inlineStr">
        <is>
          <t>HAGFORS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27410-2023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45097</v>
      </c>
      <c r="E580" s="1" t="n">
        <v>46305</v>
      </c>
      <c r="F580" t="inlineStr">
        <is>
          <t>VÄRMLANDS LÄN</t>
        </is>
      </c>
      <c r="G580" t="inlineStr">
        <is>
          <t>HAGFORS</t>
        </is>
      </c>
      <c r="H580" t="inlineStr">
        <is>
          <t>Kyrkan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31618-2025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45833</v>
      </c>
      <c r="E581" s="1" t="n">
        <v>46305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44566</v>
      </c>
      <c r="E582" s="1" t="n">
        <v>46305</v>
      </c>
      <c r="F582" t="inlineStr">
        <is>
          <t>VÄRMLANDS LÄN</t>
        </is>
      </c>
      <c r="G582" t="inlineStr">
        <is>
          <t>HAGFORS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48807-2025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45937</v>
      </c>
      <c r="E583" s="1" t="n">
        <v>46305</v>
      </c>
      <c r="F583" t="inlineStr">
        <is>
          <t>VÄRMLANDS LÄN</t>
        </is>
      </c>
      <c r="G583" t="inlineStr">
        <is>
          <t>HAGFORS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975-2026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46030</v>
      </c>
      <c r="E584" s="1" t="n">
        <v>46305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59048-2022</t>
        </is>
      </c>
      <c r="B585" t="inlineStr">
        <is>
          <t>avverkningsanmälan</t>
        </is>
      </c>
      <c r="C585" t="inlineStr">
        <is>
          <t>Avverkning för att bevara och utveckla /försöksver</t>
        </is>
      </c>
      <c r="D585" s="1" t="n">
        <v>44903</v>
      </c>
      <c r="E585" s="1" t="n">
        <v>46305</v>
      </c>
      <c r="F585" t="inlineStr">
        <is>
          <t>VÄRMLANDS LÄN</t>
        </is>
      </c>
      <c r="G585" t="inlineStr">
        <is>
          <t>HAGFORS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21724-2025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45783</v>
      </c>
      <c r="E586" s="1" t="n">
        <v>46305</v>
      </c>
      <c r="F586" t="inlineStr">
        <is>
          <t>VÄRMLANDS LÄN</t>
        </is>
      </c>
      <c r="G586" t="inlineStr">
        <is>
          <t>HAGFORS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19993-2026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46305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8.4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29372-2023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45106</v>
      </c>
      <c r="E588" s="1" t="n">
        <v>46305</v>
      </c>
      <c r="F588" t="inlineStr">
        <is>
          <t>VÄRMLANDS LÄN</t>
        </is>
      </c>
      <c r="G588" t="inlineStr">
        <is>
          <t>HAGFORS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60221-2023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45258</v>
      </c>
      <c r="E589" s="1" t="n">
        <v>46305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22346-2025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46305</v>
      </c>
      <c r="F590" t="inlineStr">
        <is>
          <t>VÄRMLANDS LÄN</t>
        </is>
      </c>
      <c r="G590" t="inlineStr">
        <is>
          <t>HAGFORS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46305</v>
      </c>
      <c r="F591" t="inlineStr">
        <is>
          <t>VÄRMLANDS LÄN</t>
        </is>
      </c>
      <c r="G591" t="inlineStr">
        <is>
          <t>HAGFORS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45147</v>
      </c>
      <c r="E592" s="1" t="n">
        <v>46305</v>
      </c>
      <c r="F592" t="inlineStr">
        <is>
          <t>VÄRMLANDS LÄN</t>
        </is>
      </c>
      <c r="G592" t="inlineStr">
        <is>
          <t>HAGFORS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33187-2025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46305</v>
      </c>
      <c r="F593" t="inlineStr">
        <is>
          <t>VÄRMLANDS LÄN</t>
        </is>
      </c>
      <c r="G593" t="inlineStr">
        <is>
          <t>HAGFORS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23047-2024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45450</v>
      </c>
      <c r="E594" s="1" t="n">
        <v>46305</v>
      </c>
      <c r="F594" t="inlineStr">
        <is>
          <t>VÄRMLANDS LÄN</t>
        </is>
      </c>
      <c r="G594" t="inlineStr">
        <is>
          <t>HAGFORS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46030</v>
      </c>
      <c r="E595" s="1" t="n">
        <v>46305</v>
      </c>
      <c r="F595" t="inlineStr">
        <is>
          <t>VÄRMLANDS LÄN</t>
        </is>
      </c>
      <c r="G595" t="inlineStr">
        <is>
          <t>HAGFORS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46034</v>
      </c>
      <c r="E596" s="1" t="n">
        <v>46305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46190-2024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45581</v>
      </c>
      <c r="E597" s="1" t="n">
        <v>46305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34572-2025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45847</v>
      </c>
      <c r="E598" s="1" t="n">
        <v>46305</v>
      </c>
      <c r="F598" t="inlineStr">
        <is>
          <t>VÄRMLANDS LÄN</t>
        </is>
      </c>
      <c r="G598" t="inlineStr">
        <is>
          <t>HAGFORS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63868-2025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46020</v>
      </c>
      <c r="E599" s="1" t="n">
        <v>46305</v>
      </c>
      <c r="F599" t="inlineStr">
        <is>
          <t>VÄRMLANDS LÄN</t>
        </is>
      </c>
      <c r="G599" t="inlineStr">
        <is>
          <t>HAGFORS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45678</v>
      </c>
      <c r="E600" s="1" t="n">
        <v>46305</v>
      </c>
      <c r="F600" t="inlineStr">
        <is>
          <t>VÄRMLANDS LÄN</t>
        </is>
      </c>
      <c r="G600" t="inlineStr">
        <is>
          <t>HAGFORS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45484</v>
      </c>
      <c r="E601" s="1" t="n">
        <v>46305</v>
      </c>
      <c r="F601" t="inlineStr">
        <is>
          <t>VÄRMLANDS LÄN</t>
        </is>
      </c>
      <c r="G601" t="inlineStr">
        <is>
          <t>HAGFORS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26859-2024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45470</v>
      </c>
      <c r="E602" s="1" t="n">
        <v>46305</v>
      </c>
      <c r="F602" t="inlineStr">
        <is>
          <t>VÄRMLANDS LÄN</t>
        </is>
      </c>
      <c r="G602" t="inlineStr">
        <is>
          <t>HAGFORS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20260-2026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46139</v>
      </c>
      <c r="E603" s="1" t="n">
        <v>46305</v>
      </c>
      <c r="F603" t="inlineStr">
        <is>
          <t>VÄRMLANDS LÄN</t>
        </is>
      </c>
      <c r="G603" t="inlineStr">
        <is>
          <t>HAGFORS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45839</v>
      </c>
      <c r="E604" s="1" t="n">
        <v>46305</v>
      </c>
      <c r="F604" t="inlineStr">
        <is>
          <t>VÄRMLANDS LÄN</t>
        </is>
      </c>
      <c r="G604" t="inlineStr">
        <is>
          <t>HAGFORS</t>
        </is>
      </c>
      <c r="H604" t="inlineStr">
        <is>
          <t>Kyrkan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23179-2025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45791</v>
      </c>
      <c r="E605" s="1" t="n">
        <v>46305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11367-2025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45726</v>
      </c>
      <c r="E606" s="1" t="n">
        <v>46305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46208-2023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45196</v>
      </c>
      <c r="E607" s="1" t="n">
        <v>46305</v>
      </c>
      <c r="F607" t="inlineStr">
        <is>
          <t>VÄRMLANDS LÄN</t>
        </is>
      </c>
      <c r="G607" t="inlineStr">
        <is>
          <t>HAGFORS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45873</v>
      </c>
      <c r="E608" s="1" t="n">
        <v>46305</v>
      </c>
      <c r="F608" t="inlineStr">
        <is>
          <t>VÄRMLANDS LÄN</t>
        </is>
      </c>
      <c r="G608" t="inlineStr">
        <is>
          <t>HAGFORS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44906-2024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45575</v>
      </c>
      <c r="E609" s="1" t="n">
        <v>46305</v>
      </c>
      <c r="F609" t="inlineStr">
        <is>
          <t>VÄRMLANDS LÄN</t>
        </is>
      </c>
      <c r="G609" t="inlineStr">
        <is>
          <t>HAGFORS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20564-2026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46305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20594-2026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46140</v>
      </c>
      <c r="E611" s="1" t="n">
        <v>46305</v>
      </c>
      <c r="F611" t="inlineStr">
        <is>
          <t>VÄRMLANDS LÄN</t>
        </is>
      </c>
      <c r="G611" t="inlineStr">
        <is>
          <t>HAGFORS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29373-2023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45106</v>
      </c>
      <c r="E612" s="1" t="n">
        <v>46305</v>
      </c>
      <c r="F612" t="inlineStr">
        <is>
          <t>VÄRMLANDS LÄN</t>
        </is>
      </c>
      <c r="G612" t="inlineStr">
        <is>
          <t>HAGFORS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24000-2025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45796</v>
      </c>
      <c r="E613" s="1" t="n">
        <v>46305</v>
      </c>
      <c r="F613" t="inlineStr">
        <is>
          <t>VÄRMLANDS LÄN</t>
        </is>
      </c>
      <c r="G613" t="inlineStr">
        <is>
          <t>HAGFORS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4279-2024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45324</v>
      </c>
      <c r="E614" s="1" t="n">
        <v>46305</v>
      </c>
      <c r="F614" t="inlineStr">
        <is>
          <t>VÄRMLANDS LÄN</t>
        </is>
      </c>
      <c r="G614" t="inlineStr">
        <is>
          <t>HAGFORS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46140</v>
      </c>
      <c r="E615" s="1" t="n">
        <v>46305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4618-2026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46048</v>
      </c>
      <c r="E616" s="1" t="n">
        <v>46305</v>
      </c>
      <c r="F616" t="inlineStr">
        <is>
          <t>VÄRMLANDS LÄN</t>
        </is>
      </c>
      <c r="G616" t="inlineStr">
        <is>
          <t>HAGFORS</t>
        </is>
      </c>
      <c r="I616" t="n">
        <v>13.1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46048</v>
      </c>
      <c r="E617" s="1" t="n">
        <v>46305</v>
      </c>
      <c r="F617" t="inlineStr">
        <is>
          <t>VÄRMLANDS LÄN</t>
        </is>
      </c>
      <c r="G617" t="inlineStr">
        <is>
          <t>HAGFORS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26615-2024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45469</v>
      </c>
      <c r="E618" s="1" t="n">
        <v>46305</v>
      </c>
      <c r="F618" t="inlineStr">
        <is>
          <t>VÄRMLANDS LÄN</t>
        </is>
      </c>
      <c r="G618" t="inlineStr">
        <is>
          <t>HAGFORS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26628-2024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45469</v>
      </c>
      <c r="E619" s="1" t="n">
        <v>46305</v>
      </c>
      <c r="F619" t="inlineStr">
        <is>
          <t>VÄRMLANDS LÄN</t>
        </is>
      </c>
      <c r="G619" t="inlineStr">
        <is>
          <t>HAGFORS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12778-2025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45733</v>
      </c>
      <c r="E620" s="1" t="n">
        <v>46305</v>
      </c>
      <c r="F620" t="inlineStr">
        <is>
          <t>VÄRMLANDS LÄN</t>
        </is>
      </c>
      <c r="G620" t="inlineStr">
        <is>
          <t>HAGFORS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46305</v>
      </c>
      <c r="F621" t="inlineStr">
        <is>
          <t>VÄRMLANDS LÄN</t>
        </is>
      </c>
      <c r="G621" t="inlineStr">
        <is>
          <t>HAGFORS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34281-2025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45846</v>
      </c>
      <c r="E622" s="1" t="n">
        <v>46305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46305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3426-2023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46305</v>
      </c>
      <c r="F624" t="inlineStr">
        <is>
          <t>VÄRMLANDS LÄN</t>
        </is>
      </c>
      <c r="G624" t="inlineStr">
        <is>
          <t>HAGFORS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20756-2026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46141</v>
      </c>
      <c r="E625" s="1" t="n">
        <v>46305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20759-2026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46141</v>
      </c>
      <c r="E626" s="1" t="n">
        <v>46305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46305</v>
      </c>
      <c r="F627" t="inlineStr">
        <is>
          <t>VÄRMLANDS LÄN</t>
        </is>
      </c>
      <c r="G627" t="inlineStr">
        <is>
          <t>HAGFORS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42223-2022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44830</v>
      </c>
      <c r="E628" s="1" t="n">
        <v>46305</v>
      </c>
      <c r="F628" t="inlineStr">
        <is>
          <t>VÄRMLANDS LÄN</t>
        </is>
      </c>
      <c r="G628" t="inlineStr">
        <is>
          <t>HAGFORS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61265-2022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44915</v>
      </c>
      <c r="E629" s="1" t="n">
        <v>46305</v>
      </c>
      <c r="F629" t="inlineStr">
        <is>
          <t>VÄRMLANDS LÄN</t>
        </is>
      </c>
      <c r="G629" t="inlineStr">
        <is>
          <t>HAGFORS</t>
        </is>
      </c>
      <c r="I629" t="n">
        <v>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68252-2021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44526</v>
      </c>
      <c r="E630" s="1" t="n">
        <v>46305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46305</v>
      </c>
      <c r="F631" t="inlineStr">
        <is>
          <t>VÄRMLANDS LÄN</t>
        </is>
      </c>
      <c r="G631" t="inlineStr">
        <is>
          <t>HAGFORS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5298-2026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46050</v>
      </c>
      <c r="E632" s="1" t="n">
        <v>46305</v>
      </c>
      <c r="F632" t="inlineStr">
        <is>
          <t>VÄRMLANDS LÄN</t>
        </is>
      </c>
      <c r="G632" t="inlineStr">
        <is>
          <t>HAGFORS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20752-2026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46141</v>
      </c>
      <c r="E633" s="1" t="n">
        <v>46305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17584-2023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45036</v>
      </c>
      <c r="E634" s="1" t="n">
        <v>46305</v>
      </c>
      <c r="F634" t="inlineStr">
        <is>
          <t>VÄRMLANDS LÄN</t>
        </is>
      </c>
      <c r="G634" t="inlineStr">
        <is>
          <t>HAGFORS</t>
        </is>
      </c>
      <c r="H634" t="inlineStr">
        <is>
          <t>Kommuner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20729-2026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46141</v>
      </c>
      <c r="E635" s="1" t="n">
        <v>46305</v>
      </c>
      <c r="F635" t="inlineStr">
        <is>
          <t>VÄRMLANDS LÄN</t>
        </is>
      </c>
      <c r="G635" t="inlineStr">
        <is>
          <t>HAGFORS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5263-2026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46050</v>
      </c>
      <c r="E636" s="1" t="n">
        <v>46305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20880-2026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46142</v>
      </c>
      <c r="E637" s="1" t="n">
        <v>46305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5383-2026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46305</v>
      </c>
      <c r="F638" t="inlineStr">
        <is>
          <t>VÄRMLANDS LÄN</t>
        </is>
      </c>
      <c r="G638" t="inlineStr">
        <is>
          <t>HAGFORS</t>
        </is>
      </c>
      <c r="I638" t="n">
        <v>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20798-2026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46305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19391-2025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45769</v>
      </c>
      <c r="E640" s="1" t="n">
        <v>46305</v>
      </c>
      <c r="F640" t="inlineStr">
        <is>
          <t>VÄRMLANDS LÄN</t>
        </is>
      </c>
      <c r="G640" t="inlineStr">
        <is>
          <t>HAGFORS</t>
        </is>
      </c>
      <c r="I640" t="n">
        <v>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7087-2026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46058</v>
      </c>
      <c r="E641" s="1" t="n">
        <v>46305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12.6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46305</v>
      </c>
      <c r="F642" t="inlineStr">
        <is>
          <t>VÄRMLANDS LÄN</t>
        </is>
      </c>
      <c r="G642" t="inlineStr">
        <is>
          <t>HAGFORS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46057</v>
      </c>
      <c r="E643" s="1" t="n">
        <v>46305</v>
      </c>
      <c r="F643" t="inlineStr">
        <is>
          <t>VÄRMLANDS LÄN</t>
        </is>
      </c>
      <c r="G643" t="inlineStr">
        <is>
          <t>HAGFORS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46142</v>
      </c>
      <c r="E644" s="1" t="n">
        <v>46305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20870-2026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46305</v>
      </c>
      <c r="F645" t="inlineStr">
        <is>
          <t>VÄRMLANDS LÄN</t>
        </is>
      </c>
      <c r="G645" t="inlineStr">
        <is>
          <t>HAGFORS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20706-2026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46305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46305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6.7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21879-2026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46150</v>
      </c>
      <c r="E648" s="1" t="n">
        <v>46305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21776-2026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46150</v>
      </c>
      <c r="E649" s="1" t="n">
        <v>46305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3.5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21728-2026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46149</v>
      </c>
      <c r="E650" s="1" t="n">
        <v>46305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21762-2026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46150</v>
      </c>
      <c r="E651" s="1" t="n">
        <v>46305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9670-2026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46305</v>
      </c>
      <c r="F652" t="inlineStr">
        <is>
          <t>VÄRMLANDS LÄN</t>
        </is>
      </c>
      <c r="G652" t="inlineStr">
        <is>
          <t>HAGFORS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9769-2026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46072</v>
      </c>
      <c r="E653" s="1" t="n">
        <v>46305</v>
      </c>
      <c r="F653" t="inlineStr">
        <is>
          <t>VÄRMLANDS LÄN</t>
        </is>
      </c>
      <c r="G653" t="inlineStr">
        <is>
          <t>HAGFORS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10271-2026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46076</v>
      </c>
      <c r="E654" s="1" t="n">
        <v>46305</v>
      </c>
      <c r="F654" t="inlineStr">
        <is>
          <t>VÄRMLANDS LÄN</t>
        </is>
      </c>
      <c r="G654" t="inlineStr">
        <is>
          <t>HAGFORS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8129-2024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45351</v>
      </c>
      <c r="E655" s="1" t="n">
        <v>46305</v>
      </c>
      <c r="F655" t="inlineStr">
        <is>
          <t>VÄRMLANDS LÄN</t>
        </is>
      </c>
      <c r="G655" t="inlineStr">
        <is>
          <t>HAGFORS</t>
        </is>
      </c>
      <c r="H655" t="inlineStr">
        <is>
          <t>Kyrkan</t>
        </is>
      </c>
      <c r="I655" t="n">
        <v>10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46305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22572-2026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46155</v>
      </c>
      <c r="E657" s="1" t="n">
        <v>46305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22516-2026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46155</v>
      </c>
      <c r="E658" s="1" t="n">
        <v>46305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14.9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46305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46305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46305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46305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22917-2026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46160</v>
      </c>
      <c r="E663" s="1" t="n">
        <v>46305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22911-2026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46305</v>
      </c>
      <c r="F664" t="inlineStr">
        <is>
          <t>VÄRMLANDS LÄN</t>
        </is>
      </c>
      <c r="G664" t="inlineStr">
        <is>
          <t>HAGFORS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12611-2026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46091</v>
      </c>
      <c r="E665" s="1" t="n">
        <v>46305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22925-2026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46160</v>
      </c>
      <c r="E666" s="1" t="n">
        <v>46305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12534-2026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46090</v>
      </c>
      <c r="E667" s="1" t="n">
        <v>46305</v>
      </c>
      <c r="F667" t="inlineStr">
        <is>
          <t>VÄRMLANDS LÄN</t>
        </is>
      </c>
      <c r="G667" t="inlineStr">
        <is>
          <t>HAGFORS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13419-2026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46305</v>
      </c>
      <c r="F668" t="inlineStr">
        <is>
          <t>VÄRMLANDS LÄN</t>
        </is>
      </c>
      <c r="G668" t="inlineStr">
        <is>
          <t>HAGFORS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23129-2026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46305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8.699999999999999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23016-2026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46305</v>
      </c>
      <c r="F670" t="inlineStr">
        <is>
          <t>VÄRMLANDS LÄN</t>
        </is>
      </c>
      <c r="G670" t="inlineStr">
        <is>
          <t>HAGFORS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46305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46029</v>
      </c>
      <c r="E672" s="1" t="n">
        <v>46305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8.800000000000001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46305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23525-2026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46163</v>
      </c>
      <c r="E674" s="1" t="n">
        <v>46305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46305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23728-2026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46164</v>
      </c>
      <c r="E676" s="1" t="n">
        <v>46305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31087-2024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45502</v>
      </c>
      <c r="E677" s="1" t="n">
        <v>46305</v>
      </c>
      <c r="F677" t="inlineStr">
        <is>
          <t>VÄRMLANDS LÄN</t>
        </is>
      </c>
      <c r="G677" t="inlineStr">
        <is>
          <t>HAGFORS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23678-2026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46164</v>
      </c>
      <c r="E678" s="1" t="n">
        <v>46305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8.300000000000001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51015-2025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45947</v>
      </c>
      <c r="E679" s="1" t="n">
        <v>46305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8.9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36494-2025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45869</v>
      </c>
      <c r="E680" s="1" t="n">
        <v>46305</v>
      </c>
      <c r="F680" t="inlineStr">
        <is>
          <t>VÄRMLANDS LÄN</t>
        </is>
      </c>
      <c r="G680" t="inlineStr">
        <is>
          <t>HAGFORS</t>
        </is>
      </c>
      <c r="H680" t="inlineStr">
        <is>
          <t>Kyrkan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30642-2025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45831</v>
      </c>
      <c r="E681" s="1" t="n">
        <v>46305</v>
      </c>
      <c r="F681" t="inlineStr">
        <is>
          <t>VÄRMLANDS LÄN</t>
        </is>
      </c>
      <c r="G681" t="inlineStr">
        <is>
          <t>HAGFORS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30635-2025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45831</v>
      </c>
      <c r="E682" s="1" t="n">
        <v>46305</v>
      </c>
      <c r="F682" t="inlineStr">
        <is>
          <t>VÄRMLANDS LÄN</t>
        </is>
      </c>
      <c r="G682" t="inlineStr">
        <is>
          <t>HAGFORS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46305</v>
      </c>
      <c r="F683" t="inlineStr">
        <is>
          <t>VÄRMLANDS LÄN</t>
        </is>
      </c>
      <c r="G683" t="inlineStr">
        <is>
          <t>HAGFORS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46305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8.1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24625-2026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46171</v>
      </c>
      <c r="E685" s="1" t="n">
        <v>46305</v>
      </c>
      <c r="F685" t="inlineStr">
        <is>
          <t>VÄRMLANDS LÄN</t>
        </is>
      </c>
      <c r="G685" t="inlineStr">
        <is>
          <t>HAGFORS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24699-2026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46171</v>
      </c>
      <c r="E686" s="1" t="n">
        <v>46305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24713-2026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46171</v>
      </c>
      <c r="E687" s="1" t="n">
        <v>46305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46171</v>
      </c>
      <c r="E688" s="1" t="n">
        <v>46305</v>
      </c>
      <c r="F688" t="inlineStr">
        <is>
          <t>VÄRMLANDS LÄN</t>
        </is>
      </c>
      <c r="G688" t="inlineStr">
        <is>
          <t>HAGFORS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24761-2026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46171</v>
      </c>
      <c r="E689" s="1" t="n">
        <v>46305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24628-2026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46171</v>
      </c>
      <c r="E690" s="1" t="n">
        <v>46305</v>
      </c>
      <c r="F690" t="inlineStr">
        <is>
          <t>VÄRMLANDS LÄN</t>
        </is>
      </c>
      <c r="G690" t="inlineStr">
        <is>
          <t>HAGFORS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24626-2026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46171</v>
      </c>
      <c r="E691" s="1" t="n">
        <v>46305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24677-2026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46171</v>
      </c>
      <c r="E692" s="1" t="n">
        <v>46305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24862-2026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46305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9.699999999999999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25589-2026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46305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46177</v>
      </c>
      <c r="E695" s="1" t="n">
        <v>46305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25276-2026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46305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25583-2026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46177</v>
      </c>
      <c r="E697" s="1" t="n">
        <v>46305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26019-2026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46181</v>
      </c>
      <c r="E698" s="1" t="n">
        <v>46305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25890-2026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46305</v>
      </c>
      <c r="F699" t="inlineStr">
        <is>
          <t>VÄRMLANDS LÄN</t>
        </is>
      </c>
      <c r="G699" t="inlineStr">
        <is>
          <t>HAGFORS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26012-2026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46181</v>
      </c>
      <c r="E700" s="1" t="n">
        <v>46305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26350-2026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46305</v>
      </c>
      <c r="F701" t="inlineStr">
        <is>
          <t>VÄRMLANDS LÄN</t>
        </is>
      </c>
      <c r="G701" t="inlineStr">
        <is>
          <t>HAGFORS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26357-2026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46182</v>
      </c>
      <c r="E702" s="1" t="n">
        <v>46305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33.4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26265-2026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46182</v>
      </c>
      <c r="E703" s="1" t="n">
        <v>46305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26342-2026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46182</v>
      </c>
      <c r="E704" s="1" t="n">
        <v>46305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36.8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26859-2026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46305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26864-2026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46185</v>
      </c>
      <c r="E706" s="1" t="n">
        <v>46305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26740-2026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46184</v>
      </c>
      <c r="E707" s="1" t="n">
        <v>46305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9.5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46305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18.2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26858-2026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46185</v>
      </c>
      <c r="E709" s="1" t="n">
        <v>46305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26660-2026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46184</v>
      </c>
      <c r="E710" s="1" t="n">
        <v>46305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26612-2026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46184</v>
      </c>
      <c r="E711" s="1" t="n">
        <v>46305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27306-2026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46305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27210-2026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46188</v>
      </c>
      <c r="E713" s="1" t="n">
        <v>46305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17.2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27268-2026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46188</v>
      </c>
      <c r="E714" s="1" t="n">
        <v>46305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27394-2026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46189</v>
      </c>
      <c r="E715" s="1" t="n">
        <v>46305</v>
      </c>
      <c r="F715" t="inlineStr">
        <is>
          <t>VÄRMLANDS LÄN</t>
        </is>
      </c>
      <c r="G715" t="inlineStr">
        <is>
          <t>HAGFORS</t>
        </is>
      </c>
      <c r="I715" t="n">
        <v>3.8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27280-2026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46188</v>
      </c>
      <c r="E716" s="1" t="n">
        <v>46305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27472-2026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46189</v>
      </c>
      <c r="E717" s="1" t="n">
        <v>46305</v>
      </c>
      <c r="F717" t="inlineStr">
        <is>
          <t>VÄRMLANDS LÄN</t>
        </is>
      </c>
      <c r="G717" t="inlineStr">
        <is>
          <t>HAGFORS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27929-2026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46305</v>
      </c>
      <c r="F718" t="inlineStr">
        <is>
          <t>VÄRMLANDS LÄN</t>
        </is>
      </c>
      <c r="G718" t="inlineStr">
        <is>
          <t>HAGFORS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27799-2026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46305</v>
      </c>
      <c r="F719" t="inlineStr">
        <is>
          <t>VÄRMLANDS LÄN</t>
        </is>
      </c>
      <c r="G719" t="inlineStr">
        <is>
          <t>HAGFORS</t>
        </is>
      </c>
      <c r="H719" t="inlineStr">
        <is>
          <t>Bergvik skog väst AB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28185-2026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46195</v>
      </c>
      <c r="E720" s="1" t="n">
        <v>46305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28788-2026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46305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9.699999999999999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28720-2026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46305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46305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28748-2026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46198</v>
      </c>
      <c r="E724" s="1" t="n">
        <v>46305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46200</v>
      </c>
      <c r="E725" s="1" t="n">
        <v>46305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6.3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29103-2026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46200</v>
      </c>
      <c r="E726" s="1" t="n">
        <v>46305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29422-2026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46203</v>
      </c>
      <c r="E727" s="1" t="n">
        <v>46305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29430-2026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46305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29438-2026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46203</v>
      </c>
      <c r="E729" s="1" t="n">
        <v>46305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46305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29400-2026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46203</v>
      </c>
      <c r="E731" s="1" t="n">
        <v>46305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11.8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27855-2026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46191</v>
      </c>
      <c r="E732" s="1" t="n">
        <v>46305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29427-2026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46203</v>
      </c>
      <c r="E733" s="1" t="n">
        <v>46305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9.6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29580-2026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46204</v>
      </c>
      <c r="E734" s="1" t="n">
        <v>46305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30153-2026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46206</v>
      </c>
      <c r="E735" s="1" t="n">
        <v>46305</v>
      </c>
      <c r="F735" t="inlineStr">
        <is>
          <t>VÄRMLANDS LÄN</t>
        </is>
      </c>
      <c r="G735" t="inlineStr">
        <is>
          <t>HAGFORS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30433-2026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46209</v>
      </c>
      <c r="E736" s="1" t="n">
        <v>46305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30167-2026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46206</v>
      </c>
      <c r="E737" s="1" t="n">
        <v>46305</v>
      </c>
      <c r="F737" t="inlineStr">
        <is>
          <t>VÄRMLANDS LÄN</t>
        </is>
      </c>
      <c r="G737" t="inlineStr">
        <is>
          <t>HAGFORS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30141-2026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46305</v>
      </c>
      <c r="F738" t="inlineStr">
        <is>
          <t>VÄRMLANDS LÄN</t>
        </is>
      </c>
      <c r="G738" t="inlineStr">
        <is>
          <t>HAGFORS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29950-2026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46205</v>
      </c>
      <c r="E739" s="1" t="n">
        <v>46305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30436-2026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46209</v>
      </c>
      <c r="E740" s="1" t="n">
        <v>46305</v>
      </c>
      <c r="F740" t="inlineStr">
        <is>
          <t>VÄRMLANDS LÄN</t>
        </is>
      </c>
      <c r="G740" t="inlineStr">
        <is>
          <t>HAGFORS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46305</v>
      </c>
      <c r="F741" t="inlineStr">
        <is>
          <t>VÄRMLANDS LÄN</t>
        </is>
      </c>
      <c r="G741" t="inlineStr">
        <is>
          <t>HAGFORS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30629-2026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46305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30914-2026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46213</v>
      </c>
      <c r="E743" s="1" t="n">
        <v>46305</v>
      </c>
      <c r="F743" t="inlineStr">
        <is>
          <t>VÄRMLANDS LÄN</t>
        </is>
      </c>
      <c r="G743" t="inlineStr">
        <is>
          <t>HAGFORS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35781-2026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46265</v>
      </c>
      <c r="E744" s="1" t="n">
        <v>46305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35749-2026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46265</v>
      </c>
      <c r="E745" s="1" t="n">
        <v>46305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15.2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36281-2026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46268</v>
      </c>
      <c r="E746" s="1" t="n">
        <v>46305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7.6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36055-2026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46267</v>
      </c>
      <c r="E747" s="1" t="n">
        <v>46305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9.699999999999999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36240-2026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46305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8.800000000000001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31672-2026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46225</v>
      </c>
      <c r="E749" s="1" t="n">
        <v>46305</v>
      </c>
      <c r="F749" t="inlineStr">
        <is>
          <t>VÄRMLANDS LÄN</t>
        </is>
      </c>
      <c r="G749" t="inlineStr">
        <is>
          <t>HAGFORS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31671-2026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46225</v>
      </c>
      <c r="E750" s="1" t="n">
        <v>46305</v>
      </c>
      <c r="F750" t="inlineStr">
        <is>
          <t>VÄRMLANDS LÄN</t>
        </is>
      </c>
      <c r="G750" t="inlineStr">
        <is>
          <t>HAGFORS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46305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36676-2026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46272</v>
      </c>
      <c r="E752" s="1" t="n">
        <v>46305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36556-2026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46269</v>
      </c>
      <c r="E753" s="1" t="n">
        <v>46305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36446-2026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46269</v>
      </c>
      <c r="E754" s="1" t="n">
        <v>46305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36448-2026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46305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46268</v>
      </c>
      <c r="E756" s="1" t="n">
        <v>46305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4.7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36721-2026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46305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19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36642-2026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46305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8.800000000000001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31691-2026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46226</v>
      </c>
      <c r="E759" s="1" t="n">
        <v>46305</v>
      </c>
      <c r="F759" t="inlineStr">
        <is>
          <t>VÄRMLANDS LÄN</t>
        </is>
      </c>
      <c r="G759" t="inlineStr">
        <is>
          <t>HAGFORS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36728-2026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46305</v>
      </c>
      <c r="F760" t="inlineStr">
        <is>
          <t>VÄRMLANDS LÄN</t>
        </is>
      </c>
      <c r="G760" t="inlineStr">
        <is>
          <t>HAGFORS</t>
        </is>
      </c>
      <c r="H760" t="inlineStr">
        <is>
          <t>Kyrkan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36447-2026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46269</v>
      </c>
      <c r="E761" s="1" t="n">
        <v>46305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46274</v>
      </c>
      <c r="E762" s="1" t="n">
        <v>46305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7.1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37172-2026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46274</v>
      </c>
      <c r="E763" s="1" t="n">
        <v>46305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8.699999999999999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37269-2026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46274</v>
      </c>
      <c r="E764" s="1" t="n">
        <v>46305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36110-2026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46267</v>
      </c>
      <c r="E765" s="1" t="n">
        <v>46305</v>
      </c>
      <c r="F765" t="inlineStr">
        <is>
          <t>VÄRMLANDS LÄN</t>
        </is>
      </c>
      <c r="G765" t="inlineStr">
        <is>
          <t>HAGFORS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46233</v>
      </c>
      <c r="E766" s="1" t="n">
        <v>46305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8.300000000000001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37399-2026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46275</v>
      </c>
      <c r="E767" s="1" t="n">
        <v>46305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13.7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37389-2026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46275</v>
      </c>
      <c r="E768" s="1" t="n">
        <v>46305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37497-2026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46275</v>
      </c>
      <c r="E769" s="1" t="n">
        <v>46305</v>
      </c>
      <c r="F769" t="inlineStr">
        <is>
          <t>VÄRMLANDS LÄN</t>
        </is>
      </c>
      <c r="G769" t="inlineStr">
        <is>
          <t>HAGFORS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37963-2026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46280</v>
      </c>
      <c r="E770" s="1" t="n">
        <v>46305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13.7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46280</v>
      </c>
      <c r="E771" s="1" t="n">
        <v>46305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38050-2026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46280</v>
      </c>
      <c r="E772" s="1" t="n">
        <v>46305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38053-2026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46280</v>
      </c>
      <c r="E773" s="1" t="n">
        <v>46305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38031-2026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46280</v>
      </c>
      <c r="E774" s="1" t="n">
        <v>46305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37842-2026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46305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32043-2026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46233</v>
      </c>
      <c r="E776" s="1" t="n">
        <v>46305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37924-2026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46280</v>
      </c>
      <c r="E777" s="1" t="n">
        <v>46305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37685-2026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46305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15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37922-2026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46305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38342-2026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46282</v>
      </c>
      <c r="E780" s="1" t="n">
        <v>46305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38411-2026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46282</v>
      </c>
      <c r="E781" s="1" t="n">
        <v>46305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16.6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32490-2026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46239</v>
      </c>
      <c r="E782" s="1" t="n">
        <v>46305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19.3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32535-2026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46239</v>
      </c>
      <c r="E783" s="1" t="n">
        <v>46305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38410-2026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46282</v>
      </c>
      <c r="E784" s="1" t="n">
        <v>46305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38244-2026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46281</v>
      </c>
      <c r="E785" s="1" t="n">
        <v>46305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38404-2026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46282</v>
      </c>
      <c r="E786" s="1" t="n">
        <v>46305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38412-2026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46282</v>
      </c>
      <c r="E787" s="1" t="n">
        <v>46305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32507-2026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46305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46282</v>
      </c>
      <c r="E789" s="1" t="n">
        <v>46305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32483-2026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46239</v>
      </c>
      <c r="E790" s="1" t="n">
        <v>46305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38645-2026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46305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18.6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38687-2026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46283</v>
      </c>
      <c r="E792" s="1" t="n">
        <v>46305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6.1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32721-2026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46241</v>
      </c>
      <c r="E793" s="1" t="n">
        <v>46305</v>
      </c>
      <c r="F793" t="inlineStr">
        <is>
          <t>VÄRMLANDS LÄN</t>
        </is>
      </c>
      <c r="G793" t="inlineStr">
        <is>
          <t>HAGFORS</t>
        </is>
      </c>
      <c r="I793" t="n">
        <v>4.1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38951-2026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46286</v>
      </c>
      <c r="E794" s="1" t="n">
        <v>46305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38573-2026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46283</v>
      </c>
      <c r="E795" s="1" t="n">
        <v>46305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32712-2026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46241</v>
      </c>
      <c r="E796" s="1" t="n">
        <v>46305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32713-2026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46241</v>
      </c>
      <c r="E797" s="1" t="n">
        <v>46305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33073-2026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46245</v>
      </c>
      <c r="E798" s="1" t="n">
        <v>46305</v>
      </c>
      <c r="F798" t="inlineStr">
        <is>
          <t>VÄRMLANDS LÄN</t>
        </is>
      </c>
      <c r="G798" t="inlineStr">
        <is>
          <t>HAGFORS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39116-2026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46287</v>
      </c>
      <c r="E799" s="1" t="n">
        <v>46305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39345-2026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46288</v>
      </c>
      <c r="E800" s="1" t="n">
        <v>46305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19056-2026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46132</v>
      </c>
      <c r="E801" s="1" t="n">
        <v>46305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6.5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39382-2026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46288</v>
      </c>
      <c r="E802" s="1" t="n">
        <v>46305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39347-2026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46288</v>
      </c>
      <c r="E803" s="1" t="n">
        <v>46305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8.5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39070-2026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46287</v>
      </c>
      <c r="E804" s="1" t="n">
        <v>46305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39186-2026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46305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7.3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39532-2026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46289</v>
      </c>
      <c r="E806" s="1" t="n">
        <v>46305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39825-2026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46290</v>
      </c>
      <c r="E807" s="1" t="n">
        <v>46305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39881-2026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46305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39566-2026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46289</v>
      </c>
      <c r="E809" s="1" t="n">
        <v>46305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14.2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39605-2026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46289</v>
      </c>
      <c r="E810" s="1" t="n">
        <v>46305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39577-2026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46289</v>
      </c>
      <c r="E811" s="1" t="n">
        <v>46305</v>
      </c>
      <c r="F811" t="inlineStr">
        <is>
          <t>VÄRMLANDS LÄN</t>
        </is>
      </c>
      <c r="G811" t="inlineStr">
        <is>
          <t>HAGFORS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39706-2026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46290</v>
      </c>
      <c r="E812" s="1" t="n">
        <v>46305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39708-2026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46290</v>
      </c>
      <c r="E813" s="1" t="n">
        <v>46305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39727-2026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46290</v>
      </c>
      <c r="E814" s="1" t="n">
        <v>46305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40428-2026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46305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40203-2026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46290</v>
      </c>
      <c r="E816" s="1" t="n">
        <v>46305</v>
      </c>
      <c r="F816" t="inlineStr">
        <is>
          <t>VÄRMLANDS LÄN</t>
        </is>
      </c>
      <c r="G816" t="inlineStr">
        <is>
          <t>HAGFORS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40205-2026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46290</v>
      </c>
      <c r="E817" s="1" t="n">
        <v>46305</v>
      </c>
      <c r="F817" t="inlineStr">
        <is>
          <t>VÄRMLANDS LÄN</t>
        </is>
      </c>
      <c r="G817" t="inlineStr">
        <is>
          <t>HAGFORS</t>
        </is>
      </c>
      <c r="I817" t="n">
        <v>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33635-2026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46248</v>
      </c>
      <c r="E818" s="1" t="n">
        <v>46305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40351-2026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46294</v>
      </c>
      <c r="E819" s="1" t="n">
        <v>46305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40436-2026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46294</v>
      </c>
      <c r="E820" s="1" t="n">
        <v>46305</v>
      </c>
      <c r="F820" t="inlineStr">
        <is>
          <t>VÄRMLANDS LÄN</t>
        </is>
      </c>
      <c r="G820" t="inlineStr">
        <is>
          <t>HAGFORS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40163-2026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46293</v>
      </c>
      <c r="E821" s="1" t="n">
        <v>46305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40174-2026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46293</v>
      </c>
      <c r="E822" s="1" t="n">
        <v>46305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40148-2026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46293</v>
      </c>
      <c r="E823" s="1" t="n">
        <v>46305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40259-2026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46294</v>
      </c>
      <c r="E824" s="1" t="n">
        <v>46305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40191-2026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46290</v>
      </c>
      <c r="E825" s="1" t="n">
        <v>46305</v>
      </c>
      <c r="F825" t="inlineStr">
        <is>
          <t>VÄRMLANDS LÄN</t>
        </is>
      </c>
      <c r="G825" t="inlineStr">
        <is>
          <t>HAGFORS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33515-2026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46305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33627-2026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46305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40125-2026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46293</v>
      </c>
      <c r="E828" s="1" t="n">
        <v>46305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40130-2026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46293</v>
      </c>
      <c r="E829" s="1" t="n">
        <v>46305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40157-2026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46290</v>
      </c>
      <c r="E830" s="1" t="n">
        <v>46305</v>
      </c>
      <c r="F830" t="inlineStr">
        <is>
          <t>VÄRMLANDS LÄN</t>
        </is>
      </c>
      <c r="G830" t="inlineStr">
        <is>
          <t>HAGFORS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40206-2026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46293</v>
      </c>
      <c r="E831" s="1" t="n">
        <v>46305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40071-2026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46293</v>
      </c>
      <c r="E832" s="1" t="n">
        <v>46305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40207-2026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46290</v>
      </c>
      <c r="E833" s="1" t="n">
        <v>46305</v>
      </c>
      <c r="F833" t="inlineStr">
        <is>
          <t>VÄRMLANDS LÄN</t>
        </is>
      </c>
      <c r="G833" t="inlineStr">
        <is>
          <t>HAGFORS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46305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40440-2026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46294</v>
      </c>
      <c r="E835" s="1" t="n">
        <v>46305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40209-2026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46290</v>
      </c>
      <c r="E836" s="1" t="n">
        <v>46305</v>
      </c>
      <c r="F836" t="inlineStr">
        <is>
          <t>VÄRMLANDS LÄN</t>
        </is>
      </c>
      <c r="G836" t="inlineStr">
        <is>
          <t>HAGFORS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33833-2026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46305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5.8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40537-2026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46295</v>
      </c>
      <c r="E838" s="1" t="n">
        <v>46305</v>
      </c>
      <c r="F838" t="inlineStr">
        <is>
          <t>VÄRMLANDS LÄN</t>
        </is>
      </c>
      <c r="G838" t="inlineStr">
        <is>
          <t>HAGFORS</t>
        </is>
      </c>
      <c r="H838" t="inlineStr">
        <is>
          <t>Kommuner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40547-2026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46295</v>
      </c>
      <c r="E839" s="1" t="n">
        <v>46305</v>
      </c>
      <c r="F839" t="inlineStr">
        <is>
          <t>VÄRMLANDS LÄN</t>
        </is>
      </c>
      <c r="G839" t="inlineStr">
        <is>
          <t>HAGFORS</t>
        </is>
      </c>
      <c r="H839" t="inlineStr">
        <is>
          <t>Kommuner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34014-2026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46252</v>
      </c>
      <c r="E840" s="1" t="n">
        <v>46305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40538-2026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46295</v>
      </c>
      <c r="E841" s="1" t="n">
        <v>46305</v>
      </c>
      <c r="F841" t="inlineStr">
        <is>
          <t>VÄRMLANDS LÄN</t>
        </is>
      </c>
      <c r="G841" t="inlineStr">
        <is>
          <t>HAGFORS</t>
        </is>
      </c>
      <c r="H841" t="inlineStr">
        <is>
          <t>Kommuner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34522-2026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46255</v>
      </c>
      <c r="E842" s="1" t="n">
        <v>46305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34523-2026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46255</v>
      </c>
      <c r="E843" s="1" t="n">
        <v>46305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15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34456-2026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46254</v>
      </c>
      <c r="E844" s="1" t="n">
        <v>46305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8.800000000000001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41119-2026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46300</v>
      </c>
      <c r="E845" s="1" t="n">
        <v>46305</v>
      </c>
      <c r="F845" t="inlineStr">
        <is>
          <t>VÄRMLANDS LÄN</t>
        </is>
      </c>
      <c r="G845" t="inlineStr">
        <is>
          <t>HAGFORS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34443-2026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46254</v>
      </c>
      <c r="E846" s="1" t="n">
        <v>46305</v>
      </c>
      <c r="F846" t="inlineStr">
        <is>
          <t>VÄRMLANDS LÄN</t>
        </is>
      </c>
      <c r="G846" t="inlineStr">
        <is>
          <t>HAGFORS</t>
        </is>
      </c>
      <c r="H846" t="inlineStr">
        <is>
          <t>Bergvik skog väst AB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41050-2026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46300</v>
      </c>
      <c r="E847" s="1" t="n">
        <v>46305</v>
      </c>
      <c r="F847" t="inlineStr">
        <is>
          <t>VÄRMLANDS LÄN</t>
        </is>
      </c>
      <c r="G847" t="inlineStr">
        <is>
          <t>HAGFORS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41057-2026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46300</v>
      </c>
      <c r="E848" s="1" t="n">
        <v>46305</v>
      </c>
      <c r="F848" t="inlineStr">
        <is>
          <t>VÄRMLANDS LÄN</t>
        </is>
      </c>
      <c r="G848" t="inlineStr">
        <is>
          <t>HAGFORS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34399-2026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46254</v>
      </c>
      <c r="E849" s="1" t="n">
        <v>46305</v>
      </c>
      <c r="F849" t="inlineStr">
        <is>
          <t>VÄRMLANDS LÄN</t>
        </is>
      </c>
      <c r="G849" t="inlineStr">
        <is>
          <t>HAGFORS</t>
        </is>
      </c>
      <c r="H849" t="inlineStr">
        <is>
          <t>Bergvik skog väst AB</t>
        </is>
      </c>
      <c r="I849" t="n">
        <v>15.8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33821-2026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46251</v>
      </c>
      <c r="E850" s="1" t="n">
        <v>46305</v>
      </c>
      <c r="F850" t="inlineStr">
        <is>
          <t>VÄRMLANDS LÄN</t>
        </is>
      </c>
      <c r="G850" t="inlineStr">
        <is>
          <t>HAGFORS</t>
        </is>
      </c>
      <c r="H850" t="inlineStr">
        <is>
          <t>Bergvik skog väst AB</t>
        </is>
      </c>
      <c r="I850" t="n">
        <v>14.4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34552-2026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46305</v>
      </c>
      <c r="F851" t="inlineStr">
        <is>
          <t>VÄRMLANDS LÄN</t>
        </is>
      </c>
      <c r="G851" t="inlineStr">
        <is>
          <t>HAGFORS</t>
        </is>
      </c>
      <c r="H851" t="inlineStr">
        <is>
          <t>Bergvik skog väst AB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40176-2026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46290</v>
      </c>
      <c r="E852" s="1" t="n">
        <v>46305</v>
      </c>
      <c r="F852" t="inlineStr">
        <is>
          <t>VÄRMLANDS LÄN</t>
        </is>
      </c>
      <c r="G852" t="inlineStr">
        <is>
          <t>HAGFORS</t>
        </is>
      </c>
      <c r="I852" t="n">
        <v>14.3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41581-2026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46301</v>
      </c>
      <c r="E853" s="1" t="n">
        <v>46305</v>
      </c>
      <c r="F853" t="inlineStr">
        <is>
          <t>VÄRMLANDS LÄN</t>
        </is>
      </c>
      <c r="G853" t="inlineStr">
        <is>
          <t>HAGFORS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34797-2026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46258</v>
      </c>
      <c r="E854" s="1" t="n">
        <v>46305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35386-2026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46261</v>
      </c>
      <c r="E855" s="1" t="n">
        <v>46305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13.3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35186-2026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46260</v>
      </c>
      <c r="E856" s="1" t="n">
        <v>46305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35310-2026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46305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14.9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35184-2026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46260</v>
      </c>
      <c r="E858" s="1" t="n">
        <v>46305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46262</v>
      </c>
      <c r="E859" s="1" t="n">
        <v>46305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6.3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35173-2026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46260</v>
      </c>
      <c r="E860" s="1" t="n">
        <v>46305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18.2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2225-2020</t>
        </is>
      </c>
      <c r="B861" t="inlineStr">
        <is>
          <t>samrådsanmälan</t>
        </is>
      </c>
      <c r="C861" t="inlineStr">
        <is>
          <t>Åtgärd i nyckelbiotop</t>
        </is>
      </c>
      <c r="D861" s="1" t="n">
        <v>44127</v>
      </c>
      <c r="E861" s="1" t="n">
        <v>46305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0.2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2050-2022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44671</v>
      </c>
      <c r="E862" s="1" t="n">
        <v>46305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12.3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937-2022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46305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59.4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931-2022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46305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49.5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262-2022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44578</v>
      </c>
      <c r="E865" s="1" t="n">
        <v>46305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78.90000000000001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907-2022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44606</v>
      </c>
      <c r="E866" s="1" t="n">
        <v>46305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43.5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913-2022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44606</v>
      </c>
      <c r="E867" s="1" t="n">
        <v>46305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22.4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898-2022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44606</v>
      </c>
      <c r="E868" s="1" t="n">
        <v>46305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24.9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900-2022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44606</v>
      </c>
      <c r="E869" s="1" t="n">
        <v>46305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27.3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914-2022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44606</v>
      </c>
      <c r="E870" s="1" t="n">
        <v>46305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19.3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4419-2023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45266</v>
      </c>
      <c r="E871" s="1" t="n">
        <v>46305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35.6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4420-2023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46305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44.2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4426-2023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45266</v>
      </c>
      <c r="E873" s="1" t="n">
        <v>46305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9.699999999999999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5512-2022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44834</v>
      </c>
      <c r="E874" s="1" t="n">
        <v>46305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29.9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4415-2023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46305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9.199999999999999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6970-2022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44901</v>
      </c>
      <c r="E876" s="1" t="n">
        <v>46305</v>
      </c>
      <c r="F876" t="inlineStr">
        <is>
          <t>VÄRMLANDS LÄN</t>
        </is>
      </c>
      <c r="G876" t="inlineStr">
        <is>
          <t>HAGFORS</t>
        </is>
      </c>
      <c r="H876" t="inlineStr">
        <is>
          <t>Bergvik skog väst AB</t>
        </is>
      </c>
      <c r="I876" t="n">
        <v>29.3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4408-2023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45266</v>
      </c>
      <c r="E877" s="1" t="n">
        <v>46305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13.7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6968-2022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46305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19.3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4423-2023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45266</v>
      </c>
      <c r="E879" s="1" t="n">
        <v>46305</v>
      </c>
      <c r="F879" t="inlineStr">
        <is>
          <t>VÄRMLANDS LÄN</t>
        </is>
      </c>
      <c r="G879" t="inlineStr">
        <is>
          <t>HAGFORS</t>
        </is>
      </c>
      <c r="H879" t="inlineStr">
        <is>
          <t>Bergvik skog väst AB</t>
        </is>
      </c>
      <c r="I879" t="n">
        <v>15.7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4418-2023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45266</v>
      </c>
      <c r="E880" s="1" t="n">
        <v>46305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19.1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651-2024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45356</v>
      </c>
      <c r="E881" s="1" t="n">
        <v>46305</v>
      </c>
      <c r="F881" t="inlineStr">
        <is>
          <t>VÄRMLANDS LÄN</t>
        </is>
      </c>
      <c r="G881" t="inlineStr">
        <is>
          <t>HAGFORS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4145-2023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45247</v>
      </c>
      <c r="E882" s="1" t="n">
        <v>46305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26.1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6967-2022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44901</v>
      </c>
      <c r="E883" s="1" t="n">
        <v>46305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27.1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89-2025</t>
        </is>
      </c>
      <c r="B884" t="inlineStr">
        <is>
          <t>samrådsanmälan</t>
        </is>
      </c>
      <c r="C884" t="inlineStr">
        <is>
          <t>Åtgärd i nyckelbiotop</t>
        </is>
      </c>
      <c r="D884" s="1" t="n">
        <v>45316</v>
      </c>
      <c r="E884" s="1" t="n">
        <v>46305</v>
      </c>
      <c r="F884" t="inlineStr">
        <is>
          <t>VÄRMLANDS LÄN</t>
        </is>
      </c>
      <c r="G884" t="inlineStr">
        <is>
          <t>HAGFORS</t>
        </is>
      </c>
      <c r="I884" t="n">
        <v>6.3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6969-2022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44901</v>
      </c>
      <c r="E885" s="1" t="n">
        <v>46305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24.3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220-2025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45680</v>
      </c>
      <c r="E886" s="1" t="n">
        <v>46305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23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4150-2023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45247</v>
      </c>
      <c r="E887" s="1" t="n">
        <v>46305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34.4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4410-2023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45266</v>
      </c>
      <c r="E888" s="1" t="n">
        <v>46305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39.3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4409-2023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45266</v>
      </c>
      <c r="E889" s="1" t="n">
        <v>46305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24.9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4155-2023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45247</v>
      </c>
      <c r="E890" s="1" t="n">
        <v>46305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40.9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4140-2023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45247</v>
      </c>
      <c r="E891" s="1" t="n">
        <v>46305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36.5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6977-2022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44901</v>
      </c>
      <c r="E892" s="1" t="n">
        <v>46305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25.2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6973-2022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44901</v>
      </c>
      <c r="E893" s="1" t="n">
        <v>46305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30.1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4143-2023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45247</v>
      </c>
      <c r="E894" s="1" t="n">
        <v>46305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13.2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4407-2023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45266</v>
      </c>
      <c r="E895" s="1" t="n">
        <v>46305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12.1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6965-2022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44901</v>
      </c>
      <c r="E896" s="1" t="n">
        <v>46305</v>
      </c>
      <c r="F896" t="inlineStr">
        <is>
          <t>VÄRMLANDS LÄN</t>
        </is>
      </c>
      <c r="G896" t="inlineStr">
        <is>
          <t>HAGFORS</t>
        </is>
      </c>
      <c r="H896" t="inlineStr">
        <is>
          <t>Bergvik skog väst AB</t>
        </is>
      </c>
      <c r="I896" t="n">
        <v>21.4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662-2025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45716</v>
      </c>
      <c r="E897" s="1" t="n">
        <v>46305</v>
      </c>
      <c r="F897" t="inlineStr">
        <is>
          <t>VÄRMLANDS LÄN</t>
        </is>
      </c>
      <c r="G897" t="inlineStr">
        <is>
          <t>HAGFORS</t>
        </is>
      </c>
      <c r="H897" t="inlineStr">
        <is>
          <t>Bergvik skog väst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108-2026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46037</v>
      </c>
      <c r="E898" s="1" t="n">
        <v>46305</v>
      </c>
      <c r="F898" t="inlineStr">
        <is>
          <t>VÄRMLANDS LÄN</t>
        </is>
      </c>
      <c r="G898" t="inlineStr">
        <is>
          <t>HAGFORS</t>
        </is>
      </c>
      <c r="H898" t="inlineStr">
        <is>
          <t>Bergvik skog väst AB</t>
        </is>
      </c>
      <c r="I898" t="n">
        <v>204.4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102-2026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46036</v>
      </c>
      <c r="E899" s="1" t="n">
        <v>46305</v>
      </c>
      <c r="F899" t="inlineStr">
        <is>
          <t>VÄRMLANDS LÄN</t>
        </is>
      </c>
      <c r="G899" t="inlineStr">
        <is>
          <t>HAGFORS</t>
        </is>
      </c>
      <c r="H899" t="inlineStr">
        <is>
          <t>Bergvik skog väst AB</t>
        </is>
      </c>
      <c r="I899" t="n">
        <v>57.9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60-2026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46013</v>
      </c>
      <c r="E900" s="1" t="n">
        <v>46305</v>
      </c>
      <c r="F900" t="inlineStr">
        <is>
          <t>VÄRMLANDS LÄN</t>
        </is>
      </c>
      <c r="G900" t="inlineStr">
        <is>
          <t>HAGFORS</t>
        </is>
      </c>
      <c r="H900" t="inlineStr">
        <is>
          <t>Bergvik skog väst AB</t>
        </is>
      </c>
      <c r="I900" t="n">
        <v>10.6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382-2025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45691</v>
      </c>
      <c r="E901" s="1" t="n">
        <v>46305</v>
      </c>
      <c r="F901" t="inlineStr">
        <is>
          <t>VÄRMLANDS LÄN</t>
        </is>
      </c>
      <c r="G901" t="inlineStr">
        <is>
          <t>HAGFORS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2026-10-10T02:01:46Z</dcterms:created>
  <dcterms:modified xmlns:dcterms="http://purl.org/dc/terms/" xmlns:xsi="http://www.w3.org/2001/XMLSchema-instance" xsi:type="dcterms:W3CDTF">2026-10-10T02:01:47Z</dcterms:modified>
</cp:coreProperties>
</file>