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45842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45842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45842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45842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45842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45842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45842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31472-2025</t>
        </is>
      </c>
      <c r="B9" s="1" t="n">
        <v>45833</v>
      </c>
      <c r="C9" s="1" t="n">
        <v>45842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2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Mindre hackspett
Bronshjon
Rostfläck
Thomsons trägnagare
Vågbandad barkbock
Revlummer</t>
        </is>
      </c>
      <c r="S9">
        <f>HYPERLINK("https://klasma.github.io/Logging_171783/artfynd/A 31472-2025 artfynd.xlsx", "A 31472-2025")</f>
        <v/>
      </c>
      <c r="T9">
        <f>HYPERLINK("https://klasma.github.io/Logging_171783/kartor/A 31472-2025 karta.png", "A 31472-2025")</f>
        <v/>
      </c>
      <c r="V9">
        <f>HYPERLINK("https://klasma.github.io/Logging_171783/klagomål/A 31472-2025 FSC-klagomål.docx", "A 31472-2025")</f>
        <v/>
      </c>
      <c r="W9">
        <f>HYPERLINK("https://klasma.github.io/Logging_171783/klagomålsmail/A 31472-2025 FSC-klagomål mail.docx", "A 31472-2025")</f>
        <v/>
      </c>
      <c r="X9">
        <f>HYPERLINK("https://klasma.github.io/Logging_171783/tillsyn/A 31472-2025 tillsynsbegäran.docx", "A 31472-2025")</f>
        <v/>
      </c>
      <c r="Y9">
        <f>HYPERLINK("https://klasma.github.io/Logging_171783/tillsynsmail/A 31472-2025 tillsynsbegäran mail.docx", "A 31472-2025")</f>
        <v/>
      </c>
      <c r="Z9">
        <f>HYPERLINK("https://klasma.github.io/Logging_171783/fåglar/A 31472-2025 prioriterade fågelarter.docx", "A 31472-2025")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45842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Kortskaftad ärgspik
Mörk kolflarnlav
Dropptaggsvamp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19307-2024</t>
        </is>
      </c>
      <c r="B11" s="1" t="n">
        <v>45428</v>
      </c>
      <c r="C11" s="1" t="n">
        <v>45842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12.9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Garnlav
Kolflarnlav
Mörk kolflarnlav
Vedskivlav
Mindre märgborre</t>
        </is>
      </c>
      <c r="S11">
        <f>HYPERLINK("https://klasma.github.io/Logging_1783/artfynd/A 19307-2024 artfynd.xlsx", "A 19307-2024")</f>
        <v/>
      </c>
      <c r="T11">
        <f>HYPERLINK("https://klasma.github.io/Logging_1783/kartor/A 19307-2024 karta.png", "A 19307-2024")</f>
        <v/>
      </c>
      <c r="V11">
        <f>HYPERLINK("https://klasma.github.io/Logging_1783/klagomål/A 19307-2024 FSC-klagomål.docx", "A 19307-2024")</f>
        <v/>
      </c>
      <c r="W11">
        <f>HYPERLINK("https://klasma.github.io/Logging_1783/klagomålsmail/A 19307-2024 FSC-klagomål mail.docx", "A 19307-2024")</f>
        <v/>
      </c>
      <c r="X11">
        <f>HYPERLINK("https://klasma.github.io/Logging_1783/tillsyn/A 19307-2024 tillsynsbegäran.docx", "A 19307-2024")</f>
        <v/>
      </c>
      <c r="Y11">
        <f>HYPERLINK("https://klasma.github.io/Logging_1783/tillsynsmail/A 19307-2024 tillsynsbegäran mail.docx", "A 19307-2024")</f>
        <v/>
      </c>
    </row>
    <row r="12" ht="15" customHeight="1">
      <c r="A12" t="inlineStr">
        <is>
          <t>A 54844-2024</t>
        </is>
      </c>
      <c r="B12" s="1" t="n">
        <v>45618</v>
      </c>
      <c r="C12" s="1" t="n">
        <v>45842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12.8</v>
      </c>
      <c r="H12" t="n">
        <v>1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Ullticka
Vedtrappmossa
Vågbandad barkbock</t>
        </is>
      </c>
      <c r="S12">
        <f>HYPERLINK("https://klasma.github.io/Logging_1783/artfynd/A 54844-2024 artfynd.xlsx", "A 54844-2024")</f>
        <v/>
      </c>
      <c r="T12">
        <f>HYPERLINK("https://klasma.github.io/Logging_1783/kartor/A 54844-2024 karta.png", "A 54844-2024")</f>
        <v/>
      </c>
      <c r="U12">
        <f>HYPERLINK("https://klasma.github.io/Logging_1783/knärot/A 54844-2024 karta knärot.png", "A 54844-2024")</f>
        <v/>
      </c>
      <c r="V12">
        <f>HYPERLINK("https://klasma.github.io/Logging_1783/klagomål/A 54844-2024 FSC-klagomål.docx", "A 54844-2024")</f>
        <v/>
      </c>
      <c r="W12">
        <f>HYPERLINK("https://klasma.github.io/Logging_1783/klagomålsmail/A 54844-2024 FSC-klagomål mail.docx", "A 54844-2024")</f>
        <v/>
      </c>
      <c r="X12">
        <f>HYPERLINK("https://klasma.github.io/Logging_1783/tillsyn/A 54844-2024 tillsynsbegäran.docx", "A 54844-2024")</f>
        <v/>
      </c>
      <c r="Y12">
        <f>HYPERLINK("https://klasma.github.io/Logging_1783/tillsynsmail/A 54844-2024 tillsynsbegäran mail.docx", "A 54844-2024")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45842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63893-2021</t>
        </is>
      </c>
      <c r="B14" s="1" t="n">
        <v>44509</v>
      </c>
      <c r="C14" s="1" t="n">
        <v>45842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12640-2023</t>
        </is>
      </c>
      <c r="B15" s="1" t="n">
        <v>45000</v>
      </c>
      <c r="C15" s="1" t="n">
        <v>45842</v>
      </c>
      <c r="D15" t="inlineStr">
        <is>
          <t>VÄRMLANDS LÄN</t>
        </is>
      </c>
      <c r="E15" t="inlineStr">
        <is>
          <t>HAGFORS</t>
        </is>
      </c>
      <c r="G15" t="n">
        <v>9.1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Kolflarnlav
Korallblylav</t>
        </is>
      </c>
      <c r="S15">
        <f>HYPERLINK("https://klasma.github.io/Logging_1783/artfynd/A 12640-2023 artfynd.xlsx", "A 12640-2023")</f>
        <v/>
      </c>
      <c r="T15">
        <f>HYPERLINK("https://klasma.github.io/Logging_1783/kartor/A 12640-2023 karta.png", "A 12640-2023")</f>
        <v/>
      </c>
      <c r="V15">
        <f>HYPERLINK("https://klasma.github.io/Logging_1783/klagomål/A 12640-2023 FSC-klagomål.docx", "A 12640-2023")</f>
        <v/>
      </c>
      <c r="W15">
        <f>HYPERLINK("https://klasma.github.io/Logging_1783/klagomålsmail/A 12640-2023 FSC-klagomål mail.docx", "A 12640-2023")</f>
        <v/>
      </c>
      <c r="X15">
        <f>HYPERLINK("https://klasma.github.io/Logging_1783/tillsyn/A 12640-2023 tillsynsbegäran.docx", "A 12640-2023")</f>
        <v/>
      </c>
      <c r="Y15">
        <f>HYPERLINK("https://klasma.github.io/Logging_1783/tillsynsmail/A 12640-2023 tillsynsbegäran mail.docx", "A 12640-2023")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45842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45842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45842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HYPERLINK("https://klasma.github.io/Logging_171783/artfynd/A 15826-2025 artfynd.xlsx", "A 15826-2025")</f>
        <v/>
      </c>
      <c r="T18">
        <f>HYPERLINK("https://klasma.github.io/Logging_171783/kartor/A 15826-2025 karta.png", "A 15826-2025")</f>
        <v/>
      </c>
      <c r="V18">
        <f>HYPERLINK("https://klasma.github.io/Logging_171783/klagomål/A 15826-2025 FSC-klagomål.docx", "A 15826-2025")</f>
        <v/>
      </c>
      <c r="W18">
        <f>HYPERLINK("https://klasma.github.io/Logging_171783/klagomålsmail/A 15826-2025 FSC-klagomål mail.docx", "A 15826-2025")</f>
        <v/>
      </c>
      <c r="X18">
        <f>HYPERLINK("https://klasma.github.io/Logging_171783/tillsyn/A 15826-2025 tillsynsbegäran.docx", "A 15826-2025")</f>
        <v/>
      </c>
      <c r="Y18">
        <f>HYPERLINK("https://klasma.github.io/Logging_171783/tillsynsmail/A 15826-2025 tillsynsbegäran mail.docx", "A 15826-2025")</f>
        <v/>
      </c>
    </row>
    <row r="19" ht="15" customHeight="1">
      <c r="A19" t="inlineStr">
        <is>
          <t>A 23955-2025</t>
        </is>
      </c>
      <c r="B19" s="1" t="n">
        <v>45796</v>
      </c>
      <c r="C19" s="1" t="n">
        <v>45842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3.7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HYPERLINK("https://klasma.github.io/Logging_171783/artfynd/A 23955-2025 artfynd.xlsx", "A 23955-2025")</f>
        <v/>
      </c>
      <c r="T19">
        <f>HYPERLINK("https://klasma.github.io/Logging_171783/kartor/A 23955-2025 karta.png", "A 23955-2025")</f>
        <v/>
      </c>
      <c r="V19">
        <f>HYPERLINK("https://klasma.github.io/Logging_171783/klagomål/A 23955-2025 FSC-klagomål.docx", "A 23955-2025")</f>
        <v/>
      </c>
      <c r="W19">
        <f>HYPERLINK("https://klasma.github.io/Logging_171783/klagomålsmail/A 23955-2025 FSC-klagomål mail.docx", "A 23955-2025")</f>
        <v/>
      </c>
      <c r="X19">
        <f>HYPERLINK("https://klasma.github.io/Logging_171783/tillsyn/A 23955-2025 tillsynsbegäran.docx", "A 23955-2025")</f>
        <v/>
      </c>
      <c r="Y19">
        <f>HYPERLINK("https://klasma.github.io/Logging_171783/tillsynsmail/A 23955-2025 tillsynsbegäran mail.docx", "A 23955-2025")</f>
        <v/>
      </c>
      <c r="Z19">
        <f>HYPERLINK("https://klasma.github.io/Logging_171783/fåglar/A 23955-2025 prioriterade fågelarter.docx", "A 23955-2025")</f>
        <v/>
      </c>
    </row>
    <row r="20" ht="15" customHeight="1">
      <c r="A20" t="inlineStr">
        <is>
          <t>A 51021-2019</t>
        </is>
      </c>
      <c r="B20" s="1" t="n">
        <v>43739</v>
      </c>
      <c r="C20" s="1" t="n">
        <v>45842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18.7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HYPERLINK("https://klasma.github.io/Logging_1783/artfynd/A 51021-2019 artfynd.xlsx", "A 51021-2019")</f>
        <v/>
      </c>
      <c r="T20">
        <f>HYPERLINK("https://klasma.github.io/Logging_1783/kartor/A 51021-2019 karta.png", "A 51021-2019")</f>
        <v/>
      </c>
      <c r="V20">
        <f>HYPERLINK("https://klasma.github.io/Logging_1783/klagomål/A 51021-2019 FSC-klagomål.docx", "A 51021-2019")</f>
        <v/>
      </c>
      <c r="W20">
        <f>HYPERLINK("https://klasma.github.io/Logging_1783/klagomålsmail/A 51021-2019 FSC-klagomål mail.docx", "A 51021-2019")</f>
        <v/>
      </c>
      <c r="X20">
        <f>HYPERLINK("https://klasma.github.io/Logging_1783/tillsyn/A 51021-2019 tillsynsbegäran.docx", "A 51021-2019")</f>
        <v/>
      </c>
      <c r="Y20">
        <f>HYPERLINK("https://klasma.github.io/Logging_1783/tillsynsmail/A 51021-2019 tillsynsbegäran mail.docx", "A 51021-2019")</f>
        <v/>
      </c>
    </row>
    <row r="21" ht="15" customHeight="1">
      <c r="A21" t="inlineStr">
        <is>
          <t>A 47721-2020</t>
        </is>
      </c>
      <c r="B21" s="1" t="n">
        <v>44096</v>
      </c>
      <c r="C21" s="1" t="n">
        <v>45842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HYPERLINK("https://klasma.github.io/Logging_1783/artfynd/A 47721-2020 artfynd.xlsx", "A 47721-2020")</f>
        <v/>
      </c>
      <c r="T21">
        <f>HYPERLINK("https://klasma.github.io/Logging_1783/kartor/A 47721-2020 karta.png", "A 47721-2020")</f>
        <v/>
      </c>
      <c r="V21">
        <f>HYPERLINK("https://klasma.github.io/Logging_1783/klagomål/A 47721-2020 FSC-klagomål.docx", "A 47721-2020")</f>
        <v/>
      </c>
      <c r="W21">
        <f>HYPERLINK("https://klasma.github.io/Logging_1783/klagomålsmail/A 47721-2020 FSC-klagomål mail.docx", "A 47721-2020")</f>
        <v/>
      </c>
      <c r="X21">
        <f>HYPERLINK("https://klasma.github.io/Logging_1783/tillsyn/A 47721-2020 tillsynsbegäran.docx", "A 47721-2020")</f>
        <v/>
      </c>
      <c r="Y21">
        <f>HYPERLINK("https://klasma.github.io/Logging_1783/tillsynsmail/A 47721-2020 tillsynsbegäran mail.docx", "A 47721-2020")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45842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45842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6986-2022</t>
        </is>
      </c>
      <c r="B24" s="1" t="n">
        <v>44603</v>
      </c>
      <c r="C24" s="1" t="n">
        <v>45842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HYPERLINK("https://klasma.github.io/Logging_1783/artfynd/A 6986-2022 artfynd.xlsx", "A 6986-2022")</f>
        <v/>
      </c>
      <c r="T24">
        <f>HYPERLINK("https://klasma.github.io/Logging_1783/kartor/A 6986-2022 karta.png", "A 6986-2022")</f>
        <v/>
      </c>
      <c r="V24">
        <f>HYPERLINK("https://klasma.github.io/Logging_1783/klagomål/A 6986-2022 FSC-klagomål.docx", "A 6986-2022")</f>
        <v/>
      </c>
      <c r="W24">
        <f>HYPERLINK("https://klasma.github.io/Logging_1783/klagomålsmail/A 6986-2022 FSC-klagomål mail.docx", "A 6986-2022")</f>
        <v/>
      </c>
      <c r="X24">
        <f>HYPERLINK("https://klasma.github.io/Logging_1783/tillsyn/A 6986-2022 tillsynsbegäran.docx", "A 6986-2022")</f>
        <v/>
      </c>
      <c r="Y24">
        <f>HYPERLINK("https://klasma.github.io/Logging_1783/tillsynsmail/A 6986-2022 tillsynsbegäran mail.docx", "A 6986-2022")</f>
        <v/>
      </c>
    </row>
    <row r="25" ht="15" customHeight="1">
      <c r="A25" t="inlineStr">
        <is>
          <t>A 17504-2022</t>
        </is>
      </c>
      <c r="B25" s="1" t="n">
        <v>44679</v>
      </c>
      <c r="C25" s="1" t="n">
        <v>45842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Trädlärka</t>
        </is>
      </c>
      <c r="S25">
        <f>HYPERLINK("https://klasma.github.io/Logging_1783/artfynd/A 17504-2022 artfynd.xlsx", "A 17504-2022")</f>
        <v/>
      </c>
      <c r="T25">
        <f>HYPERLINK("https://klasma.github.io/Logging_1783/kartor/A 17504-2022 karta.png", "A 17504-2022")</f>
        <v/>
      </c>
      <c r="V25">
        <f>HYPERLINK("https://klasma.github.io/Logging_1783/klagomål/A 17504-2022 FSC-klagomål.docx", "A 17504-2022")</f>
        <v/>
      </c>
      <c r="W25">
        <f>HYPERLINK("https://klasma.github.io/Logging_1783/klagomålsmail/A 17504-2022 FSC-klagomål mail.docx", "A 17504-2022")</f>
        <v/>
      </c>
      <c r="X25">
        <f>HYPERLINK("https://klasma.github.io/Logging_1783/tillsyn/A 17504-2022 tillsynsbegäran.docx", "A 17504-2022")</f>
        <v/>
      </c>
      <c r="Y25">
        <f>HYPERLINK("https://klasma.github.io/Logging_1783/tillsynsmail/A 17504-2022 tillsynsbegäran mail.docx", "A 17504-2022")</f>
        <v/>
      </c>
      <c r="Z25">
        <f>HYPERLINK("https://klasma.github.io/Logging_1783/fåglar/A 17504-2022 prioriterade fågelarter.docx", "A 17504-2022")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45842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3127-2023</t>
        </is>
      </c>
      <c r="B27" s="1" t="n">
        <v>44946</v>
      </c>
      <c r="C27" s="1" t="n">
        <v>45842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Stenfalk</t>
        </is>
      </c>
      <c r="S27">
        <f>HYPERLINK("https://klasma.github.io/Logging_1783/artfynd/A 3127-2023 artfynd.xlsx", "A 3127-2023")</f>
        <v/>
      </c>
      <c r="T27">
        <f>HYPERLINK("https://klasma.github.io/Logging_1783/kartor/A 3127-2023 karta.png", "A 3127-2023")</f>
        <v/>
      </c>
      <c r="V27">
        <f>HYPERLINK("https://klasma.github.io/Logging_1783/klagomål/A 3127-2023 FSC-klagomål.docx", "A 3127-2023")</f>
        <v/>
      </c>
      <c r="W27">
        <f>HYPERLINK("https://klasma.github.io/Logging_1783/klagomålsmail/A 3127-2023 FSC-klagomål mail.docx", "A 3127-2023")</f>
        <v/>
      </c>
      <c r="X27">
        <f>HYPERLINK("https://klasma.github.io/Logging_1783/tillsyn/A 3127-2023 tillsynsbegäran.docx", "A 3127-2023")</f>
        <v/>
      </c>
      <c r="Y27">
        <f>HYPERLINK("https://klasma.github.io/Logging_1783/tillsynsmail/A 3127-2023 tillsynsbegäran mail.docx", "A 3127-2023")</f>
        <v/>
      </c>
      <c r="Z27">
        <f>HYPERLINK("https://klasma.github.io/Logging_1783/fåglar/A 3127-2023 prioriterade fågelarter.docx", "A 3127-2023")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45842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45842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6132-2024</t>
        </is>
      </c>
      <c r="B30" s="1" t="n">
        <v>45337</v>
      </c>
      <c r="C30" s="1" t="n">
        <v>45842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HYPERLINK("https://klasma.github.io/Logging_1783/artfynd/A 6132-2024 artfynd.xlsx", "A 6132-2024")</f>
        <v/>
      </c>
      <c r="T30">
        <f>HYPERLINK("https://klasma.github.io/Logging_1783/kartor/A 6132-2024 karta.png", "A 6132-2024")</f>
        <v/>
      </c>
      <c r="V30">
        <f>HYPERLINK("https://klasma.github.io/Logging_1783/klagomål/A 6132-2024 FSC-klagomål.docx", "A 6132-2024")</f>
        <v/>
      </c>
      <c r="W30">
        <f>HYPERLINK("https://klasma.github.io/Logging_1783/klagomålsmail/A 6132-2024 FSC-klagomål mail.docx", "A 6132-2024")</f>
        <v/>
      </c>
      <c r="X30">
        <f>HYPERLINK("https://klasma.github.io/Logging_1783/tillsyn/A 6132-2024 tillsynsbegäran.docx", "A 6132-2024")</f>
        <v/>
      </c>
      <c r="Y30">
        <f>HYPERLINK("https://klasma.github.io/Logging_1783/tillsynsmail/A 6132-2024 tillsynsbegäran mail.docx", "A 6132-2024")</f>
        <v/>
      </c>
    </row>
    <row r="31" ht="15" customHeight="1">
      <c r="A31" t="inlineStr">
        <is>
          <t>A 17095-2024</t>
        </is>
      </c>
      <c r="B31" s="1" t="n">
        <v>45412</v>
      </c>
      <c r="C31" s="1" t="n">
        <v>45842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17095-2024 artfynd.xlsx", "A 17095-2024")</f>
        <v/>
      </c>
      <c r="T31">
        <f>HYPERLINK("https://klasma.github.io/Logging_1783/kartor/A 17095-2024 karta.png", "A 17095-2024")</f>
        <v/>
      </c>
      <c r="V31">
        <f>HYPERLINK("https://klasma.github.io/Logging_1783/klagomål/A 17095-2024 FSC-klagomål.docx", "A 17095-2024")</f>
        <v/>
      </c>
      <c r="W31">
        <f>HYPERLINK("https://klasma.github.io/Logging_1783/klagomålsmail/A 17095-2024 FSC-klagomål mail.docx", "A 17095-2024")</f>
        <v/>
      </c>
      <c r="X31">
        <f>HYPERLINK("https://klasma.github.io/Logging_1783/tillsyn/A 17095-2024 tillsynsbegäran.docx", "A 17095-2024")</f>
        <v/>
      </c>
      <c r="Y31">
        <f>HYPERLINK("https://klasma.github.io/Logging_1783/tillsynsmail/A 17095-2024 tillsynsbegäran mail.docx", "A 17095-2024")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45842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45842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56582-2024</t>
        </is>
      </c>
      <c r="B34" s="1" t="n">
        <v>45625</v>
      </c>
      <c r="C34" s="1" t="n">
        <v>45842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56582-2024 artfynd.xlsx", "A 56582-2024")</f>
        <v/>
      </c>
      <c r="T34">
        <f>HYPERLINK("https://klasma.github.io/Logging_1783/kartor/A 56582-2024 karta.png", "A 56582-2024")</f>
        <v/>
      </c>
      <c r="V34">
        <f>HYPERLINK("https://klasma.github.io/Logging_1783/klagomål/A 56582-2024 FSC-klagomål.docx", "A 56582-2024")</f>
        <v/>
      </c>
      <c r="W34">
        <f>HYPERLINK("https://klasma.github.io/Logging_1783/klagomålsmail/A 56582-2024 FSC-klagomål mail.docx", "A 56582-2024")</f>
        <v/>
      </c>
      <c r="X34">
        <f>HYPERLINK("https://klasma.github.io/Logging_1783/tillsyn/A 56582-2024 tillsynsbegäran.docx", "A 56582-2024")</f>
        <v/>
      </c>
      <c r="Y34">
        <f>HYPERLINK("https://klasma.github.io/Logging_1783/tillsynsmail/A 56582-2024 tillsynsbegäran mail.docx", "A 56582-2024")</f>
        <v/>
      </c>
    </row>
    <row r="35" ht="15" customHeight="1">
      <c r="A35" t="inlineStr">
        <is>
          <t>A 59330-2024</t>
        </is>
      </c>
      <c r="B35" s="1" t="n">
        <v>45637</v>
      </c>
      <c r="C35" s="1" t="n">
        <v>45842</v>
      </c>
      <c r="D35" t="inlineStr">
        <is>
          <t>VÄRMLANDS LÄN</t>
        </is>
      </c>
      <c r="E35" t="inlineStr">
        <is>
          <t>HAGFORS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Gränsticka</t>
        </is>
      </c>
      <c r="S35">
        <f>HYPERLINK("https://klasma.github.io/Logging_1783/artfynd/A 59330-2024 artfynd.xlsx", "A 59330-2024")</f>
        <v/>
      </c>
      <c r="T35">
        <f>HYPERLINK("https://klasma.github.io/Logging_1783/kartor/A 59330-2024 karta.png", "A 59330-2024")</f>
        <v/>
      </c>
      <c r="V35">
        <f>HYPERLINK("https://klasma.github.io/Logging_1783/klagomål/A 59330-2024 FSC-klagomål.docx", "A 59330-2024")</f>
        <v/>
      </c>
      <c r="W35">
        <f>HYPERLINK("https://klasma.github.io/Logging_1783/klagomålsmail/A 59330-2024 FSC-klagomål mail.docx", "A 59330-2024")</f>
        <v/>
      </c>
      <c r="X35">
        <f>HYPERLINK("https://klasma.github.io/Logging_1783/tillsyn/A 59330-2024 tillsynsbegäran.docx", "A 59330-2024")</f>
        <v/>
      </c>
      <c r="Y35">
        <f>HYPERLINK("https://klasma.github.io/Logging_1783/tillsynsmail/A 59330-2024 tillsynsbegäran mail.docx", "A 59330-2024")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45842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HYPERLINK("https://klasma.github.io/Logging_171783/artfynd/A 18623-2025 artfynd.xlsx", "A 18623-2025")</f>
        <v/>
      </c>
      <c r="T36">
        <f>HYPERLINK("https://klasma.github.io/Logging_171783/kartor/A 18623-2025 karta.png", "A 18623-2025")</f>
        <v/>
      </c>
      <c r="U36">
        <f>HYPERLINK("https://klasma.github.io/Logging_171783/knärot/A 18623-2025 karta knärot.png", "A 18623-2025")</f>
        <v/>
      </c>
      <c r="V36">
        <f>HYPERLINK("https://klasma.github.io/Logging_171783/klagomål/A 18623-2025 FSC-klagomål.docx", "A 18623-2025")</f>
        <v/>
      </c>
      <c r="W36">
        <f>HYPERLINK("https://klasma.github.io/Logging_171783/klagomålsmail/A 18623-2025 FSC-klagomål mail.docx", "A 18623-2025")</f>
        <v/>
      </c>
      <c r="X36">
        <f>HYPERLINK("https://klasma.github.io/Logging_171783/tillsyn/A 18623-2025 tillsynsbegäran.docx", "A 18623-2025")</f>
        <v/>
      </c>
      <c r="Y36">
        <f>HYPERLINK("https://klasma.github.io/Logging_171783/tillsynsmail/A 18623-2025 tillsynsbegäran mail.docx", "A 18623-2025")</f>
        <v/>
      </c>
    </row>
    <row r="37" ht="15" customHeight="1">
      <c r="A37" t="inlineStr">
        <is>
          <t>A 24885-2025</t>
        </is>
      </c>
      <c r="B37" s="1" t="n">
        <v>45799</v>
      </c>
      <c r="C37" s="1" t="n">
        <v>45842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HYPERLINK("https://klasma.github.io/Logging_171783/artfynd/A 24885-2025 artfynd.xlsx", "A 24885-2025")</f>
        <v/>
      </c>
      <c r="T37">
        <f>HYPERLINK("https://klasma.github.io/Logging_171783/kartor/A 24885-2025 karta.png", "A 24885-2025")</f>
        <v/>
      </c>
      <c r="V37">
        <f>HYPERLINK("https://klasma.github.io/Logging_171783/klagomål/A 24885-2025 FSC-klagomål.docx", "A 24885-2025")</f>
        <v/>
      </c>
      <c r="W37">
        <f>HYPERLINK("https://klasma.github.io/Logging_171783/klagomålsmail/A 24885-2025 FSC-klagomål mail.docx", "A 24885-2025")</f>
        <v/>
      </c>
      <c r="X37">
        <f>HYPERLINK("https://klasma.github.io/Logging_171783/tillsyn/A 24885-2025 tillsynsbegäran.docx", "A 24885-2025")</f>
        <v/>
      </c>
      <c r="Y37">
        <f>HYPERLINK("https://klasma.github.io/Logging_171783/tillsynsmail/A 24885-2025 tillsynsbegäran mail.docx", "A 24885-2025")</f>
        <v/>
      </c>
    </row>
    <row r="38" ht="15" customHeight="1">
      <c r="A38" t="inlineStr">
        <is>
          <t>A 26624-2025</t>
        </is>
      </c>
      <c r="B38" s="1" t="n">
        <v>45810</v>
      </c>
      <c r="C38" s="1" t="n">
        <v>45842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HYPERLINK("https://klasma.github.io/Logging_171783/artfynd/A 26624-2025 artfynd.xlsx", "A 26624-2025")</f>
        <v/>
      </c>
      <c r="T38">
        <f>HYPERLINK("https://klasma.github.io/Logging_171783/kartor/A 26624-2025 karta.png", "A 26624-2025")</f>
        <v/>
      </c>
      <c r="V38">
        <f>HYPERLINK("https://klasma.github.io/Logging_171783/klagomål/A 26624-2025 FSC-klagomål.docx", "A 26624-2025")</f>
        <v/>
      </c>
      <c r="W38">
        <f>HYPERLINK("https://klasma.github.io/Logging_171783/klagomålsmail/A 26624-2025 FSC-klagomål mail.docx", "A 26624-2025")</f>
        <v/>
      </c>
      <c r="X38">
        <f>HYPERLINK("https://klasma.github.io/Logging_171783/tillsyn/A 26624-2025 tillsynsbegäran.docx", "A 26624-2025")</f>
        <v/>
      </c>
      <c r="Y38">
        <f>HYPERLINK("https://klasma.github.io/Logging_171783/tillsynsmail/A 26624-2025 tillsynsbegäran mail.docx", "A 26624-2025")</f>
        <v/>
      </c>
    </row>
    <row r="39" ht="15" customHeight="1">
      <c r="A39" t="inlineStr">
        <is>
          <t>A 33543-2025</t>
        </is>
      </c>
      <c r="B39" s="1" t="n">
        <v>45841</v>
      </c>
      <c r="C39" s="1" t="n">
        <v>45842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18.6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HYPERLINK("https://klasma.github.io/Logging_171783/artfynd/A 33543-2025 artfynd.xlsx", "A 33543-2025")</f>
        <v/>
      </c>
      <c r="T39">
        <f>HYPERLINK("https://klasma.github.io/Logging_171783/kartor/A 33543-2025 karta.png", "A 33543-2025")</f>
        <v/>
      </c>
      <c r="V39">
        <f>HYPERLINK("https://klasma.github.io/Logging_171783/klagomål/A 33543-2025 FSC-klagomål.docx", "A 33543-2025")</f>
        <v/>
      </c>
      <c r="W39">
        <f>HYPERLINK("https://klasma.github.io/Logging_171783/klagomålsmail/A 33543-2025 FSC-klagomål mail.docx", "A 33543-2025")</f>
        <v/>
      </c>
      <c r="X39">
        <f>HYPERLINK("https://klasma.github.io/Logging_171783/tillsyn/A 33543-2025 tillsynsbegäran.docx", "A 33543-2025")</f>
        <v/>
      </c>
      <c r="Y39">
        <f>HYPERLINK("https://klasma.github.io/Logging_171783/tillsynsmail/A 33543-2025 tillsynsbegäran mail.docx", "A 33543-2025")</f>
        <v/>
      </c>
      <c r="Z39">
        <f>HYPERLINK("https://klasma.github.io/Logging_171783/fåglar/A 33543-2025 prioriterade fågelarter.docx", "A 33543-2025")</f>
        <v/>
      </c>
    </row>
    <row r="40" ht="15" customHeight="1">
      <c r="A40" t="inlineStr">
        <is>
          <t>A 18281-2019</t>
        </is>
      </c>
      <c r="B40" s="1" t="n">
        <v>43558</v>
      </c>
      <c r="C40" s="1" t="n">
        <v>45842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18736-2019</t>
        </is>
      </c>
      <c r="B41" s="1" t="n">
        <v>43560</v>
      </c>
      <c r="C41" s="1" t="n">
        <v>45842</v>
      </c>
      <c r="D41" t="inlineStr">
        <is>
          <t>VÄRMLANDS LÄN</t>
        </is>
      </c>
      <c r="E41" t="inlineStr">
        <is>
          <t>HAGFORS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19402-2019</t>
        </is>
      </c>
      <c r="B42" s="1" t="n">
        <v>43565</v>
      </c>
      <c r="C42" s="1" t="n">
        <v>45842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19528-2019</t>
        </is>
      </c>
      <c r="B43" s="1" t="n">
        <v>43565</v>
      </c>
      <c r="C43" s="1" t="n">
        <v>45842</v>
      </c>
      <c r="D43" t="inlineStr">
        <is>
          <t>VÄRMLANDS LÄN</t>
        </is>
      </c>
      <c r="E43" t="inlineStr">
        <is>
          <t>HAGFORS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19421-2019</t>
        </is>
      </c>
      <c r="B44" s="1" t="n">
        <v>43565</v>
      </c>
      <c r="C44" s="1" t="n">
        <v>45842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20573-2019</t>
        </is>
      </c>
      <c r="B45" s="1" t="n">
        <v>43572</v>
      </c>
      <c r="C45" s="1" t="n">
        <v>45842</v>
      </c>
      <c r="D45" t="inlineStr">
        <is>
          <t>VÄRMLANDS LÄN</t>
        </is>
      </c>
      <c r="E45" t="inlineStr">
        <is>
          <t>HAGFORS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20866-2019</t>
        </is>
      </c>
      <c r="B46" s="1" t="n">
        <v>43578</v>
      </c>
      <c r="C46" s="1" t="n">
        <v>45842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22194-2019</t>
        </is>
      </c>
      <c r="B47" s="1" t="n">
        <v>43585</v>
      </c>
      <c r="C47" s="1" t="n">
        <v>45842</v>
      </c>
      <c r="D47" t="inlineStr">
        <is>
          <t>VÄRMLANDS LÄN</t>
        </is>
      </c>
      <c r="E47" t="inlineStr">
        <is>
          <t>HAGFORS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22204-2019</t>
        </is>
      </c>
      <c r="B48" s="1" t="n">
        <v>43585</v>
      </c>
      <c r="C48" s="1" t="n">
        <v>45842</v>
      </c>
      <c r="D48" t="inlineStr">
        <is>
          <t>VÄRMLANDS LÄN</t>
        </is>
      </c>
      <c r="E48" t="inlineStr">
        <is>
          <t>HAGFORS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22574-2019</t>
        </is>
      </c>
      <c r="B49" s="1" t="n">
        <v>43587</v>
      </c>
      <c r="C49" s="1" t="n">
        <v>45842</v>
      </c>
      <c r="D49" t="inlineStr">
        <is>
          <t>VÄRMLANDS LÄN</t>
        </is>
      </c>
      <c r="E49" t="inlineStr">
        <is>
          <t>HAGFORS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22986-2019</t>
        </is>
      </c>
      <c r="B50" s="1" t="n">
        <v>43591</v>
      </c>
      <c r="C50" s="1" t="n">
        <v>45842</v>
      </c>
      <c r="D50" t="inlineStr">
        <is>
          <t>VÄRMLANDS LÄN</t>
        </is>
      </c>
      <c r="E50" t="inlineStr">
        <is>
          <t>HAGFORS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23251-2019</t>
        </is>
      </c>
      <c r="B51" s="1" t="n">
        <v>43591</v>
      </c>
      <c r="C51" s="1" t="n">
        <v>45842</v>
      </c>
      <c r="D51" t="inlineStr">
        <is>
          <t>VÄRMLANDS LÄN</t>
        </is>
      </c>
      <c r="E51" t="inlineStr">
        <is>
          <t>HAGFORS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23242-2019</t>
        </is>
      </c>
      <c r="B52" s="1" t="n">
        <v>43591</v>
      </c>
      <c r="C52" s="1" t="n">
        <v>45842</v>
      </c>
      <c r="D52" t="inlineStr">
        <is>
          <t>VÄRMLANDS LÄN</t>
        </is>
      </c>
      <c r="E52" t="inlineStr">
        <is>
          <t>HAGFORS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24136-2019</t>
        </is>
      </c>
      <c r="B53" s="1" t="n">
        <v>43598</v>
      </c>
      <c r="C53" s="1" t="n">
        <v>45842</v>
      </c>
      <c r="D53" t="inlineStr">
        <is>
          <t>VÄRMLANDS LÄN</t>
        </is>
      </c>
      <c r="E53" t="inlineStr">
        <is>
          <t>HAGFORS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24130-2019</t>
        </is>
      </c>
      <c r="B54" s="1" t="n">
        <v>43598</v>
      </c>
      <c r="C54" s="1" t="n">
        <v>45842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25769-2019</t>
        </is>
      </c>
      <c r="B55" s="1" t="n">
        <v>43608</v>
      </c>
      <c r="C55" s="1" t="n">
        <v>45842</v>
      </c>
      <c r="D55" t="inlineStr">
        <is>
          <t>VÄRMLANDS LÄN</t>
        </is>
      </c>
      <c r="E55" t="inlineStr">
        <is>
          <t>HAGFORS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25782-2019</t>
        </is>
      </c>
      <c r="B56" s="1" t="n">
        <v>43608</v>
      </c>
      <c r="C56" s="1" t="n">
        <v>45842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25765-2019</t>
        </is>
      </c>
      <c r="B57" s="1" t="n">
        <v>43608</v>
      </c>
      <c r="C57" s="1" t="n">
        <v>45842</v>
      </c>
      <c r="D57" t="inlineStr">
        <is>
          <t>VÄRMLANDS LÄN</t>
        </is>
      </c>
      <c r="E57" t="inlineStr">
        <is>
          <t>HAGFORS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25784-2019</t>
        </is>
      </c>
      <c r="B58" s="1" t="n">
        <v>43608</v>
      </c>
      <c r="C58" s="1" t="n">
        <v>45842</v>
      </c>
      <c r="D58" t="inlineStr">
        <is>
          <t>VÄRMLANDS LÄN</t>
        </is>
      </c>
      <c r="E58" t="inlineStr">
        <is>
          <t>HAGFORS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26415-2019</t>
        </is>
      </c>
      <c r="B59" s="1" t="n">
        <v>43612</v>
      </c>
      <c r="C59" s="1" t="n">
        <v>45842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26552-2019</t>
        </is>
      </c>
      <c r="B60" s="1" t="n">
        <v>43612</v>
      </c>
      <c r="C60" s="1" t="n">
        <v>45842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27495-2019</t>
        </is>
      </c>
      <c r="B61" s="1" t="n">
        <v>43619</v>
      </c>
      <c r="C61" s="1" t="n">
        <v>45842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28381-2019</t>
        </is>
      </c>
      <c r="B62" s="1" t="n">
        <v>43626</v>
      </c>
      <c r="C62" s="1" t="n">
        <v>45842</v>
      </c>
      <c r="D62" t="inlineStr">
        <is>
          <t>VÄRMLANDS LÄN</t>
        </is>
      </c>
      <c r="E62" t="inlineStr">
        <is>
          <t>HAGFORS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29389-2019</t>
        </is>
      </c>
      <c r="B63" s="1" t="n">
        <v>43629</v>
      </c>
      <c r="C63" s="1" t="n">
        <v>45842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29582-2019</t>
        </is>
      </c>
      <c r="B64" s="1" t="n">
        <v>43630</v>
      </c>
      <c r="C64" s="1" t="n">
        <v>45842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30221-2019</t>
        </is>
      </c>
      <c r="B65" s="1" t="n">
        <v>43633</v>
      </c>
      <c r="C65" s="1" t="n">
        <v>45842</v>
      </c>
      <c r="D65" t="inlineStr">
        <is>
          <t>VÄRMLANDS LÄN</t>
        </is>
      </c>
      <c r="E65" t="inlineStr">
        <is>
          <t>HAGFORS</t>
        </is>
      </c>
      <c r="G65" t="n">
        <v>12.6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30398-2019</t>
        </is>
      </c>
      <c r="B66" s="1" t="n">
        <v>43633</v>
      </c>
      <c r="C66" s="1" t="n">
        <v>45842</v>
      </c>
      <c r="D66" t="inlineStr">
        <is>
          <t>VÄRMLANDS LÄN</t>
        </is>
      </c>
      <c r="E66" t="inlineStr">
        <is>
          <t>HAGFORS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33039-2019</t>
        </is>
      </c>
      <c r="B67" s="1" t="n">
        <v>43649</v>
      </c>
      <c r="C67" s="1" t="n">
        <v>45842</v>
      </c>
      <c r="D67" t="inlineStr">
        <is>
          <t>VÄRMLANDS LÄN</t>
        </is>
      </c>
      <c r="E67" t="inlineStr">
        <is>
          <t>HAGFORS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33521-2019</t>
        </is>
      </c>
      <c r="B68" s="1" t="n">
        <v>43651</v>
      </c>
      <c r="C68" s="1" t="n">
        <v>45842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34008-2019</t>
        </is>
      </c>
      <c r="B69" s="1" t="n">
        <v>43654</v>
      </c>
      <c r="C69" s="1" t="n">
        <v>45842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33996-2019</t>
        </is>
      </c>
      <c r="B70" s="1" t="n">
        <v>43654</v>
      </c>
      <c r="C70" s="1" t="n">
        <v>45842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35706-2019</t>
        </is>
      </c>
      <c r="B71" s="1" t="n">
        <v>43664</v>
      </c>
      <c r="C71" s="1" t="n">
        <v>45842</v>
      </c>
      <c r="D71" t="inlineStr">
        <is>
          <t>VÄRMLANDS LÄN</t>
        </is>
      </c>
      <c r="E71" t="inlineStr">
        <is>
          <t>HAGFORS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41401-2019</t>
        </is>
      </c>
      <c r="B72" s="1" t="n">
        <v>43689</v>
      </c>
      <c r="C72" s="1" t="n">
        <v>45842</v>
      </c>
      <c r="D72" t="inlineStr">
        <is>
          <t>VÄRMLANDS LÄN</t>
        </is>
      </c>
      <c r="E72" t="inlineStr">
        <is>
          <t>HAGFORS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40166-2019</t>
        </is>
      </c>
      <c r="B73" s="1" t="n">
        <v>43693</v>
      </c>
      <c r="C73" s="1" t="n">
        <v>45842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41834-2019</t>
        </is>
      </c>
      <c r="B74" s="1" t="n">
        <v>43697</v>
      </c>
      <c r="C74" s="1" t="n">
        <v>45842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42967-2019</t>
        </is>
      </c>
      <c r="B75" s="1" t="n">
        <v>43705</v>
      </c>
      <c r="C75" s="1" t="n">
        <v>45842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30.3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44222-2019</t>
        </is>
      </c>
      <c r="B76" s="1" t="n">
        <v>43710</v>
      </c>
      <c r="C76" s="1" t="n">
        <v>45842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44866-2019</t>
        </is>
      </c>
      <c r="B77" s="1" t="n">
        <v>43712</v>
      </c>
      <c r="C77" s="1" t="n">
        <v>45842</v>
      </c>
      <c r="D77" t="inlineStr">
        <is>
          <t>VÄRMLANDS LÄN</t>
        </is>
      </c>
      <c r="E77" t="inlineStr">
        <is>
          <t>HAGFORS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45356-2019</t>
        </is>
      </c>
      <c r="B78" s="1" t="n">
        <v>43714</v>
      </c>
      <c r="C78" s="1" t="n">
        <v>45842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47904-2019</t>
        </is>
      </c>
      <c r="B79" s="1" t="n">
        <v>43725</v>
      </c>
      <c r="C79" s="1" t="n">
        <v>45842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47938-2019</t>
        </is>
      </c>
      <c r="B80" s="1" t="n">
        <v>43725</v>
      </c>
      <c r="C80" s="1" t="n">
        <v>45842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48524-2019</t>
        </is>
      </c>
      <c r="B81" s="1" t="n">
        <v>43727</v>
      </c>
      <c r="C81" s="1" t="n">
        <v>45842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50045-2019</t>
        </is>
      </c>
      <c r="B82" s="1" t="n">
        <v>43732</v>
      </c>
      <c r="C82" s="1" t="n">
        <v>45842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50892-2019</t>
        </is>
      </c>
      <c r="B83" s="1" t="n">
        <v>43738</v>
      </c>
      <c r="C83" s="1" t="n">
        <v>45842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50924-2019</t>
        </is>
      </c>
      <c r="B84" s="1" t="n">
        <v>43738</v>
      </c>
      <c r="C84" s="1" t="n">
        <v>45842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52853-2019</t>
        </is>
      </c>
      <c r="B85" s="1" t="n">
        <v>43740</v>
      </c>
      <c r="C85" s="1" t="n">
        <v>45842</v>
      </c>
      <c r="D85" t="inlineStr">
        <is>
          <t>VÄRMLANDS LÄN</t>
        </is>
      </c>
      <c r="E85" t="inlineStr">
        <is>
          <t>HAGFORS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53830-2019</t>
        </is>
      </c>
      <c r="B86" s="1" t="n">
        <v>43752</v>
      </c>
      <c r="C86" s="1" t="n">
        <v>45842</v>
      </c>
      <c r="D86" t="inlineStr">
        <is>
          <t>VÄRMLANDS LÄN</t>
        </is>
      </c>
      <c r="E86" t="inlineStr">
        <is>
          <t>HAGFORS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53855-2019</t>
        </is>
      </c>
      <c r="B87" s="1" t="n">
        <v>43752</v>
      </c>
      <c r="C87" s="1" t="n">
        <v>45842</v>
      </c>
      <c r="D87" t="inlineStr">
        <is>
          <t>VÄRMLANDS LÄN</t>
        </is>
      </c>
      <c r="E87" t="inlineStr">
        <is>
          <t>HAGFORS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54972-2019</t>
        </is>
      </c>
      <c r="B88" s="1" t="n">
        <v>43752</v>
      </c>
      <c r="C88" s="1" t="n">
        <v>45842</v>
      </c>
      <c r="D88" t="inlineStr">
        <is>
          <t>VÄRMLANDS LÄN</t>
        </is>
      </c>
      <c r="E88" t="inlineStr">
        <is>
          <t>HAGFORS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54950-2019</t>
        </is>
      </c>
      <c r="B89" s="1" t="n">
        <v>43752</v>
      </c>
      <c r="C89" s="1" t="n">
        <v>45842</v>
      </c>
      <c r="D89" t="inlineStr">
        <is>
          <t>VÄRMLANDS LÄN</t>
        </is>
      </c>
      <c r="E89" t="inlineStr">
        <is>
          <t>HAGFORS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54200-2019</t>
        </is>
      </c>
      <c r="B90" s="1" t="n">
        <v>43753</v>
      </c>
      <c r="C90" s="1" t="n">
        <v>45842</v>
      </c>
      <c r="D90" t="inlineStr">
        <is>
          <t>VÄRMLANDS LÄN</t>
        </is>
      </c>
      <c r="E90" t="inlineStr">
        <is>
          <t>HAGFORS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54214-2019</t>
        </is>
      </c>
      <c r="B91" s="1" t="n">
        <v>43753</v>
      </c>
      <c r="C91" s="1" t="n">
        <v>45842</v>
      </c>
      <c r="D91" t="inlineStr">
        <is>
          <t>VÄRMLANDS LÄN</t>
        </is>
      </c>
      <c r="E91" t="inlineStr">
        <is>
          <t>HAGFORS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54204-2019</t>
        </is>
      </c>
      <c r="B92" s="1" t="n">
        <v>43753</v>
      </c>
      <c r="C92" s="1" t="n">
        <v>45842</v>
      </c>
      <c r="D92" t="inlineStr">
        <is>
          <t>VÄRMLANDS LÄN</t>
        </is>
      </c>
      <c r="E92" t="inlineStr">
        <is>
          <t>HAGFORS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55919-2019</t>
        </is>
      </c>
      <c r="B93" s="1" t="n">
        <v>43761</v>
      </c>
      <c r="C93" s="1" t="n">
        <v>45842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56131-2019</t>
        </is>
      </c>
      <c r="B94" s="1" t="n">
        <v>43761</v>
      </c>
      <c r="C94" s="1" t="n">
        <v>45842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55773-2019</t>
        </is>
      </c>
      <c r="B95" s="1" t="n">
        <v>43761</v>
      </c>
      <c r="C95" s="1" t="n">
        <v>45842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55884-2019</t>
        </is>
      </c>
      <c r="B96" s="1" t="n">
        <v>43761</v>
      </c>
      <c r="C96" s="1" t="n">
        <v>45842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56323-2019</t>
        </is>
      </c>
      <c r="B97" s="1" t="n">
        <v>43762</v>
      </c>
      <c r="C97" s="1" t="n">
        <v>45842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56265-2019</t>
        </is>
      </c>
      <c r="B98" s="1" t="n">
        <v>43762</v>
      </c>
      <c r="C98" s="1" t="n">
        <v>45842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59141-2019</t>
        </is>
      </c>
      <c r="B99" s="1" t="n">
        <v>43770</v>
      </c>
      <c r="C99" s="1" t="n">
        <v>45842</v>
      </c>
      <c r="D99" t="inlineStr">
        <is>
          <t>VÄRMLANDS LÄN</t>
        </is>
      </c>
      <c r="E99" t="inlineStr">
        <is>
          <t>HAGFORS</t>
        </is>
      </c>
      <c r="F99" t="inlineStr">
        <is>
          <t>Kyrkan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59813-2019</t>
        </is>
      </c>
      <c r="B100" s="1" t="n">
        <v>43775</v>
      </c>
      <c r="C100" s="1" t="n">
        <v>45842</v>
      </c>
      <c r="D100" t="inlineStr">
        <is>
          <t>VÄRMLANDS LÄN</t>
        </is>
      </c>
      <c r="E100" t="inlineStr">
        <is>
          <t>HAGFORS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60663-2019</t>
        </is>
      </c>
      <c r="B101" s="1" t="n">
        <v>43781</v>
      </c>
      <c r="C101" s="1" t="n">
        <v>45842</v>
      </c>
      <c r="D101" t="inlineStr">
        <is>
          <t>VÄRMLANDS LÄN</t>
        </is>
      </c>
      <c r="E101" t="inlineStr">
        <is>
          <t>HAGFORS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63649-2019</t>
        </is>
      </c>
      <c r="B102" s="1" t="n">
        <v>43795</v>
      </c>
      <c r="C102" s="1" t="n">
        <v>45842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63761-2019</t>
        </is>
      </c>
      <c r="B103" s="1" t="n">
        <v>43795</v>
      </c>
      <c r="C103" s="1" t="n">
        <v>45842</v>
      </c>
      <c r="D103" t="inlineStr">
        <is>
          <t>VÄRMLANDS LÄN</t>
        </is>
      </c>
      <c r="E103" t="inlineStr">
        <is>
          <t>HAGFORS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63698-2019</t>
        </is>
      </c>
      <c r="B104" s="1" t="n">
        <v>43795</v>
      </c>
      <c r="C104" s="1" t="n">
        <v>45842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63654-2019</t>
        </is>
      </c>
      <c r="B105" s="1" t="n">
        <v>43795</v>
      </c>
      <c r="C105" s="1" t="n">
        <v>45842</v>
      </c>
      <c r="D105" t="inlineStr">
        <is>
          <t>VÄRMLANDS LÄN</t>
        </is>
      </c>
      <c r="E105" t="inlineStr">
        <is>
          <t>HAGFORS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65005-2019</t>
        </is>
      </c>
      <c r="B106" s="1" t="n">
        <v>43801</v>
      </c>
      <c r="C106" s="1" t="n">
        <v>45842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65072-2019</t>
        </is>
      </c>
      <c r="B107" s="1" t="n">
        <v>43802</v>
      </c>
      <c r="C107" s="1" t="n">
        <v>45842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66785-2019</t>
        </is>
      </c>
      <c r="B108" s="1" t="n">
        <v>43804</v>
      </c>
      <c r="C108" s="1" t="n">
        <v>45842</v>
      </c>
      <c r="D108" t="inlineStr">
        <is>
          <t>VÄRMLANDS LÄN</t>
        </is>
      </c>
      <c r="E108" t="inlineStr">
        <is>
          <t>HAGFORS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66794-2019</t>
        </is>
      </c>
      <c r="B109" s="1" t="n">
        <v>43804</v>
      </c>
      <c r="C109" s="1" t="n">
        <v>45842</v>
      </c>
      <c r="D109" t="inlineStr">
        <is>
          <t>VÄRMLANDS LÄN</t>
        </is>
      </c>
      <c r="E109" t="inlineStr">
        <is>
          <t>HAGFORS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66115-2019</t>
        </is>
      </c>
      <c r="B110" s="1" t="n">
        <v>43808</v>
      </c>
      <c r="C110" s="1" t="n">
        <v>45842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67873-2019</t>
        </is>
      </c>
      <c r="B111" s="1" t="n">
        <v>43816</v>
      </c>
      <c r="C111" s="1" t="n">
        <v>45842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1611-2020</t>
        </is>
      </c>
      <c r="B112" s="1" t="n">
        <v>43829</v>
      </c>
      <c r="C112" s="1" t="n">
        <v>45842</v>
      </c>
      <c r="D112" t="inlineStr">
        <is>
          <t>VÄRMLANDS LÄN</t>
        </is>
      </c>
      <c r="E112" t="inlineStr">
        <is>
          <t>HAGFORS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510-2020</t>
        </is>
      </c>
      <c r="B113" s="1" t="n">
        <v>43837</v>
      </c>
      <c r="C113" s="1" t="n">
        <v>45842</v>
      </c>
      <c r="D113" t="inlineStr">
        <is>
          <t>VÄRMLANDS LÄN</t>
        </is>
      </c>
      <c r="E113" t="inlineStr">
        <is>
          <t>HAGFORS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508-2020</t>
        </is>
      </c>
      <c r="B114" s="1" t="n">
        <v>43837</v>
      </c>
      <c r="C114" s="1" t="n">
        <v>45842</v>
      </c>
      <c r="D114" t="inlineStr">
        <is>
          <t>VÄRMLANDS LÄN</t>
        </is>
      </c>
      <c r="E114" t="inlineStr">
        <is>
          <t>HAGFORS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1964-2020</t>
        </is>
      </c>
      <c r="B115" s="1" t="n">
        <v>43845</v>
      </c>
      <c r="C115" s="1" t="n">
        <v>45842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51.8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2720-2020</t>
        </is>
      </c>
      <c r="B116" s="1" t="n">
        <v>43850</v>
      </c>
      <c r="C116" s="1" t="n">
        <v>45842</v>
      </c>
      <c r="D116" t="inlineStr">
        <is>
          <t>VÄRMLANDS LÄN</t>
        </is>
      </c>
      <c r="E116" t="inlineStr">
        <is>
          <t>HAGFORS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3091-2020</t>
        </is>
      </c>
      <c r="B117" s="1" t="n">
        <v>43851</v>
      </c>
      <c r="C117" s="1" t="n">
        <v>45842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5030-2020</t>
        </is>
      </c>
      <c r="B118" s="1" t="n">
        <v>43853</v>
      </c>
      <c r="C118" s="1" t="n">
        <v>45842</v>
      </c>
      <c r="D118" t="inlineStr">
        <is>
          <t>VÄRMLANDS LÄN</t>
        </is>
      </c>
      <c r="E118" t="inlineStr">
        <is>
          <t>HAGFORS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3748-2020</t>
        </is>
      </c>
      <c r="B119" s="1" t="n">
        <v>43854</v>
      </c>
      <c r="C119" s="1" t="n">
        <v>45842</v>
      </c>
      <c r="D119" t="inlineStr">
        <is>
          <t>VÄRMLANDS LÄN</t>
        </is>
      </c>
      <c r="E119" t="inlineStr">
        <is>
          <t>HAGFORS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4105-2020</t>
        </is>
      </c>
      <c r="B120" s="1" t="n">
        <v>43857</v>
      </c>
      <c r="C120" s="1" t="n">
        <v>45842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6069-2020</t>
        </is>
      </c>
      <c r="B121" s="1" t="n">
        <v>43865</v>
      </c>
      <c r="C121" s="1" t="n">
        <v>45842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7142-2020</t>
        </is>
      </c>
      <c r="B122" s="1" t="n">
        <v>43869</v>
      </c>
      <c r="C122" s="1" t="n">
        <v>45842</v>
      </c>
      <c r="D122" t="inlineStr">
        <is>
          <t>VÄRMLANDS LÄN</t>
        </is>
      </c>
      <c r="E122" t="inlineStr">
        <is>
          <t>HAGFORS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7141-2020</t>
        </is>
      </c>
      <c r="B123" s="1" t="n">
        <v>43869</v>
      </c>
      <c r="C123" s="1" t="n">
        <v>45842</v>
      </c>
      <c r="D123" t="inlineStr">
        <is>
          <t>VÄRMLANDS LÄN</t>
        </is>
      </c>
      <c r="E123" t="inlineStr">
        <is>
          <t>HAGFORS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7359-2020</t>
        </is>
      </c>
      <c r="B124" s="1" t="n">
        <v>43871</v>
      </c>
      <c r="C124" s="1" t="n">
        <v>45842</v>
      </c>
      <c r="D124" t="inlineStr">
        <is>
          <t>VÄRMLANDS LÄN</t>
        </is>
      </c>
      <c r="E124" t="inlineStr">
        <is>
          <t>HAGFORS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7975-2020</t>
        </is>
      </c>
      <c r="B125" s="1" t="n">
        <v>43873</v>
      </c>
      <c r="C125" s="1" t="n">
        <v>45842</v>
      </c>
      <c r="D125" t="inlineStr">
        <is>
          <t>VÄRMLANDS LÄN</t>
        </is>
      </c>
      <c r="E125" t="inlineStr">
        <is>
          <t>HAGFORS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8452-2020</t>
        </is>
      </c>
      <c r="B126" s="1" t="n">
        <v>43875</v>
      </c>
      <c r="C126" s="1" t="n">
        <v>45842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8912-2020</t>
        </is>
      </c>
      <c r="B127" s="1" t="n">
        <v>43878</v>
      </c>
      <c r="C127" s="1" t="n">
        <v>45842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9942-2020</t>
        </is>
      </c>
      <c r="B128" s="1" t="n">
        <v>43882</v>
      </c>
      <c r="C128" s="1" t="n">
        <v>45842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10404-2020</t>
        </is>
      </c>
      <c r="B129" s="1" t="n">
        <v>43886</v>
      </c>
      <c r="C129" s="1" t="n">
        <v>45842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11974-2020</t>
        </is>
      </c>
      <c r="B130" s="1" t="n">
        <v>43887</v>
      </c>
      <c r="C130" s="1" t="n">
        <v>45842</v>
      </c>
      <c r="D130" t="inlineStr">
        <is>
          <t>VÄRMLANDS LÄN</t>
        </is>
      </c>
      <c r="E130" t="inlineStr">
        <is>
          <t>HAGFORS</t>
        </is>
      </c>
      <c r="F130" t="inlineStr">
        <is>
          <t>Kyrkan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10333-2020</t>
        </is>
      </c>
      <c r="B131" s="1" t="n">
        <v>43887</v>
      </c>
      <c r="C131" s="1" t="n">
        <v>45842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10835-2020</t>
        </is>
      </c>
      <c r="B132" s="1" t="n">
        <v>43888</v>
      </c>
      <c r="C132" s="1" t="n">
        <v>45842</v>
      </c>
      <c r="D132" t="inlineStr">
        <is>
          <t>VÄRMLANDS LÄN</t>
        </is>
      </c>
      <c r="E132" t="inlineStr">
        <is>
          <t>HAGFORS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10998-2020</t>
        </is>
      </c>
      <c r="B133" s="1" t="n">
        <v>43889</v>
      </c>
      <c r="C133" s="1" t="n">
        <v>45842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13369-2020</t>
        </is>
      </c>
      <c r="B134" s="1" t="n">
        <v>43902</v>
      </c>
      <c r="C134" s="1" t="n">
        <v>45842</v>
      </c>
      <c r="D134" t="inlineStr">
        <is>
          <t>VÄRMLANDS LÄN</t>
        </is>
      </c>
      <c r="E134" t="inlineStr">
        <is>
          <t>HAGFORS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15064-2020</t>
        </is>
      </c>
      <c r="B135" s="1" t="n">
        <v>43910</v>
      </c>
      <c r="C135" s="1" t="n">
        <v>45842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15046-2020</t>
        </is>
      </c>
      <c r="B136" s="1" t="n">
        <v>43910</v>
      </c>
      <c r="C136" s="1" t="n">
        <v>45842</v>
      </c>
      <c r="D136" t="inlineStr">
        <is>
          <t>VÄRMLANDS LÄN</t>
        </is>
      </c>
      <c r="E136" t="inlineStr">
        <is>
          <t>HAGFORS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15283-2020</t>
        </is>
      </c>
      <c r="B137" s="1" t="n">
        <v>43913</v>
      </c>
      <c r="C137" s="1" t="n">
        <v>45842</v>
      </c>
      <c r="D137" t="inlineStr">
        <is>
          <t>VÄRMLANDS LÄN</t>
        </is>
      </c>
      <c r="E137" t="inlineStr">
        <is>
          <t>HAGFORS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15385-2020</t>
        </is>
      </c>
      <c r="B138" s="1" t="n">
        <v>43913</v>
      </c>
      <c r="C138" s="1" t="n">
        <v>45842</v>
      </c>
      <c r="D138" t="inlineStr">
        <is>
          <t>VÄRMLANDS LÄN</t>
        </is>
      </c>
      <c r="E138" t="inlineStr">
        <is>
          <t>HAGFORS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16072-2020</t>
        </is>
      </c>
      <c r="B139" s="1" t="n">
        <v>43916</v>
      </c>
      <c r="C139" s="1" t="n">
        <v>45842</v>
      </c>
      <c r="D139" t="inlineStr">
        <is>
          <t>VÄRMLANDS LÄN</t>
        </is>
      </c>
      <c r="E139" t="inlineStr">
        <is>
          <t>HAGFORS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16239-2020</t>
        </is>
      </c>
      <c r="B140" s="1" t="n">
        <v>43917</v>
      </c>
      <c r="C140" s="1" t="n">
        <v>45842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16241-2020</t>
        </is>
      </c>
      <c r="B141" s="1" t="n">
        <v>43917</v>
      </c>
      <c r="C141" s="1" t="n">
        <v>45842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16798-2020</t>
        </is>
      </c>
      <c r="B142" s="1" t="n">
        <v>43921</v>
      </c>
      <c r="C142" s="1" t="n">
        <v>45842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17553-2020</t>
        </is>
      </c>
      <c r="B143" s="1" t="n">
        <v>43921</v>
      </c>
      <c r="C143" s="1" t="n">
        <v>45842</v>
      </c>
      <c r="D143" t="inlineStr">
        <is>
          <t>VÄRMLANDS LÄN</t>
        </is>
      </c>
      <c r="E143" t="inlineStr">
        <is>
          <t>HAGFORS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18070-2020</t>
        </is>
      </c>
      <c r="B144" s="1" t="n">
        <v>43927</v>
      </c>
      <c r="C144" s="1" t="n">
        <v>45842</v>
      </c>
      <c r="D144" t="inlineStr">
        <is>
          <t>VÄRMLANDS LÄN</t>
        </is>
      </c>
      <c r="E144" t="inlineStr">
        <is>
          <t>HAGFORS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18600-2020</t>
        </is>
      </c>
      <c r="B145" s="1" t="n">
        <v>43929</v>
      </c>
      <c r="C145" s="1" t="n">
        <v>45842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19462-2020</t>
        </is>
      </c>
      <c r="B146" s="1" t="n">
        <v>43938</v>
      </c>
      <c r="C146" s="1" t="n">
        <v>45842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20107-2020</t>
        </is>
      </c>
      <c r="B147" s="1" t="n">
        <v>43944</v>
      </c>
      <c r="C147" s="1" t="n">
        <v>45842</v>
      </c>
      <c r="D147" t="inlineStr">
        <is>
          <t>VÄRMLANDS LÄN</t>
        </is>
      </c>
      <c r="E147" t="inlineStr">
        <is>
          <t>HAGFORS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20123-2020</t>
        </is>
      </c>
      <c r="B148" s="1" t="n">
        <v>43944</v>
      </c>
      <c r="C148" s="1" t="n">
        <v>45842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20299-2020</t>
        </is>
      </c>
      <c r="B149" s="1" t="n">
        <v>43944</v>
      </c>
      <c r="C149" s="1" t="n">
        <v>45842</v>
      </c>
      <c r="D149" t="inlineStr">
        <is>
          <t>VÄRMLANDS LÄN</t>
        </is>
      </c>
      <c r="E149" t="inlineStr">
        <is>
          <t>HAGFORS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20756-2020</t>
        </is>
      </c>
      <c r="B150" s="1" t="n">
        <v>43949</v>
      </c>
      <c r="C150" s="1" t="n">
        <v>45842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22725-2020</t>
        </is>
      </c>
      <c r="B151" s="1" t="n">
        <v>43962</v>
      </c>
      <c r="C151" s="1" t="n">
        <v>45842</v>
      </c>
      <c r="D151" t="inlineStr">
        <is>
          <t>VÄRMLANDS LÄN</t>
        </is>
      </c>
      <c r="E151" t="inlineStr">
        <is>
          <t>HAGFORS</t>
        </is>
      </c>
      <c r="F151" t="inlineStr">
        <is>
          <t>Kyrkan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22724-2020</t>
        </is>
      </c>
      <c r="B152" s="1" t="n">
        <v>43962</v>
      </c>
      <c r="C152" s="1" t="n">
        <v>45842</v>
      </c>
      <c r="D152" t="inlineStr">
        <is>
          <t>VÄRMLANDS LÄN</t>
        </is>
      </c>
      <c r="E152" t="inlineStr">
        <is>
          <t>HAGFORS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23078-2020</t>
        </is>
      </c>
      <c r="B153" s="1" t="n">
        <v>43965</v>
      </c>
      <c r="C153" s="1" t="n">
        <v>45842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23206-2020</t>
        </is>
      </c>
      <c r="B154" s="1" t="n">
        <v>43966</v>
      </c>
      <c r="C154" s="1" t="n">
        <v>45842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23159-2020</t>
        </is>
      </c>
      <c r="B155" s="1" t="n">
        <v>43966</v>
      </c>
      <c r="C155" s="1" t="n">
        <v>45842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23257-2020</t>
        </is>
      </c>
      <c r="B156" s="1" t="n">
        <v>43966</v>
      </c>
      <c r="C156" s="1" t="n">
        <v>45842</v>
      </c>
      <c r="D156" t="inlineStr">
        <is>
          <t>VÄRMLANDS LÄN</t>
        </is>
      </c>
      <c r="E156" t="inlineStr">
        <is>
          <t>HAGFORS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24340-2020</t>
        </is>
      </c>
      <c r="B157" s="1" t="n">
        <v>43976</v>
      </c>
      <c r="C157" s="1" t="n">
        <v>45842</v>
      </c>
      <c r="D157" t="inlineStr">
        <is>
          <t>VÄRMLANDS LÄN</t>
        </is>
      </c>
      <c r="E157" t="inlineStr">
        <is>
          <t>HAGFORS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24798-2020</t>
        </is>
      </c>
      <c r="B158" s="1" t="n">
        <v>43978</v>
      </c>
      <c r="C158" s="1" t="n">
        <v>45842</v>
      </c>
      <c r="D158" t="inlineStr">
        <is>
          <t>VÄRMLANDS LÄN</t>
        </is>
      </c>
      <c r="E158" t="inlineStr">
        <is>
          <t>HAGFORS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27797-2020</t>
        </is>
      </c>
      <c r="B159" s="1" t="n">
        <v>43994</v>
      </c>
      <c r="C159" s="1" t="n">
        <v>45842</v>
      </c>
      <c r="D159" t="inlineStr">
        <is>
          <t>VÄRMLANDS LÄN</t>
        </is>
      </c>
      <c r="E159" t="inlineStr">
        <is>
          <t>HAGFORS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28132-2020</t>
        </is>
      </c>
      <c r="B160" s="1" t="n">
        <v>43997</v>
      </c>
      <c r="C160" s="1" t="n">
        <v>45842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28517-2020</t>
        </is>
      </c>
      <c r="B161" s="1" t="n">
        <v>43999</v>
      </c>
      <c r="C161" s="1" t="n">
        <v>45842</v>
      </c>
      <c r="D161" t="inlineStr">
        <is>
          <t>VÄRMLANDS LÄN</t>
        </is>
      </c>
      <c r="E161" t="inlineStr">
        <is>
          <t>HAGFORS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28827-2020</t>
        </is>
      </c>
      <c r="B162" s="1" t="n">
        <v>44000</v>
      </c>
      <c r="C162" s="1" t="n">
        <v>45842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28851-2020</t>
        </is>
      </c>
      <c r="B163" s="1" t="n">
        <v>44000</v>
      </c>
      <c r="C163" s="1" t="n">
        <v>45842</v>
      </c>
      <c r="D163" t="inlineStr">
        <is>
          <t>VÄRMLANDS LÄN</t>
        </is>
      </c>
      <c r="E163" t="inlineStr">
        <is>
          <t>HAGFORS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30982-2020</t>
        </is>
      </c>
      <c r="B164" s="1" t="n">
        <v>44011</v>
      </c>
      <c r="C164" s="1" t="n">
        <v>45842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31073-2020</t>
        </is>
      </c>
      <c r="B165" s="1" t="n">
        <v>44012</v>
      </c>
      <c r="C165" s="1" t="n">
        <v>45842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31192-2020</t>
        </is>
      </c>
      <c r="B166" s="1" t="n">
        <v>44012</v>
      </c>
      <c r="C166" s="1" t="n">
        <v>45842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32470-2020</t>
        </is>
      </c>
      <c r="B167" s="1" t="n">
        <v>44018</v>
      </c>
      <c r="C167" s="1" t="n">
        <v>45842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33695-2020</t>
        </is>
      </c>
      <c r="B168" s="1" t="n">
        <v>44022</v>
      </c>
      <c r="C168" s="1" t="n">
        <v>45842</v>
      </c>
      <c r="D168" t="inlineStr">
        <is>
          <t>VÄRMLANDS LÄN</t>
        </is>
      </c>
      <c r="E168" t="inlineStr">
        <is>
          <t>HAGFORS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35895-2020</t>
        </is>
      </c>
      <c r="B169" s="1" t="n">
        <v>44047</v>
      </c>
      <c r="C169" s="1" t="n">
        <v>45842</v>
      </c>
      <c r="D169" t="inlineStr">
        <is>
          <t>VÄRMLANDS LÄN</t>
        </is>
      </c>
      <c r="E169" t="inlineStr">
        <is>
          <t>HAGFORS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35935-2020</t>
        </is>
      </c>
      <c r="B170" s="1" t="n">
        <v>44047</v>
      </c>
      <c r="C170" s="1" t="n">
        <v>45842</v>
      </c>
      <c r="D170" t="inlineStr">
        <is>
          <t>VÄRMLANDS LÄN</t>
        </is>
      </c>
      <c r="E170" t="inlineStr">
        <is>
          <t>HAGFORS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35925-2020</t>
        </is>
      </c>
      <c r="B171" s="1" t="n">
        <v>44047</v>
      </c>
      <c r="C171" s="1" t="n">
        <v>45842</v>
      </c>
      <c r="D171" t="inlineStr">
        <is>
          <t>VÄRMLANDS LÄN</t>
        </is>
      </c>
      <c r="E171" t="inlineStr">
        <is>
          <t>HAGFORS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35921-2020</t>
        </is>
      </c>
      <c r="B172" s="1" t="n">
        <v>44047</v>
      </c>
      <c r="C172" s="1" t="n">
        <v>45842</v>
      </c>
      <c r="D172" t="inlineStr">
        <is>
          <t>VÄRMLANDS LÄN</t>
        </is>
      </c>
      <c r="E172" t="inlineStr">
        <is>
          <t>HAGFORS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40824-2020</t>
        </is>
      </c>
      <c r="B173" s="1" t="n">
        <v>44067</v>
      </c>
      <c r="C173" s="1" t="n">
        <v>45842</v>
      </c>
      <c r="D173" t="inlineStr">
        <is>
          <t>VÄRMLANDS LÄN</t>
        </is>
      </c>
      <c r="E173" t="inlineStr">
        <is>
          <t>HAGFORS</t>
        </is>
      </c>
      <c r="F173" t="inlineStr">
        <is>
          <t>Kyrkan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40240-2020</t>
        </is>
      </c>
      <c r="B174" s="1" t="n">
        <v>44068</v>
      </c>
      <c r="C174" s="1" t="n">
        <v>45842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40819-2020</t>
        </is>
      </c>
      <c r="B175" s="1" t="n">
        <v>44070</v>
      </c>
      <c r="C175" s="1" t="n">
        <v>45842</v>
      </c>
      <c r="D175" t="inlineStr">
        <is>
          <t>VÄRMLANDS LÄN</t>
        </is>
      </c>
      <c r="E175" t="inlineStr">
        <is>
          <t>HAGFORS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41657-2020</t>
        </is>
      </c>
      <c r="B176" s="1" t="n">
        <v>44074</v>
      </c>
      <c r="C176" s="1" t="n">
        <v>45842</v>
      </c>
      <c r="D176" t="inlineStr">
        <is>
          <t>VÄRMLANDS LÄN</t>
        </is>
      </c>
      <c r="E176" t="inlineStr">
        <is>
          <t>HAGFORS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42964-2020</t>
        </is>
      </c>
      <c r="B177" s="1" t="n">
        <v>44078</v>
      </c>
      <c r="C177" s="1" t="n">
        <v>45842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43879-2020</t>
        </is>
      </c>
      <c r="B178" s="1" t="n">
        <v>44083</v>
      </c>
      <c r="C178" s="1" t="n">
        <v>45842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44610-2020</t>
        </is>
      </c>
      <c r="B179" s="1" t="n">
        <v>44085</v>
      </c>
      <c r="C179" s="1" t="n">
        <v>45842</v>
      </c>
      <c r="D179" t="inlineStr">
        <is>
          <t>VÄRMLANDS LÄN</t>
        </is>
      </c>
      <c r="E179" t="inlineStr">
        <is>
          <t>HAGFORS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44629-2020</t>
        </is>
      </c>
      <c r="B180" s="1" t="n">
        <v>44085</v>
      </c>
      <c r="C180" s="1" t="n">
        <v>45842</v>
      </c>
      <c r="D180" t="inlineStr">
        <is>
          <t>VÄRMLANDS LÄN</t>
        </is>
      </c>
      <c r="E180" t="inlineStr">
        <is>
          <t>HAGFORS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46929-2020</t>
        </is>
      </c>
      <c r="B181" s="1" t="n">
        <v>44096</v>
      </c>
      <c r="C181" s="1" t="n">
        <v>45842</v>
      </c>
      <c r="D181" t="inlineStr">
        <is>
          <t>VÄRMLANDS LÄN</t>
        </is>
      </c>
      <c r="E181" t="inlineStr">
        <is>
          <t>HAGFORS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47673-2020</t>
        </is>
      </c>
      <c r="B182" s="1" t="n">
        <v>44098</v>
      </c>
      <c r="C182" s="1" t="n">
        <v>45842</v>
      </c>
      <c r="D182" t="inlineStr">
        <is>
          <t>VÄRMLANDS LÄN</t>
        </is>
      </c>
      <c r="E182" t="inlineStr">
        <is>
          <t>HAGFORS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47670-2020</t>
        </is>
      </c>
      <c r="B183" s="1" t="n">
        <v>44098</v>
      </c>
      <c r="C183" s="1" t="n">
        <v>45842</v>
      </c>
      <c r="D183" t="inlineStr">
        <is>
          <t>VÄRMLANDS LÄN</t>
        </is>
      </c>
      <c r="E183" t="inlineStr">
        <is>
          <t>HAGFORS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48105-2020</t>
        </is>
      </c>
      <c r="B184" s="1" t="n">
        <v>44101</v>
      </c>
      <c r="C184" s="1" t="n">
        <v>45842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48695-2020</t>
        </is>
      </c>
      <c r="B185" s="1" t="n">
        <v>44103</v>
      </c>
      <c r="C185" s="1" t="n">
        <v>45842</v>
      </c>
      <c r="D185" t="inlineStr">
        <is>
          <t>VÄRMLANDS LÄN</t>
        </is>
      </c>
      <c r="E185" t="inlineStr">
        <is>
          <t>HAGFORS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48702-2020</t>
        </is>
      </c>
      <c r="B186" s="1" t="n">
        <v>44103</v>
      </c>
      <c r="C186" s="1" t="n">
        <v>45842</v>
      </c>
      <c r="D186" t="inlineStr">
        <is>
          <t>VÄRMLANDS LÄN</t>
        </is>
      </c>
      <c r="E186" t="inlineStr">
        <is>
          <t>HAGFORS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48697-2020</t>
        </is>
      </c>
      <c r="B187" s="1" t="n">
        <v>44103</v>
      </c>
      <c r="C187" s="1" t="n">
        <v>45842</v>
      </c>
      <c r="D187" t="inlineStr">
        <is>
          <t>VÄRMLANDS LÄN</t>
        </is>
      </c>
      <c r="E187" t="inlineStr">
        <is>
          <t>HAGFORS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50078-2020</t>
        </is>
      </c>
      <c r="B188" s="1" t="n">
        <v>44109</v>
      </c>
      <c r="C188" s="1" t="n">
        <v>45842</v>
      </c>
      <c r="D188" t="inlineStr">
        <is>
          <t>VÄRMLANDS LÄN</t>
        </is>
      </c>
      <c r="E188" t="inlineStr">
        <is>
          <t>HAGFORS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50080-2020</t>
        </is>
      </c>
      <c r="B189" s="1" t="n">
        <v>44109</v>
      </c>
      <c r="C189" s="1" t="n">
        <v>45842</v>
      </c>
      <c r="D189" t="inlineStr">
        <is>
          <t>VÄRMLANDS LÄN</t>
        </is>
      </c>
      <c r="E189" t="inlineStr">
        <is>
          <t>HAGFORS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50539-2020</t>
        </is>
      </c>
      <c r="B190" s="1" t="n">
        <v>44110</v>
      </c>
      <c r="C190" s="1" t="n">
        <v>45842</v>
      </c>
      <c r="D190" t="inlineStr">
        <is>
          <t>VÄRMLANDS LÄN</t>
        </is>
      </c>
      <c r="E190" t="inlineStr">
        <is>
          <t>HAGFORS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50482-2020</t>
        </is>
      </c>
      <c r="B191" s="1" t="n">
        <v>44110</v>
      </c>
      <c r="C191" s="1" t="n">
        <v>45842</v>
      </c>
      <c r="D191" t="inlineStr">
        <is>
          <t>VÄRMLANDS LÄN</t>
        </is>
      </c>
      <c r="E191" t="inlineStr">
        <is>
          <t>HAGFORS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50543-2020</t>
        </is>
      </c>
      <c r="B192" s="1" t="n">
        <v>44110</v>
      </c>
      <c r="C192" s="1" t="n">
        <v>45842</v>
      </c>
      <c r="D192" t="inlineStr">
        <is>
          <t>VÄRMLANDS LÄN</t>
        </is>
      </c>
      <c r="E192" t="inlineStr">
        <is>
          <t>HAGFORS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50563-2020</t>
        </is>
      </c>
      <c r="B193" s="1" t="n">
        <v>44110</v>
      </c>
      <c r="C193" s="1" t="n">
        <v>45842</v>
      </c>
      <c r="D193" t="inlineStr">
        <is>
          <t>VÄRMLANDS LÄN</t>
        </is>
      </c>
      <c r="E193" t="inlineStr">
        <is>
          <t>HAGFORS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51428-2020</t>
        </is>
      </c>
      <c r="B194" s="1" t="n">
        <v>44113</v>
      </c>
      <c r="C194" s="1" t="n">
        <v>45842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53009-2020</t>
        </is>
      </c>
      <c r="B195" s="1" t="n">
        <v>44119</v>
      </c>
      <c r="C195" s="1" t="n">
        <v>45842</v>
      </c>
      <c r="D195" t="inlineStr">
        <is>
          <t>VÄRMLANDS LÄN</t>
        </is>
      </c>
      <c r="E195" t="inlineStr">
        <is>
          <t>HAGFORS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53014-2020</t>
        </is>
      </c>
      <c r="B196" s="1" t="n">
        <v>44119</v>
      </c>
      <c r="C196" s="1" t="n">
        <v>45842</v>
      </c>
      <c r="D196" t="inlineStr">
        <is>
          <t>VÄRMLANDS LÄN</t>
        </is>
      </c>
      <c r="E196" t="inlineStr">
        <is>
          <t>HAGFORS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54972-2020</t>
        </is>
      </c>
      <c r="B197" s="1" t="n">
        <v>44123</v>
      </c>
      <c r="C197" s="1" t="n">
        <v>45842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55129-2020</t>
        </is>
      </c>
      <c r="B198" s="1" t="n">
        <v>44130</v>
      </c>
      <c r="C198" s="1" t="n">
        <v>45842</v>
      </c>
      <c r="D198" t="inlineStr">
        <is>
          <t>VÄRMLANDS LÄN</t>
        </is>
      </c>
      <c r="E198" t="inlineStr">
        <is>
          <t>HAGFORS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55921-2020</t>
        </is>
      </c>
      <c r="B199" s="1" t="n">
        <v>44132</v>
      </c>
      <c r="C199" s="1" t="n">
        <v>45842</v>
      </c>
      <c r="D199" t="inlineStr">
        <is>
          <t>VÄRMLANDS LÄN</t>
        </is>
      </c>
      <c r="E199" t="inlineStr">
        <is>
          <t>HAGFORS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56567-2020</t>
        </is>
      </c>
      <c r="B200" s="1" t="n">
        <v>44137</v>
      </c>
      <c r="C200" s="1" t="n">
        <v>45842</v>
      </c>
      <c r="D200" t="inlineStr">
        <is>
          <t>VÄRMLANDS LÄN</t>
        </is>
      </c>
      <c r="E200" t="inlineStr">
        <is>
          <t>HAGFORS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58481-2020</t>
        </is>
      </c>
      <c r="B201" s="1" t="n">
        <v>44144</v>
      </c>
      <c r="C201" s="1" t="n">
        <v>45842</v>
      </c>
      <c r="D201" t="inlineStr">
        <is>
          <t>VÄRMLANDS LÄN</t>
        </is>
      </c>
      <c r="E201" t="inlineStr">
        <is>
          <t>HAGFORS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58548-2020</t>
        </is>
      </c>
      <c r="B202" s="1" t="n">
        <v>44145</v>
      </c>
      <c r="C202" s="1" t="n">
        <v>45842</v>
      </c>
      <c r="D202" t="inlineStr">
        <is>
          <t>VÄRMLANDS LÄN</t>
        </is>
      </c>
      <c r="E202" t="inlineStr">
        <is>
          <t>HAGFORS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60615-2020</t>
        </is>
      </c>
      <c r="B203" s="1" t="n">
        <v>44153</v>
      </c>
      <c r="C203" s="1" t="n">
        <v>45842</v>
      </c>
      <c r="D203" t="inlineStr">
        <is>
          <t>VÄRMLANDS LÄN</t>
        </is>
      </c>
      <c r="E203" t="inlineStr">
        <is>
          <t>HAGFORS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62835-2020</t>
        </is>
      </c>
      <c r="B204" s="1" t="n">
        <v>44161</v>
      </c>
      <c r="C204" s="1" t="n">
        <v>45842</v>
      </c>
      <c r="D204" t="inlineStr">
        <is>
          <t>VÄRMLANDS LÄN</t>
        </is>
      </c>
      <c r="E204" t="inlineStr">
        <is>
          <t>HAGFORS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63478-2020</t>
        </is>
      </c>
      <c r="B205" s="1" t="n">
        <v>44161</v>
      </c>
      <c r="C205" s="1" t="n">
        <v>45842</v>
      </c>
      <c r="D205" t="inlineStr">
        <is>
          <t>VÄRMLANDS LÄN</t>
        </is>
      </c>
      <c r="E205" t="inlineStr">
        <is>
          <t>HAGFORS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62891-2020</t>
        </is>
      </c>
      <c r="B206" s="1" t="n">
        <v>44161</v>
      </c>
      <c r="C206" s="1" t="n">
        <v>45842</v>
      </c>
      <c r="D206" t="inlineStr">
        <is>
          <t>VÄRMLANDS LÄN</t>
        </is>
      </c>
      <c r="E206" t="inlineStr">
        <is>
          <t>HAGFORS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63473-2020</t>
        </is>
      </c>
      <c r="B207" s="1" t="n">
        <v>44161</v>
      </c>
      <c r="C207" s="1" t="n">
        <v>45842</v>
      </c>
      <c r="D207" t="inlineStr">
        <is>
          <t>VÄRMLANDS LÄN</t>
        </is>
      </c>
      <c r="E207" t="inlineStr">
        <is>
          <t>HAGFORS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63957-2020</t>
        </is>
      </c>
      <c r="B208" s="1" t="n">
        <v>44167</v>
      </c>
      <c r="C208" s="1" t="n">
        <v>45842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63935-2020</t>
        </is>
      </c>
      <c r="B209" s="1" t="n">
        <v>44167</v>
      </c>
      <c r="C209" s="1" t="n">
        <v>45842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63976-2020</t>
        </is>
      </c>
      <c r="B210" s="1" t="n">
        <v>44167</v>
      </c>
      <c r="C210" s="1" t="n">
        <v>45842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66165-2020</t>
        </is>
      </c>
      <c r="B211" s="1" t="n">
        <v>44175</v>
      </c>
      <c r="C211" s="1" t="n">
        <v>45842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66091-2020</t>
        </is>
      </c>
      <c r="B212" s="1" t="n">
        <v>44175</v>
      </c>
      <c r="C212" s="1" t="n">
        <v>45842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66112-2020</t>
        </is>
      </c>
      <c r="B213" s="1" t="n">
        <v>44175</v>
      </c>
      <c r="C213" s="1" t="n">
        <v>45842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66141-2020</t>
        </is>
      </c>
      <c r="B214" s="1" t="n">
        <v>44175</v>
      </c>
      <c r="C214" s="1" t="n">
        <v>45842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68129-2020</t>
        </is>
      </c>
      <c r="B215" s="1" t="n">
        <v>44183</v>
      </c>
      <c r="C215" s="1" t="n">
        <v>45842</v>
      </c>
      <c r="D215" t="inlineStr">
        <is>
          <t>VÄRMLANDS LÄN</t>
        </is>
      </c>
      <c r="E215" t="inlineStr">
        <is>
          <t>HAGFORS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1048-2021</t>
        </is>
      </c>
      <c r="B216" s="1" t="n">
        <v>44207</v>
      </c>
      <c r="C216" s="1" t="n">
        <v>45842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2428-2021</t>
        </is>
      </c>
      <c r="B217" s="1" t="n">
        <v>44214</v>
      </c>
      <c r="C217" s="1" t="n">
        <v>45842</v>
      </c>
      <c r="D217" t="inlineStr">
        <is>
          <t>VÄRMLANDS LÄN</t>
        </is>
      </c>
      <c r="E217" t="inlineStr">
        <is>
          <t>HAGFORS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2436-2021</t>
        </is>
      </c>
      <c r="B218" s="1" t="n">
        <v>44214</v>
      </c>
      <c r="C218" s="1" t="n">
        <v>45842</v>
      </c>
      <c r="D218" t="inlineStr">
        <is>
          <t>VÄRMLANDS LÄN</t>
        </is>
      </c>
      <c r="E218" t="inlineStr">
        <is>
          <t>HAGFORS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2991-2021</t>
        </is>
      </c>
      <c r="B219" s="1" t="n">
        <v>44216</v>
      </c>
      <c r="C219" s="1" t="n">
        <v>45842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3280-2021</t>
        </is>
      </c>
      <c r="B220" s="1" t="n">
        <v>44217</v>
      </c>
      <c r="C220" s="1" t="n">
        <v>45842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3674-2021</t>
        </is>
      </c>
      <c r="B221" s="1" t="n">
        <v>44221</v>
      </c>
      <c r="C221" s="1" t="n">
        <v>45842</v>
      </c>
      <c r="D221" t="inlineStr">
        <is>
          <t>VÄRMLANDS LÄN</t>
        </is>
      </c>
      <c r="E221" t="inlineStr">
        <is>
          <t>HAGFORS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3678-2021</t>
        </is>
      </c>
      <c r="B222" s="1" t="n">
        <v>44221</v>
      </c>
      <c r="C222" s="1" t="n">
        <v>45842</v>
      </c>
      <c r="D222" t="inlineStr">
        <is>
          <t>VÄRMLANDS LÄN</t>
        </is>
      </c>
      <c r="E222" t="inlineStr">
        <is>
          <t>HAGFORS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4834-2021</t>
        </is>
      </c>
      <c r="B223" s="1" t="n">
        <v>44225</v>
      </c>
      <c r="C223" s="1" t="n">
        <v>45842</v>
      </c>
      <c r="D223" t="inlineStr">
        <is>
          <t>VÄRMLANDS LÄN</t>
        </is>
      </c>
      <c r="E223" t="inlineStr">
        <is>
          <t>HAGFORS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7606-2021</t>
        </is>
      </c>
      <c r="B224" s="1" t="n">
        <v>44241</v>
      </c>
      <c r="C224" s="1" t="n">
        <v>45842</v>
      </c>
      <c r="D224" t="inlineStr">
        <is>
          <t>VÄRMLANDS LÄN</t>
        </is>
      </c>
      <c r="E224" t="inlineStr">
        <is>
          <t>HAGFORS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7605-2021</t>
        </is>
      </c>
      <c r="B225" s="1" t="n">
        <v>44241</v>
      </c>
      <c r="C225" s="1" t="n">
        <v>45842</v>
      </c>
      <c r="D225" t="inlineStr">
        <is>
          <t>VÄRMLANDS LÄN</t>
        </is>
      </c>
      <c r="E225" t="inlineStr">
        <is>
          <t>HAGFORS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7604-2021</t>
        </is>
      </c>
      <c r="B226" s="1" t="n">
        <v>44241</v>
      </c>
      <c r="C226" s="1" t="n">
        <v>45842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8378-2021</t>
        </is>
      </c>
      <c r="B227" s="1" t="n">
        <v>44245</v>
      </c>
      <c r="C227" s="1" t="n">
        <v>45842</v>
      </c>
      <c r="D227" t="inlineStr">
        <is>
          <t>VÄRMLANDS LÄN</t>
        </is>
      </c>
      <c r="E227" t="inlineStr">
        <is>
          <t>HAGFORS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9821-2021</t>
        </is>
      </c>
      <c r="B228" s="1" t="n">
        <v>44252</v>
      </c>
      <c r="C228" s="1" t="n">
        <v>45842</v>
      </c>
      <c r="D228" t="inlineStr">
        <is>
          <t>VÄRMLANDS LÄN</t>
        </is>
      </c>
      <c r="E228" t="inlineStr">
        <is>
          <t>HAGFORS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10096-2021</t>
        </is>
      </c>
      <c r="B229" s="1" t="n">
        <v>44256</v>
      </c>
      <c r="C229" s="1" t="n">
        <v>45842</v>
      </c>
      <c r="D229" t="inlineStr">
        <is>
          <t>VÄRMLANDS LÄN</t>
        </is>
      </c>
      <c r="E229" t="inlineStr">
        <is>
          <t>HAGFORS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10310-2021</t>
        </is>
      </c>
      <c r="B230" s="1" t="n">
        <v>44257</v>
      </c>
      <c r="C230" s="1" t="n">
        <v>45842</v>
      </c>
      <c r="D230" t="inlineStr">
        <is>
          <t>VÄRMLANDS LÄN</t>
        </is>
      </c>
      <c r="E230" t="inlineStr">
        <is>
          <t>HAGFORS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12141-2021</t>
        </is>
      </c>
      <c r="B231" s="1" t="n">
        <v>44266</v>
      </c>
      <c r="C231" s="1" t="n">
        <v>45842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13575-2021</t>
        </is>
      </c>
      <c r="B232" s="1" t="n">
        <v>44273</v>
      </c>
      <c r="C232" s="1" t="n">
        <v>45842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15185-2021</t>
        </is>
      </c>
      <c r="B233" s="1" t="n">
        <v>44284</v>
      </c>
      <c r="C233" s="1" t="n">
        <v>45842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15186-2021</t>
        </is>
      </c>
      <c r="B234" s="1" t="n">
        <v>44284</v>
      </c>
      <c r="C234" s="1" t="n">
        <v>45842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17067-2021</t>
        </is>
      </c>
      <c r="B235" s="1" t="n">
        <v>44297</v>
      </c>
      <c r="C235" s="1" t="n">
        <v>45842</v>
      </c>
      <c r="D235" t="inlineStr">
        <is>
          <t>VÄRMLANDS LÄN</t>
        </is>
      </c>
      <c r="E235" t="inlineStr">
        <is>
          <t>HAGFORS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19193-2021</t>
        </is>
      </c>
      <c r="B236" s="1" t="n">
        <v>44308</v>
      </c>
      <c r="C236" s="1" t="n">
        <v>45842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19272-2021</t>
        </is>
      </c>
      <c r="B237" s="1" t="n">
        <v>44309</v>
      </c>
      <c r="C237" s="1" t="n">
        <v>45842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20778-2021</t>
        </is>
      </c>
      <c r="B238" s="1" t="n">
        <v>44316</v>
      </c>
      <c r="C238" s="1" t="n">
        <v>45842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21146-2021</t>
        </is>
      </c>
      <c r="B239" s="1" t="n">
        <v>44320</v>
      </c>
      <c r="C239" s="1" t="n">
        <v>45842</v>
      </c>
      <c r="D239" t="inlineStr">
        <is>
          <t>VÄRMLANDS LÄN</t>
        </is>
      </c>
      <c r="E239" t="inlineStr">
        <is>
          <t>HAGFORS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22007-2021</t>
        </is>
      </c>
      <c r="B240" s="1" t="n">
        <v>44323</v>
      </c>
      <c r="C240" s="1" t="n">
        <v>45842</v>
      </c>
      <c r="D240" t="inlineStr">
        <is>
          <t>VÄRMLANDS LÄN</t>
        </is>
      </c>
      <c r="E240" t="inlineStr">
        <is>
          <t>HAGFORS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22016-2021</t>
        </is>
      </c>
      <c r="B241" s="1" t="n">
        <v>44323</v>
      </c>
      <c r="C241" s="1" t="n">
        <v>45842</v>
      </c>
      <c r="D241" t="inlineStr">
        <is>
          <t>VÄRMLANDS LÄN</t>
        </is>
      </c>
      <c r="E241" t="inlineStr">
        <is>
          <t>HAGFORS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22022-2021</t>
        </is>
      </c>
      <c r="B242" s="1" t="n">
        <v>44323</v>
      </c>
      <c r="C242" s="1" t="n">
        <v>45842</v>
      </c>
      <c r="D242" t="inlineStr">
        <is>
          <t>VÄRMLANDS LÄN</t>
        </is>
      </c>
      <c r="E242" t="inlineStr">
        <is>
          <t>HAGFORS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22167-2021</t>
        </is>
      </c>
      <c r="B243" s="1" t="n">
        <v>44325</v>
      </c>
      <c r="C243" s="1" t="n">
        <v>45842</v>
      </c>
      <c r="D243" t="inlineStr">
        <is>
          <t>VÄRMLANDS LÄN</t>
        </is>
      </c>
      <c r="E243" t="inlineStr">
        <is>
          <t>HAGFORS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22257-2021</t>
        </is>
      </c>
      <c r="B244" s="1" t="n">
        <v>44326</v>
      </c>
      <c r="C244" s="1" t="n">
        <v>45842</v>
      </c>
      <c r="D244" t="inlineStr">
        <is>
          <t>VÄRMLANDS LÄN</t>
        </is>
      </c>
      <c r="E244" t="inlineStr">
        <is>
          <t>HAGFORS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22642-2021</t>
        </is>
      </c>
      <c r="B245" s="1" t="n">
        <v>44327</v>
      </c>
      <c r="C245" s="1" t="n">
        <v>45842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22957-2021</t>
        </is>
      </c>
      <c r="B246" s="1" t="n">
        <v>44328</v>
      </c>
      <c r="C246" s="1" t="n">
        <v>45842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24331-2021</t>
        </is>
      </c>
      <c r="B247" s="1" t="n">
        <v>44337</v>
      </c>
      <c r="C247" s="1" t="n">
        <v>45842</v>
      </c>
      <c r="D247" t="inlineStr">
        <is>
          <t>VÄRMLANDS LÄN</t>
        </is>
      </c>
      <c r="E247" t="inlineStr">
        <is>
          <t>HAGFORS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24492-2021</t>
        </is>
      </c>
      <c r="B248" s="1" t="n">
        <v>44337</v>
      </c>
      <c r="C248" s="1" t="n">
        <v>45842</v>
      </c>
      <c r="D248" t="inlineStr">
        <is>
          <t>VÄRMLANDS LÄN</t>
        </is>
      </c>
      <c r="E248" t="inlineStr">
        <is>
          <t>HAGFORS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25036-2021</t>
        </is>
      </c>
      <c r="B249" s="1" t="n">
        <v>44341</v>
      </c>
      <c r="C249" s="1" t="n">
        <v>45842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25770-2021</t>
        </is>
      </c>
      <c r="B250" s="1" t="n">
        <v>44343</v>
      </c>
      <c r="C250" s="1" t="n">
        <v>45842</v>
      </c>
      <c r="D250" t="inlineStr">
        <is>
          <t>VÄRMLANDS LÄN</t>
        </is>
      </c>
      <c r="E250" t="inlineStr">
        <is>
          <t>HAGFORS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27455-2021</t>
        </is>
      </c>
      <c r="B251" s="1" t="n">
        <v>44351</v>
      </c>
      <c r="C251" s="1" t="n">
        <v>45842</v>
      </c>
      <c r="D251" t="inlineStr">
        <is>
          <t>VÄRMLANDS LÄN</t>
        </is>
      </c>
      <c r="E251" t="inlineStr">
        <is>
          <t>HAGFORS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28703-2021</t>
        </is>
      </c>
      <c r="B252" s="1" t="n">
        <v>44357</v>
      </c>
      <c r="C252" s="1" t="n">
        <v>45842</v>
      </c>
      <c r="D252" t="inlineStr">
        <is>
          <t>VÄRMLANDS LÄN</t>
        </is>
      </c>
      <c r="E252" t="inlineStr">
        <is>
          <t>HAGFORS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28819-2021</t>
        </is>
      </c>
      <c r="B253" s="1" t="n">
        <v>44357</v>
      </c>
      <c r="C253" s="1" t="n">
        <v>45842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29726-2021</t>
        </is>
      </c>
      <c r="B254" s="1" t="n">
        <v>44362</v>
      </c>
      <c r="C254" s="1" t="n">
        <v>45842</v>
      </c>
      <c r="D254" t="inlineStr">
        <is>
          <t>VÄRMLANDS LÄN</t>
        </is>
      </c>
      <c r="E254" t="inlineStr">
        <is>
          <t>HAGFORS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30494-2021</t>
        </is>
      </c>
      <c r="B255" s="1" t="n">
        <v>44364</v>
      </c>
      <c r="C255" s="1" t="n">
        <v>45842</v>
      </c>
      <c r="D255" t="inlineStr">
        <is>
          <t>VÄRMLANDS LÄN</t>
        </is>
      </c>
      <c r="E255" t="inlineStr">
        <is>
          <t>HAGFORS</t>
        </is>
      </c>
      <c r="F255" t="inlineStr">
        <is>
          <t>Kyrkan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30390-2021</t>
        </is>
      </c>
      <c r="B256" s="1" t="n">
        <v>44364</v>
      </c>
      <c r="C256" s="1" t="n">
        <v>45842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31937-2021</t>
        </is>
      </c>
      <c r="B257" s="1" t="n">
        <v>44370</v>
      </c>
      <c r="C257" s="1" t="n">
        <v>45842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33107-2021</t>
        </is>
      </c>
      <c r="B258" s="1" t="n">
        <v>44376</v>
      </c>
      <c r="C258" s="1" t="n">
        <v>45842</v>
      </c>
      <c r="D258" t="inlineStr">
        <is>
          <t>VÄRMLANDS LÄN</t>
        </is>
      </c>
      <c r="E258" t="inlineStr">
        <is>
          <t>HAGFORS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34063-2021</t>
        </is>
      </c>
      <c r="B259" s="1" t="n">
        <v>44379</v>
      </c>
      <c r="C259" s="1" t="n">
        <v>45842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36886-2021</t>
        </is>
      </c>
      <c r="B260" s="1" t="n">
        <v>44393</v>
      </c>
      <c r="C260" s="1" t="n">
        <v>45842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37699-2021</t>
        </is>
      </c>
      <c r="B261" s="1" t="n">
        <v>44400</v>
      </c>
      <c r="C261" s="1" t="n">
        <v>45842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37715-2021</t>
        </is>
      </c>
      <c r="B262" s="1" t="n">
        <v>44400</v>
      </c>
      <c r="C262" s="1" t="n">
        <v>45842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38246-2021</t>
        </is>
      </c>
      <c r="B263" s="1" t="n">
        <v>44405</v>
      </c>
      <c r="C263" s="1" t="n">
        <v>45842</v>
      </c>
      <c r="D263" t="inlineStr">
        <is>
          <t>VÄRMLANDS LÄN</t>
        </is>
      </c>
      <c r="E263" t="inlineStr">
        <is>
          <t>HAGFORS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38985-2021</t>
        </is>
      </c>
      <c r="B264" s="1" t="n">
        <v>44412</v>
      </c>
      <c r="C264" s="1" t="n">
        <v>45842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39409-2021</t>
        </is>
      </c>
      <c r="B265" s="1" t="n">
        <v>44414</v>
      </c>
      <c r="C265" s="1" t="n">
        <v>45842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39789-2021</t>
        </is>
      </c>
      <c r="B266" s="1" t="n">
        <v>44417</v>
      </c>
      <c r="C266" s="1" t="n">
        <v>45842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39698-2021</t>
        </is>
      </c>
      <c r="B267" s="1" t="n">
        <v>44417</v>
      </c>
      <c r="C267" s="1" t="n">
        <v>45842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39745-2021</t>
        </is>
      </c>
      <c r="B268" s="1" t="n">
        <v>44417</v>
      </c>
      <c r="C268" s="1" t="n">
        <v>45842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40651-2021</t>
        </is>
      </c>
      <c r="B269" s="1" t="n">
        <v>44420</v>
      </c>
      <c r="C269" s="1" t="n">
        <v>45842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40601-2021</t>
        </is>
      </c>
      <c r="B270" s="1" t="n">
        <v>44420</v>
      </c>
      <c r="C270" s="1" t="n">
        <v>45842</v>
      </c>
      <c r="D270" t="inlineStr">
        <is>
          <t>VÄRMLANDS LÄN</t>
        </is>
      </c>
      <c r="E270" t="inlineStr">
        <is>
          <t>HAGFORS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40675-2021</t>
        </is>
      </c>
      <c r="B271" s="1" t="n">
        <v>44420</v>
      </c>
      <c r="C271" s="1" t="n">
        <v>45842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40843-2021</t>
        </is>
      </c>
      <c r="B272" s="1" t="n">
        <v>44421</v>
      </c>
      <c r="C272" s="1" t="n">
        <v>45842</v>
      </c>
      <c r="D272" t="inlineStr">
        <is>
          <t>VÄRMLANDS LÄN</t>
        </is>
      </c>
      <c r="E272" t="inlineStr">
        <is>
          <t>HAGFORS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40820-2021</t>
        </is>
      </c>
      <c r="B273" s="1" t="n">
        <v>44421</v>
      </c>
      <c r="C273" s="1" t="n">
        <v>45842</v>
      </c>
      <c r="D273" t="inlineStr">
        <is>
          <t>VÄRMLANDS LÄN</t>
        </is>
      </c>
      <c r="E273" t="inlineStr">
        <is>
          <t>HAGFORS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41342-2021</t>
        </is>
      </c>
      <c r="B274" s="1" t="n">
        <v>44424</v>
      </c>
      <c r="C274" s="1" t="n">
        <v>45842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41368-2021</t>
        </is>
      </c>
      <c r="B275" s="1" t="n">
        <v>44424</v>
      </c>
      <c r="C275" s="1" t="n">
        <v>45842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41776-2021</t>
        </is>
      </c>
      <c r="B276" s="1" t="n">
        <v>44425</v>
      </c>
      <c r="C276" s="1" t="n">
        <v>45842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41999-2021</t>
        </is>
      </c>
      <c r="B277" s="1" t="n">
        <v>44426</v>
      </c>
      <c r="C277" s="1" t="n">
        <v>45842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42.4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42593-2021</t>
        </is>
      </c>
      <c r="B278" s="1" t="n">
        <v>44428</v>
      </c>
      <c r="C278" s="1" t="n">
        <v>45842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43473-2021</t>
        </is>
      </c>
      <c r="B279" s="1" t="n">
        <v>44432</v>
      </c>
      <c r="C279" s="1" t="n">
        <v>45842</v>
      </c>
      <c r="D279" t="inlineStr">
        <is>
          <t>VÄRMLANDS LÄN</t>
        </is>
      </c>
      <c r="E279" t="inlineStr">
        <is>
          <t>HAGFORS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43736-2021</t>
        </is>
      </c>
      <c r="B280" s="1" t="n">
        <v>44433</v>
      </c>
      <c r="C280" s="1" t="n">
        <v>45842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44059-2021</t>
        </is>
      </c>
      <c r="B281" s="1" t="n">
        <v>44434</v>
      </c>
      <c r="C281" s="1" t="n">
        <v>45842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44125-2021</t>
        </is>
      </c>
      <c r="B282" s="1" t="n">
        <v>44434</v>
      </c>
      <c r="C282" s="1" t="n">
        <v>45842</v>
      </c>
      <c r="D282" t="inlineStr">
        <is>
          <t>VÄRMLANDS LÄN</t>
        </is>
      </c>
      <c r="E282" t="inlineStr">
        <is>
          <t>HAGFORS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44539-2021</t>
        </is>
      </c>
      <c r="B283" s="1" t="n">
        <v>44435</v>
      </c>
      <c r="C283" s="1" t="n">
        <v>45842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44898-2021</t>
        </is>
      </c>
      <c r="B284" s="1" t="n">
        <v>44438</v>
      </c>
      <c r="C284" s="1" t="n">
        <v>45842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45218-2021</t>
        </is>
      </c>
      <c r="B285" s="1" t="n">
        <v>44439</v>
      </c>
      <c r="C285" s="1" t="n">
        <v>45842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49.5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45293-2021</t>
        </is>
      </c>
      <c r="B286" s="1" t="n">
        <v>44439</v>
      </c>
      <c r="C286" s="1" t="n">
        <v>45842</v>
      </c>
      <c r="D286" t="inlineStr">
        <is>
          <t>VÄRMLANDS LÄN</t>
        </is>
      </c>
      <c r="E286" t="inlineStr">
        <is>
          <t>HAGFORS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46774-2021</t>
        </is>
      </c>
      <c r="B287" s="1" t="n">
        <v>44445</v>
      </c>
      <c r="C287" s="1" t="n">
        <v>45842</v>
      </c>
      <c r="D287" t="inlineStr">
        <is>
          <t>VÄRMLANDS LÄN</t>
        </is>
      </c>
      <c r="E287" t="inlineStr">
        <is>
          <t>HAGFORS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47968-2021</t>
        </is>
      </c>
      <c r="B288" s="1" t="n">
        <v>44449</v>
      </c>
      <c r="C288" s="1" t="n">
        <v>45842</v>
      </c>
      <c r="D288" t="inlineStr">
        <is>
          <t>VÄRMLANDS LÄN</t>
        </is>
      </c>
      <c r="E288" t="inlineStr">
        <is>
          <t>HAGFORS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48029-2021</t>
        </is>
      </c>
      <c r="B289" s="1" t="n">
        <v>44449</v>
      </c>
      <c r="C289" s="1" t="n">
        <v>45842</v>
      </c>
      <c r="D289" t="inlineStr">
        <is>
          <t>VÄRMLANDS LÄN</t>
        </is>
      </c>
      <c r="E289" t="inlineStr">
        <is>
          <t>HAGFORS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48635-2021</t>
        </is>
      </c>
      <c r="B290" s="1" t="n">
        <v>44452</v>
      </c>
      <c r="C290" s="1" t="n">
        <v>45842</v>
      </c>
      <c r="D290" t="inlineStr">
        <is>
          <t>VÄRMLANDS LÄN</t>
        </is>
      </c>
      <c r="E290" t="inlineStr">
        <is>
          <t>HAGFORS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48604-2021</t>
        </is>
      </c>
      <c r="B291" s="1" t="n">
        <v>44452</v>
      </c>
      <c r="C291" s="1" t="n">
        <v>45842</v>
      </c>
      <c r="D291" t="inlineStr">
        <is>
          <t>VÄRMLANDS LÄN</t>
        </is>
      </c>
      <c r="E291" t="inlineStr">
        <is>
          <t>HAGFORS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49546-2021</t>
        </is>
      </c>
      <c r="B292" s="1" t="n">
        <v>44455</v>
      </c>
      <c r="C292" s="1" t="n">
        <v>45842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50272-2021</t>
        </is>
      </c>
      <c r="B293" s="1" t="n">
        <v>44459</v>
      </c>
      <c r="C293" s="1" t="n">
        <v>45842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52072-2021</t>
        </is>
      </c>
      <c r="B294" s="1" t="n">
        <v>44463</v>
      </c>
      <c r="C294" s="1" t="n">
        <v>45842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52228-2021</t>
        </is>
      </c>
      <c r="B295" s="1" t="n">
        <v>44463</v>
      </c>
      <c r="C295" s="1" t="n">
        <v>45842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36.9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52371-2021</t>
        </is>
      </c>
      <c r="B296" s="1" t="n">
        <v>44465</v>
      </c>
      <c r="C296" s="1" t="n">
        <v>45842</v>
      </c>
      <c r="D296" t="inlineStr">
        <is>
          <t>VÄRMLANDS LÄN</t>
        </is>
      </c>
      <c r="E296" t="inlineStr">
        <is>
          <t>HAGFORS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52378-2021</t>
        </is>
      </c>
      <c r="B297" s="1" t="n">
        <v>44465</v>
      </c>
      <c r="C297" s="1" t="n">
        <v>45842</v>
      </c>
      <c r="D297" t="inlineStr">
        <is>
          <t>VÄRMLANDS LÄN</t>
        </is>
      </c>
      <c r="E297" t="inlineStr">
        <is>
          <t>HAGFORS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52373-2021</t>
        </is>
      </c>
      <c r="B298" s="1" t="n">
        <v>44465</v>
      </c>
      <c r="C298" s="1" t="n">
        <v>45842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52379-2021</t>
        </is>
      </c>
      <c r="B299" s="1" t="n">
        <v>44465</v>
      </c>
      <c r="C299" s="1" t="n">
        <v>45842</v>
      </c>
      <c r="D299" t="inlineStr">
        <is>
          <t>VÄRMLANDS LÄN</t>
        </is>
      </c>
      <c r="E299" t="inlineStr">
        <is>
          <t>HAGFORS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53757-2021</t>
        </is>
      </c>
      <c r="B300" s="1" t="n">
        <v>44469</v>
      </c>
      <c r="C300" s="1" t="n">
        <v>45842</v>
      </c>
      <c r="D300" t="inlineStr">
        <is>
          <t>VÄRMLANDS LÄN</t>
        </is>
      </c>
      <c r="E300" t="inlineStr">
        <is>
          <t>HAGFORS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53824-2021</t>
        </is>
      </c>
      <c r="B301" s="1" t="n">
        <v>44469</v>
      </c>
      <c r="C301" s="1" t="n">
        <v>45842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56254-2021</t>
        </is>
      </c>
      <c r="B302" s="1" t="n">
        <v>44479</v>
      </c>
      <c r="C302" s="1" t="n">
        <v>45842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58493-2021</t>
        </is>
      </c>
      <c r="B303" s="1" t="n">
        <v>44488</v>
      </c>
      <c r="C303" s="1" t="n">
        <v>45842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59508-2021</t>
        </is>
      </c>
      <c r="B304" s="1" t="n">
        <v>44491</v>
      </c>
      <c r="C304" s="1" t="n">
        <v>45842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19.7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59531-2021</t>
        </is>
      </c>
      <c r="B305" s="1" t="n">
        <v>44491</v>
      </c>
      <c r="C305" s="1" t="n">
        <v>45842</v>
      </c>
      <c r="D305" t="inlineStr">
        <is>
          <t>VÄRMLANDS LÄN</t>
        </is>
      </c>
      <c r="E305" t="inlineStr">
        <is>
          <t>HAGFORS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59535-2021</t>
        </is>
      </c>
      <c r="B306" s="1" t="n">
        <v>44491</v>
      </c>
      <c r="C306" s="1" t="n">
        <v>45842</v>
      </c>
      <c r="D306" t="inlineStr">
        <is>
          <t>VÄRMLANDS LÄN</t>
        </is>
      </c>
      <c r="E306" t="inlineStr">
        <is>
          <t>HAGFORS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61160-2021</t>
        </is>
      </c>
      <c r="B307" s="1" t="n">
        <v>44498</v>
      </c>
      <c r="C307" s="1" t="n">
        <v>45842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61359-2021</t>
        </is>
      </c>
      <c r="B308" s="1" t="n">
        <v>44499</v>
      </c>
      <c r="C308" s="1" t="n">
        <v>45842</v>
      </c>
      <c r="D308" t="inlineStr">
        <is>
          <t>VÄRMLANDS LÄN</t>
        </is>
      </c>
      <c r="E308" t="inlineStr">
        <is>
          <t>HAGFORS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61764-2021</t>
        </is>
      </c>
      <c r="B309" s="1" t="n">
        <v>44501</v>
      </c>
      <c r="C309" s="1" t="n">
        <v>45842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61902-2021</t>
        </is>
      </c>
      <c r="B310" s="1" t="n">
        <v>44502</v>
      </c>
      <c r="C310" s="1" t="n">
        <v>45842</v>
      </c>
      <c r="D310" t="inlineStr">
        <is>
          <t>VÄRMLANDS LÄN</t>
        </is>
      </c>
      <c r="E310" t="inlineStr">
        <is>
          <t>HAGFORS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64048-2021</t>
        </is>
      </c>
      <c r="B311" s="1" t="n">
        <v>44510</v>
      </c>
      <c r="C311" s="1" t="n">
        <v>45842</v>
      </c>
      <c r="D311" t="inlineStr">
        <is>
          <t>VÄRMLANDS LÄN</t>
        </is>
      </c>
      <c r="E311" t="inlineStr">
        <is>
          <t>HAGFORS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64051-2021</t>
        </is>
      </c>
      <c r="B312" s="1" t="n">
        <v>44510</v>
      </c>
      <c r="C312" s="1" t="n">
        <v>45842</v>
      </c>
      <c r="D312" t="inlineStr">
        <is>
          <t>VÄRMLANDS LÄN</t>
        </is>
      </c>
      <c r="E312" t="inlineStr">
        <is>
          <t>HAGFORS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65299-2021</t>
        </is>
      </c>
      <c r="B313" s="1" t="n">
        <v>44515</v>
      </c>
      <c r="C313" s="1" t="n">
        <v>45842</v>
      </c>
      <c r="D313" t="inlineStr">
        <is>
          <t>VÄRMLANDS LÄN</t>
        </is>
      </c>
      <c r="E313" t="inlineStr">
        <is>
          <t>HAGFORS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65295-2021</t>
        </is>
      </c>
      <c r="B314" s="1" t="n">
        <v>44515</v>
      </c>
      <c r="C314" s="1" t="n">
        <v>45842</v>
      </c>
      <c r="D314" t="inlineStr">
        <is>
          <t>VÄRMLANDS LÄN</t>
        </is>
      </c>
      <c r="E314" t="inlineStr">
        <is>
          <t>HAGFORS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65551-2021</t>
        </is>
      </c>
      <c r="B315" s="1" t="n">
        <v>44516</v>
      </c>
      <c r="C315" s="1" t="n">
        <v>45842</v>
      </c>
      <c r="D315" t="inlineStr">
        <is>
          <t>VÄRMLANDS LÄN</t>
        </is>
      </c>
      <c r="E315" t="inlineStr">
        <is>
          <t>HAGFORS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65565-2021</t>
        </is>
      </c>
      <c r="B316" s="1" t="n">
        <v>44516</v>
      </c>
      <c r="C316" s="1" t="n">
        <v>45842</v>
      </c>
      <c r="D316" t="inlineStr">
        <is>
          <t>VÄRMLANDS LÄN</t>
        </is>
      </c>
      <c r="E316" t="inlineStr">
        <is>
          <t>HAGFORS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65556-2021</t>
        </is>
      </c>
      <c r="B317" s="1" t="n">
        <v>44516</v>
      </c>
      <c r="C317" s="1" t="n">
        <v>45842</v>
      </c>
      <c r="D317" t="inlineStr">
        <is>
          <t>VÄRMLANDS LÄN</t>
        </is>
      </c>
      <c r="E317" t="inlineStr">
        <is>
          <t>HAGFORS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66019-2021</t>
        </is>
      </c>
      <c r="B318" s="1" t="n">
        <v>44517</v>
      </c>
      <c r="C318" s="1" t="n">
        <v>45842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68252-2021</t>
        </is>
      </c>
      <c r="B319" s="1" t="n">
        <v>44526</v>
      </c>
      <c r="C319" s="1" t="n">
        <v>45842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68148-2021</t>
        </is>
      </c>
      <c r="B320" s="1" t="n">
        <v>44526</v>
      </c>
      <c r="C320" s="1" t="n">
        <v>45842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68374-2021</t>
        </is>
      </c>
      <c r="B321" s="1" t="n">
        <v>44529</v>
      </c>
      <c r="C321" s="1" t="n">
        <v>45842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70713-2021</t>
        </is>
      </c>
      <c r="B322" s="1" t="n">
        <v>44537</v>
      </c>
      <c r="C322" s="1" t="n">
        <v>45842</v>
      </c>
      <c r="D322" t="inlineStr">
        <is>
          <t>VÄRMLANDS LÄN</t>
        </is>
      </c>
      <c r="E322" t="inlineStr">
        <is>
          <t>HAGFORS</t>
        </is>
      </c>
      <c r="F322" t="inlineStr">
        <is>
          <t>Kommuner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70712-2021</t>
        </is>
      </c>
      <c r="B323" s="1" t="n">
        <v>44537</v>
      </c>
      <c r="C323" s="1" t="n">
        <v>45842</v>
      </c>
      <c r="D323" t="inlineStr">
        <is>
          <t>VÄRMLANDS LÄN</t>
        </is>
      </c>
      <c r="E323" t="inlineStr">
        <is>
          <t>HAGFORS</t>
        </is>
      </c>
      <c r="F323" t="inlineStr">
        <is>
          <t>Kommuner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71081-2021</t>
        </is>
      </c>
      <c r="B324" s="1" t="n">
        <v>44538</v>
      </c>
      <c r="C324" s="1" t="n">
        <v>45842</v>
      </c>
      <c r="D324" t="inlineStr">
        <is>
          <t>VÄRMLANDS LÄN</t>
        </is>
      </c>
      <c r="E324" t="inlineStr">
        <is>
          <t>HAGFORS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71082-2021</t>
        </is>
      </c>
      <c r="B325" s="1" t="n">
        <v>44538</v>
      </c>
      <c r="C325" s="1" t="n">
        <v>45842</v>
      </c>
      <c r="D325" t="inlineStr">
        <is>
          <t>VÄRMLANDS LÄN</t>
        </is>
      </c>
      <c r="E325" t="inlineStr">
        <is>
          <t>HAGFORS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71393-2021</t>
        </is>
      </c>
      <c r="B326" s="1" t="n">
        <v>44540</v>
      </c>
      <c r="C326" s="1" t="n">
        <v>45842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71491-2021</t>
        </is>
      </c>
      <c r="B327" s="1" t="n">
        <v>44540</v>
      </c>
      <c r="C327" s="1" t="n">
        <v>45842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71447-2021</t>
        </is>
      </c>
      <c r="B328" s="1" t="n">
        <v>44540</v>
      </c>
      <c r="C328" s="1" t="n">
        <v>45842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72375-2021</t>
        </is>
      </c>
      <c r="B329" s="1" t="n">
        <v>44545</v>
      </c>
      <c r="C329" s="1" t="n">
        <v>45842</v>
      </c>
      <c r="D329" t="inlineStr">
        <is>
          <t>VÄRMLANDS LÄN</t>
        </is>
      </c>
      <c r="E329" t="inlineStr">
        <is>
          <t>HAGFORS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72412-2021</t>
        </is>
      </c>
      <c r="B330" s="1" t="n">
        <v>44545</v>
      </c>
      <c r="C330" s="1" t="n">
        <v>45842</v>
      </c>
      <c r="D330" t="inlineStr">
        <is>
          <t>VÄRMLANDS LÄN</t>
        </is>
      </c>
      <c r="E330" t="inlineStr">
        <is>
          <t>HAGFORS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72365-2021</t>
        </is>
      </c>
      <c r="B331" s="1" t="n">
        <v>44545</v>
      </c>
      <c r="C331" s="1" t="n">
        <v>45842</v>
      </c>
      <c r="D331" t="inlineStr">
        <is>
          <t>VÄRMLANDS LÄN</t>
        </is>
      </c>
      <c r="E331" t="inlineStr">
        <is>
          <t>HAGFORS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72454-2021</t>
        </is>
      </c>
      <c r="B332" s="1" t="n">
        <v>44545</v>
      </c>
      <c r="C332" s="1" t="n">
        <v>45842</v>
      </c>
      <c r="D332" t="inlineStr">
        <is>
          <t>VÄRMLANDS LÄN</t>
        </is>
      </c>
      <c r="E332" t="inlineStr">
        <is>
          <t>HAGFORS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72937-2021</t>
        </is>
      </c>
      <c r="B333" s="1" t="n">
        <v>44547</v>
      </c>
      <c r="C333" s="1" t="n">
        <v>45842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73207-2021</t>
        </is>
      </c>
      <c r="B334" s="1" t="n">
        <v>44550</v>
      </c>
      <c r="C334" s="1" t="n">
        <v>45842</v>
      </c>
      <c r="D334" t="inlineStr">
        <is>
          <t>VÄRMLANDS LÄN</t>
        </is>
      </c>
      <c r="E334" t="inlineStr">
        <is>
          <t>HAGFORS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102-2022</t>
        </is>
      </c>
      <c r="B335" s="1" t="n">
        <v>44564</v>
      </c>
      <c r="C335" s="1" t="n">
        <v>45842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293-2022</t>
        </is>
      </c>
      <c r="B336" s="1" t="n">
        <v>44565</v>
      </c>
      <c r="C336" s="1" t="n">
        <v>45842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658-2022</t>
        </is>
      </c>
      <c r="B337" s="1" t="n">
        <v>44566</v>
      </c>
      <c r="C337" s="1" t="n">
        <v>45842</v>
      </c>
      <c r="D337" t="inlineStr">
        <is>
          <t>VÄRMLANDS LÄN</t>
        </is>
      </c>
      <c r="E337" t="inlineStr">
        <is>
          <t>HAGFORS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633-2022</t>
        </is>
      </c>
      <c r="B338" s="1" t="n">
        <v>44566</v>
      </c>
      <c r="C338" s="1" t="n">
        <v>45842</v>
      </c>
      <c r="D338" t="inlineStr">
        <is>
          <t>VÄRMLANDS LÄN</t>
        </is>
      </c>
      <c r="E338" t="inlineStr">
        <is>
          <t>HAGFORS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653-2022</t>
        </is>
      </c>
      <c r="B339" s="1" t="n">
        <v>44566</v>
      </c>
      <c r="C339" s="1" t="n">
        <v>45842</v>
      </c>
      <c r="D339" t="inlineStr">
        <is>
          <t>VÄRMLANDS LÄN</t>
        </is>
      </c>
      <c r="E339" t="inlineStr">
        <is>
          <t>HAGFORS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594-2022</t>
        </is>
      </c>
      <c r="B340" s="1" t="n">
        <v>44567</v>
      </c>
      <c r="C340" s="1" t="n">
        <v>45842</v>
      </c>
      <c r="D340" t="inlineStr">
        <is>
          <t>VÄRMLANDS LÄN</t>
        </is>
      </c>
      <c r="E340" t="inlineStr">
        <is>
          <t>HAGFORS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920-2022</t>
        </is>
      </c>
      <c r="B341" s="1" t="n">
        <v>44571</v>
      </c>
      <c r="C341" s="1" t="n">
        <v>45842</v>
      </c>
      <c r="D341" t="inlineStr">
        <is>
          <t>VÄRMLANDS LÄN</t>
        </is>
      </c>
      <c r="E341" t="inlineStr">
        <is>
          <t>HAGFORS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2419-2022</t>
        </is>
      </c>
      <c r="B342" s="1" t="n">
        <v>44579</v>
      </c>
      <c r="C342" s="1" t="n">
        <v>45842</v>
      </c>
      <c r="D342" t="inlineStr">
        <is>
          <t>VÄRMLANDS LÄN</t>
        </is>
      </c>
      <c r="E342" t="inlineStr">
        <is>
          <t>HAGFORS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3149-2022</t>
        </is>
      </c>
      <c r="B343" s="1" t="n">
        <v>44582</v>
      </c>
      <c r="C343" s="1" t="n">
        <v>45842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3199-2022</t>
        </is>
      </c>
      <c r="B344" s="1" t="n">
        <v>44582</v>
      </c>
      <c r="C344" s="1" t="n">
        <v>45842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3272-2022</t>
        </is>
      </c>
      <c r="B345" s="1" t="n">
        <v>44584</v>
      </c>
      <c r="C345" s="1" t="n">
        <v>45842</v>
      </c>
      <c r="D345" t="inlineStr">
        <is>
          <t>VÄRMLANDS LÄN</t>
        </is>
      </c>
      <c r="E345" t="inlineStr">
        <is>
          <t>HAGFORS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3804-2022</t>
        </is>
      </c>
      <c r="B346" s="1" t="n">
        <v>44587</v>
      </c>
      <c r="C346" s="1" t="n">
        <v>45842</v>
      </c>
      <c r="D346" t="inlineStr">
        <is>
          <t>VÄRMLANDS LÄN</t>
        </is>
      </c>
      <c r="E346" t="inlineStr">
        <is>
          <t>HAGFORS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3803-2022</t>
        </is>
      </c>
      <c r="B347" s="1" t="n">
        <v>44587</v>
      </c>
      <c r="C347" s="1" t="n">
        <v>45842</v>
      </c>
      <c r="D347" t="inlineStr">
        <is>
          <t>VÄRMLANDS LÄN</t>
        </is>
      </c>
      <c r="E347" t="inlineStr">
        <is>
          <t>HAGFORS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5164-2022</t>
        </is>
      </c>
      <c r="B348" s="1" t="n">
        <v>44594</v>
      </c>
      <c r="C348" s="1" t="n">
        <v>45842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5202-2022</t>
        </is>
      </c>
      <c r="B349" s="1" t="n">
        <v>44594</v>
      </c>
      <c r="C349" s="1" t="n">
        <v>45842</v>
      </c>
      <c r="D349" t="inlineStr">
        <is>
          <t>VÄRMLANDS LÄN</t>
        </is>
      </c>
      <c r="E349" t="inlineStr">
        <is>
          <t>HAGFORS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5482-2022</t>
        </is>
      </c>
      <c r="B350" s="1" t="n">
        <v>44595</v>
      </c>
      <c r="C350" s="1" t="n">
        <v>45842</v>
      </c>
      <c r="D350" t="inlineStr">
        <is>
          <t>VÄRMLANDS LÄN</t>
        </is>
      </c>
      <c r="E350" t="inlineStr">
        <is>
          <t>HAGFORS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5749-2022</t>
        </is>
      </c>
      <c r="B351" s="1" t="n">
        <v>44596</v>
      </c>
      <c r="C351" s="1" t="n">
        <v>45842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6708-2022</t>
        </is>
      </c>
      <c r="B352" s="1" t="n">
        <v>44602</v>
      </c>
      <c r="C352" s="1" t="n">
        <v>45842</v>
      </c>
      <c r="D352" t="inlineStr">
        <is>
          <t>VÄRMLANDS LÄN</t>
        </is>
      </c>
      <c r="E352" t="inlineStr">
        <is>
          <t>HAGFORS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6980-2022</t>
        </is>
      </c>
      <c r="B353" s="1" t="n">
        <v>44603</v>
      </c>
      <c r="C353" s="1" t="n">
        <v>45842</v>
      </c>
      <c r="D353" t="inlineStr">
        <is>
          <t>VÄRMLANDS LÄN</t>
        </is>
      </c>
      <c r="E353" t="inlineStr">
        <is>
          <t>HAGFORS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6971-2022</t>
        </is>
      </c>
      <c r="B354" s="1" t="n">
        <v>44603</v>
      </c>
      <c r="C354" s="1" t="n">
        <v>45842</v>
      </c>
      <c r="D354" t="inlineStr">
        <is>
          <t>VÄRMLANDS LÄN</t>
        </is>
      </c>
      <c r="E354" t="inlineStr">
        <is>
          <t>HAGFORS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7421-2022</t>
        </is>
      </c>
      <c r="B355" s="1" t="n">
        <v>44606</v>
      </c>
      <c r="C355" s="1" t="n">
        <v>45842</v>
      </c>
      <c r="D355" t="inlineStr">
        <is>
          <t>VÄRMLANDS LÄN</t>
        </is>
      </c>
      <c r="E355" t="inlineStr">
        <is>
          <t>HAGFORS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7401-2022</t>
        </is>
      </c>
      <c r="B356" s="1" t="n">
        <v>44606</v>
      </c>
      <c r="C356" s="1" t="n">
        <v>45842</v>
      </c>
      <c r="D356" t="inlineStr">
        <is>
          <t>VÄRMLANDS LÄN</t>
        </is>
      </c>
      <c r="E356" t="inlineStr">
        <is>
          <t>HAGFORS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7363-2022</t>
        </is>
      </c>
      <c r="B357" s="1" t="n">
        <v>44606</v>
      </c>
      <c r="C357" s="1" t="n">
        <v>45842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7414-2022</t>
        </is>
      </c>
      <c r="B358" s="1" t="n">
        <v>44606</v>
      </c>
      <c r="C358" s="1" t="n">
        <v>45842</v>
      </c>
      <c r="D358" t="inlineStr">
        <is>
          <t>VÄRMLANDS LÄN</t>
        </is>
      </c>
      <c r="E358" t="inlineStr">
        <is>
          <t>HAGFORS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7304-2022</t>
        </is>
      </c>
      <c r="B359" s="1" t="n">
        <v>44606</v>
      </c>
      <c r="C359" s="1" t="n">
        <v>45842</v>
      </c>
      <c r="D359" t="inlineStr">
        <is>
          <t>VÄRMLANDS LÄN</t>
        </is>
      </c>
      <c r="E359" t="inlineStr">
        <is>
          <t>HAGFORS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7602-2022</t>
        </is>
      </c>
      <c r="B360" s="1" t="n">
        <v>44607</v>
      </c>
      <c r="C360" s="1" t="n">
        <v>45842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8304-2022</t>
        </is>
      </c>
      <c r="B361" s="1" t="n">
        <v>44610</v>
      </c>
      <c r="C361" s="1" t="n">
        <v>45842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8496-2022</t>
        </is>
      </c>
      <c r="B362" s="1" t="n">
        <v>44613</v>
      </c>
      <c r="C362" s="1" t="n">
        <v>45842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8577-2022</t>
        </is>
      </c>
      <c r="B363" s="1" t="n">
        <v>44613</v>
      </c>
      <c r="C363" s="1" t="n">
        <v>45842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10236-2022</t>
        </is>
      </c>
      <c r="B364" s="1" t="n">
        <v>44622</v>
      </c>
      <c r="C364" s="1" t="n">
        <v>45842</v>
      </c>
      <c r="D364" t="inlineStr">
        <is>
          <t>VÄRMLANDS LÄN</t>
        </is>
      </c>
      <c r="E364" t="inlineStr">
        <is>
          <t>HAGFORS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10305-2022</t>
        </is>
      </c>
      <c r="B365" s="1" t="n">
        <v>44622</v>
      </c>
      <c r="C365" s="1" t="n">
        <v>45842</v>
      </c>
      <c r="D365" t="inlineStr">
        <is>
          <t>VÄRMLANDS LÄN</t>
        </is>
      </c>
      <c r="E365" t="inlineStr">
        <is>
          <t>HAGFORS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10640-2022</t>
        </is>
      </c>
      <c r="B366" s="1" t="n">
        <v>44624</v>
      </c>
      <c r="C366" s="1" t="n">
        <v>45842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11025-2022</t>
        </is>
      </c>
      <c r="B367" s="1" t="n">
        <v>44628</v>
      </c>
      <c r="C367" s="1" t="n">
        <v>45842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11104-2022</t>
        </is>
      </c>
      <c r="B368" s="1" t="n">
        <v>44628</v>
      </c>
      <c r="C368" s="1" t="n">
        <v>45842</v>
      </c>
      <c r="D368" t="inlineStr">
        <is>
          <t>VÄRMLANDS LÄN</t>
        </is>
      </c>
      <c r="E368" t="inlineStr">
        <is>
          <t>HAGFORS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11153-2022</t>
        </is>
      </c>
      <c r="B369" s="1" t="n">
        <v>44629</v>
      </c>
      <c r="C369" s="1" t="n">
        <v>45842</v>
      </c>
      <c r="D369" t="inlineStr">
        <is>
          <t>VÄRMLANDS LÄN</t>
        </is>
      </c>
      <c r="E369" t="inlineStr">
        <is>
          <t>HAGFORS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11745-2022</t>
        </is>
      </c>
      <c r="B370" s="1" t="n">
        <v>44634</v>
      </c>
      <c r="C370" s="1" t="n">
        <v>45842</v>
      </c>
      <c r="D370" t="inlineStr">
        <is>
          <t>VÄRMLANDS LÄN</t>
        </is>
      </c>
      <c r="E370" t="inlineStr">
        <is>
          <t>HAGFORS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11980-2022</t>
        </is>
      </c>
      <c r="B371" s="1" t="n">
        <v>44635</v>
      </c>
      <c r="C371" s="1" t="n">
        <v>45842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12434-2022</t>
        </is>
      </c>
      <c r="B372" s="1" t="n">
        <v>44638</v>
      </c>
      <c r="C372" s="1" t="n">
        <v>45842</v>
      </c>
      <c r="D372" t="inlineStr">
        <is>
          <t>VÄRMLANDS LÄN</t>
        </is>
      </c>
      <c r="E372" t="inlineStr">
        <is>
          <t>HAGFORS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12431-2022</t>
        </is>
      </c>
      <c r="B373" s="1" t="n">
        <v>44638</v>
      </c>
      <c r="C373" s="1" t="n">
        <v>45842</v>
      </c>
      <c r="D373" t="inlineStr">
        <is>
          <t>VÄRMLANDS LÄN</t>
        </is>
      </c>
      <c r="E373" t="inlineStr">
        <is>
          <t>HAGFORS</t>
        </is>
      </c>
      <c r="G373" t="n">
        <v>11.3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13766-2022</t>
        </is>
      </c>
      <c r="B374" s="1" t="n">
        <v>44649</v>
      </c>
      <c r="C374" s="1" t="n">
        <v>45842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13840-2022</t>
        </is>
      </c>
      <c r="B375" s="1" t="n">
        <v>44649</v>
      </c>
      <c r="C375" s="1" t="n">
        <v>45842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13803-2022</t>
        </is>
      </c>
      <c r="B376" s="1" t="n">
        <v>44649</v>
      </c>
      <c r="C376" s="1" t="n">
        <v>45842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13797-2022</t>
        </is>
      </c>
      <c r="B377" s="1" t="n">
        <v>44649</v>
      </c>
      <c r="C377" s="1" t="n">
        <v>45842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13850-2022</t>
        </is>
      </c>
      <c r="B378" s="1" t="n">
        <v>44649</v>
      </c>
      <c r="C378" s="1" t="n">
        <v>45842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15738-2022</t>
        </is>
      </c>
      <c r="B379" s="1" t="n">
        <v>44663</v>
      </c>
      <c r="C379" s="1" t="n">
        <v>45842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15826-2022</t>
        </is>
      </c>
      <c r="B380" s="1" t="n">
        <v>44664</v>
      </c>
      <c r="C380" s="1" t="n">
        <v>45842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15869-2022</t>
        </is>
      </c>
      <c r="B381" s="1" t="n">
        <v>44664</v>
      </c>
      <c r="C381" s="1" t="n">
        <v>45842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15886-2022</t>
        </is>
      </c>
      <c r="B382" s="1" t="n">
        <v>44664</v>
      </c>
      <c r="C382" s="1" t="n">
        <v>45842</v>
      </c>
      <c r="D382" t="inlineStr">
        <is>
          <t>VÄRMLANDS LÄN</t>
        </is>
      </c>
      <c r="E382" t="inlineStr">
        <is>
          <t>HAGFORS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16007-2022</t>
        </is>
      </c>
      <c r="B383" s="1" t="n">
        <v>44665</v>
      </c>
      <c r="C383" s="1" t="n">
        <v>45842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17358-2022</t>
        </is>
      </c>
      <c r="B384" s="1" t="n">
        <v>44678</v>
      </c>
      <c r="C384" s="1" t="n">
        <v>45842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17402-2022</t>
        </is>
      </c>
      <c r="B385" s="1" t="n">
        <v>44678</v>
      </c>
      <c r="C385" s="1" t="n">
        <v>45842</v>
      </c>
      <c r="D385" t="inlineStr">
        <is>
          <t>VÄRMLANDS LÄN</t>
        </is>
      </c>
      <c r="E385" t="inlineStr">
        <is>
          <t>HAGFORS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17833-2022</t>
        </is>
      </c>
      <c r="B386" s="1" t="n">
        <v>44683</v>
      </c>
      <c r="C386" s="1" t="n">
        <v>45842</v>
      </c>
      <c r="D386" t="inlineStr">
        <is>
          <t>VÄRMLANDS LÄN</t>
        </is>
      </c>
      <c r="E386" t="inlineStr">
        <is>
          <t>HAGFORS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17923-2022</t>
        </is>
      </c>
      <c r="B387" s="1" t="n">
        <v>44683</v>
      </c>
      <c r="C387" s="1" t="n">
        <v>45842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17914-2022</t>
        </is>
      </c>
      <c r="B388" s="1" t="n">
        <v>44683</v>
      </c>
      <c r="C388" s="1" t="n">
        <v>45842</v>
      </c>
      <c r="D388" t="inlineStr">
        <is>
          <t>VÄRMLANDS LÄN</t>
        </is>
      </c>
      <c r="E388" t="inlineStr">
        <is>
          <t>HAGFORS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18334-2022</t>
        </is>
      </c>
      <c r="B389" s="1" t="n">
        <v>44685</v>
      </c>
      <c r="C389" s="1" t="n">
        <v>45842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18699-2022</t>
        </is>
      </c>
      <c r="B390" s="1" t="n">
        <v>44687</v>
      </c>
      <c r="C390" s="1" t="n">
        <v>45842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18617-2022</t>
        </is>
      </c>
      <c r="B391" s="1" t="n">
        <v>44687</v>
      </c>
      <c r="C391" s="1" t="n">
        <v>45842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18637-2022</t>
        </is>
      </c>
      <c r="B392" s="1" t="n">
        <v>44687</v>
      </c>
      <c r="C392" s="1" t="n">
        <v>45842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19702-2022</t>
        </is>
      </c>
      <c r="B393" s="1" t="n">
        <v>44694</v>
      </c>
      <c r="C393" s="1" t="n">
        <v>45842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19743-2022</t>
        </is>
      </c>
      <c r="B394" s="1" t="n">
        <v>44694</v>
      </c>
      <c r="C394" s="1" t="n">
        <v>45842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20023-2022</t>
        </is>
      </c>
      <c r="B395" s="1" t="n">
        <v>44697</v>
      </c>
      <c r="C395" s="1" t="n">
        <v>45842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31.9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20436-2022</t>
        </is>
      </c>
      <c r="B396" s="1" t="n">
        <v>44699</v>
      </c>
      <c r="C396" s="1" t="n">
        <v>45842</v>
      </c>
      <c r="D396" t="inlineStr">
        <is>
          <t>VÄRMLANDS LÄN</t>
        </is>
      </c>
      <c r="E396" t="inlineStr">
        <is>
          <t>HAGFORS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20652-2022</t>
        </is>
      </c>
      <c r="B397" s="1" t="n">
        <v>44700</v>
      </c>
      <c r="C397" s="1" t="n">
        <v>45842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21442-2022</t>
        </is>
      </c>
      <c r="B398" s="1" t="n">
        <v>44706</v>
      </c>
      <c r="C398" s="1" t="n">
        <v>45842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21599-2022</t>
        </is>
      </c>
      <c r="B399" s="1" t="n">
        <v>44706</v>
      </c>
      <c r="C399" s="1" t="n">
        <v>45842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21949-2022</t>
        </is>
      </c>
      <c r="B400" s="1" t="n">
        <v>44711</v>
      </c>
      <c r="C400" s="1" t="n">
        <v>45842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22181-2022</t>
        </is>
      </c>
      <c r="B401" s="1" t="n">
        <v>44712</v>
      </c>
      <c r="C401" s="1" t="n">
        <v>45842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23116-2022</t>
        </is>
      </c>
      <c r="B402" s="1" t="n">
        <v>44719</v>
      </c>
      <c r="C402" s="1" t="n">
        <v>45842</v>
      </c>
      <c r="D402" t="inlineStr">
        <is>
          <t>VÄRMLANDS LÄN</t>
        </is>
      </c>
      <c r="E402" t="inlineStr">
        <is>
          <t>HAGFORS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23792-2022</t>
        </is>
      </c>
      <c r="B403" s="1" t="n">
        <v>44722</v>
      </c>
      <c r="C403" s="1" t="n">
        <v>45842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24145-2022</t>
        </is>
      </c>
      <c r="B404" s="1" t="n">
        <v>44725</v>
      </c>
      <c r="C404" s="1" t="n">
        <v>45842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24220-2022</t>
        </is>
      </c>
      <c r="B405" s="1" t="n">
        <v>44725</v>
      </c>
      <c r="C405" s="1" t="n">
        <v>45842</v>
      </c>
      <c r="D405" t="inlineStr">
        <is>
          <t>VÄRMLANDS LÄN</t>
        </is>
      </c>
      <c r="E405" t="inlineStr">
        <is>
          <t>HAGFORS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26646-2022</t>
        </is>
      </c>
      <c r="B406" s="1" t="n">
        <v>44739</v>
      </c>
      <c r="C406" s="1" t="n">
        <v>45842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27045-2022</t>
        </is>
      </c>
      <c r="B407" s="1" t="n">
        <v>44741</v>
      </c>
      <c r="C407" s="1" t="n">
        <v>45842</v>
      </c>
      <c r="D407" t="inlineStr">
        <is>
          <t>VÄRMLANDS LÄN</t>
        </is>
      </c>
      <c r="E407" t="inlineStr">
        <is>
          <t>HAGFORS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27450-2022</t>
        </is>
      </c>
      <c r="B408" s="1" t="n">
        <v>44742</v>
      </c>
      <c r="C408" s="1" t="n">
        <v>45842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27890-2022</t>
        </is>
      </c>
      <c r="B409" s="1" t="n">
        <v>44743</v>
      </c>
      <c r="C409" s="1" t="n">
        <v>45842</v>
      </c>
      <c r="D409" t="inlineStr">
        <is>
          <t>VÄRMLANDS LÄN</t>
        </is>
      </c>
      <c r="E409" t="inlineStr">
        <is>
          <t>HAGFORS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28982-2022</t>
        </is>
      </c>
      <c r="B410" s="1" t="n">
        <v>44749</v>
      </c>
      <c r="C410" s="1" t="n">
        <v>45842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28822-2022</t>
        </is>
      </c>
      <c r="B411" s="1" t="n">
        <v>44749</v>
      </c>
      <c r="C411" s="1" t="n">
        <v>45842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29379-2022</t>
        </is>
      </c>
      <c r="B412" s="1" t="n">
        <v>44753</v>
      </c>
      <c r="C412" s="1" t="n">
        <v>45842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29602-2022</t>
        </is>
      </c>
      <c r="B413" s="1" t="n">
        <v>44754</v>
      </c>
      <c r="C413" s="1" t="n">
        <v>45842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29761-2022</t>
        </is>
      </c>
      <c r="B414" s="1" t="n">
        <v>44755</v>
      </c>
      <c r="C414" s="1" t="n">
        <v>45842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29988-2022</t>
        </is>
      </c>
      <c r="B415" s="1" t="n">
        <v>44756</v>
      </c>
      <c r="C415" s="1" t="n">
        <v>45842</v>
      </c>
      <c r="D415" t="inlineStr">
        <is>
          <t>VÄRMLANDS LÄN</t>
        </is>
      </c>
      <c r="E415" t="inlineStr">
        <is>
          <t>HAGFORS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30122-2022</t>
        </is>
      </c>
      <c r="B416" s="1" t="n">
        <v>44757</v>
      </c>
      <c r="C416" s="1" t="n">
        <v>45842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30148-2022</t>
        </is>
      </c>
      <c r="B417" s="1" t="n">
        <v>44757</v>
      </c>
      <c r="C417" s="1" t="n">
        <v>45842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30327-2022</t>
        </is>
      </c>
      <c r="B418" s="1" t="n">
        <v>44760</v>
      </c>
      <c r="C418" s="1" t="n">
        <v>45842</v>
      </c>
      <c r="D418" t="inlineStr">
        <is>
          <t>VÄRMLANDS LÄN</t>
        </is>
      </c>
      <c r="E418" t="inlineStr">
        <is>
          <t>HAGFORS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30524-2022</t>
        </is>
      </c>
      <c r="B419" s="1" t="n">
        <v>44762</v>
      </c>
      <c r="C419" s="1" t="n">
        <v>45842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30552-2022</t>
        </is>
      </c>
      <c r="B420" s="1" t="n">
        <v>44762</v>
      </c>
      <c r="C420" s="1" t="n">
        <v>45842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30559-2022</t>
        </is>
      </c>
      <c r="B421" s="1" t="n">
        <v>44762</v>
      </c>
      <c r="C421" s="1" t="n">
        <v>45842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30652-2022</t>
        </is>
      </c>
      <c r="B422" s="1" t="n">
        <v>44763</v>
      </c>
      <c r="C422" s="1" t="n">
        <v>45842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30672-2022</t>
        </is>
      </c>
      <c r="B423" s="1" t="n">
        <v>44763</v>
      </c>
      <c r="C423" s="1" t="n">
        <v>45842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30707-2022</t>
        </is>
      </c>
      <c r="B424" s="1" t="n">
        <v>44763</v>
      </c>
      <c r="C424" s="1" t="n">
        <v>45842</v>
      </c>
      <c r="D424" t="inlineStr">
        <is>
          <t>VÄRMLANDS LÄN</t>
        </is>
      </c>
      <c r="E424" t="inlineStr">
        <is>
          <t>HAGFORS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30710-2022</t>
        </is>
      </c>
      <c r="B425" s="1" t="n">
        <v>44763</v>
      </c>
      <c r="C425" s="1" t="n">
        <v>45842</v>
      </c>
      <c r="D425" t="inlineStr">
        <is>
          <t>VÄRMLANDS LÄN</t>
        </is>
      </c>
      <c r="E425" t="inlineStr">
        <is>
          <t>HAGFORS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31178-2022</t>
        </is>
      </c>
      <c r="B426" s="1" t="n">
        <v>44770</v>
      </c>
      <c r="C426" s="1" t="n">
        <v>45842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31162-2022</t>
        </is>
      </c>
      <c r="B427" s="1" t="n">
        <v>44770</v>
      </c>
      <c r="C427" s="1" t="n">
        <v>45842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31166-2022</t>
        </is>
      </c>
      <c r="B428" s="1" t="n">
        <v>44770</v>
      </c>
      <c r="C428" s="1" t="n">
        <v>45842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31660-2022</t>
        </is>
      </c>
      <c r="B429" s="1" t="n">
        <v>44776</v>
      </c>
      <c r="C429" s="1" t="n">
        <v>45842</v>
      </c>
      <c r="D429" t="inlineStr">
        <is>
          <t>VÄRMLANDS LÄN</t>
        </is>
      </c>
      <c r="E429" t="inlineStr">
        <is>
          <t>HAGFORS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31661-2022</t>
        </is>
      </c>
      <c r="B430" s="1" t="n">
        <v>44776</v>
      </c>
      <c r="C430" s="1" t="n">
        <v>45842</v>
      </c>
      <c r="D430" t="inlineStr">
        <is>
          <t>VÄRMLANDS LÄN</t>
        </is>
      </c>
      <c r="E430" t="inlineStr">
        <is>
          <t>HAGFORS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32192-2022</t>
        </is>
      </c>
      <c r="B431" s="1" t="n">
        <v>44781</v>
      </c>
      <c r="C431" s="1" t="n">
        <v>45842</v>
      </c>
      <c r="D431" t="inlineStr">
        <is>
          <t>VÄRMLANDS LÄN</t>
        </is>
      </c>
      <c r="E431" t="inlineStr">
        <is>
          <t>HAGFORS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33973-2022</t>
        </is>
      </c>
      <c r="B432" s="1" t="n">
        <v>44790</v>
      </c>
      <c r="C432" s="1" t="n">
        <v>45842</v>
      </c>
      <c r="D432" t="inlineStr">
        <is>
          <t>VÄRMLANDS LÄN</t>
        </is>
      </c>
      <c r="E432" t="inlineStr">
        <is>
          <t>HAGFORS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33969-2022</t>
        </is>
      </c>
      <c r="B433" s="1" t="n">
        <v>44790</v>
      </c>
      <c r="C433" s="1" t="n">
        <v>45842</v>
      </c>
      <c r="D433" t="inlineStr">
        <is>
          <t>VÄRMLANDS LÄN</t>
        </is>
      </c>
      <c r="E433" t="inlineStr">
        <is>
          <t>HAGFORS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34075-2022</t>
        </is>
      </c>
      <c r="B434" s="1" t="n">
        <v>44791</v>
      </c>
      <c r="C434" s="1" t="n">
        <v>45842</v>
      </c>
      <c r="D434" t="inlineStr">
        <is>
          <t>VÄRMLANDS LÄN</t>
        </is>
      </c>
      <c r="E434" t="inlineStr">
        <is>
          <t>HAGFORS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34220-2022</t>
        </is>
      </c>
      <c r="B435" s="1" t="n">
        <v>44791</v>
      </c>
      <c r="C435" s="1" t="n">
        <v>45842</v>
      </c>
      <c r="D435" t="inlineStr">
        <is>
          <t>VÄRMLANDS LÄN</t>
        </is>
      </c>
      <c r="E435" t="inlineStr">
        <is>
          <t>HAGFORS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34219-2022</t>
        </is>
      </c>
      <c r="B436" s="1" t="n">
        <v>44791</v>
      </c>
      <c r="C436" s="1" t="n">
        <v>45842</v>
      </c>
      <c r="D436" t="inlineStr">
        <is>
          <t>VÄRMLANDS LÄN</t>
        </is>
      </c>
      <c r="E436" t="inlineStr">
        <is>
          <t>HAGFORS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35622-2022</t>
        </is>
      </c>
      <c r="B437" s="1" t="n">
        <v>44799</v>
      </c>
      <c r="C437" s="1" t="n">
        <v>45842</v>
      </c>
      <c r="D437" t="inlineStr">
        <is>
          <t>VÄRMLANDS LÄN</t>
        </is>
      </c>
      <c r="E437" t="inlineStr">
        <is>
          <t>HAGFORS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35664-2022</t>
        </is>
      </c>
      <c r="B438" s="1" t="n">
        <v>44799</v>
      </c>
      <c r="C438" s="1" t="n">
        <v>45842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35908-2022</t>
        </is>
      </c>
      <c r="B439" s="1" t="n">
        <v>44802</v>
      </c>
      <c r="C439" s="1" t="n">
        <v>45842</v>
      </c>
      <c r="D439" t="inlineStr">
        <is>
          <t>VÄRMLANDS LÄN</t>
        </is>
      </c>
      <c r="E439" t="inlineStr">
        <is>
          <t>HAGFORS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36328-2022</t>
        </is>
      </c>
      <c r="B440" s="1" t="n">
        <v>44803</v>
      </c>
      <c r="C440" s="1" t="n">
        <v>45842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36977-2022</t>
        </is>
      </c>
      <c r="B441" s="1" t="n">
        <v>44805</v>
      </c>
      <c r="C441" s="1" t="n">
        <v>45842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36971-2022</t>
        </is>
      </c>
      <c r="B442" s="1" t="n">
        <v>44805</v>
      </c>
      <c r="C442" s="1" t="n">
        <v>45842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36978-2022</t>
        </is>
      </c>
      <c r="B443" s="1" t="n">
        <v>44805</v>
      </c>
      <c r="C443" s="1" t="n">
        <v>45842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37024-2022</t>
        </is>
      </c>
      <c r="B444" s="1" t="n">
        <v>44806</v>
      </c>
      <c r="C444" s="1" t="n">
        <v>45842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37463-2022</t>
        </is>
      </c>
      <c r="B445" s="1" t="n">
        <v>44809</v>
      </c>
      <c r="C445" s="1" t="n">
        <v>45842</v>
      </c>
      <c r="D445" t="inlineStr">
        <is>
          <t>VÄRMLANDS LÄN</t>
        </is>
      </c>
      <c r="E445" t="inlineStr">
        <is>
          <t>HAGFORS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37745-2022</t>
        </is>
      </c>
      <c r="B446" s="1" t="n">
        <v>44810</v>
      </c>
      <c r="C446" s="1" t="n">
        <v>45842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37773-2022</t>
        </is>
      </c>
      <c r="B447" s="1" t="n">
        <v>44810</v>
      </c>
      <c r="C447" s="1" t="n">
        <v>45842</v>
      </c>
      <c r="D447" t="inlineStr">
        <is>
          <t>VÄRMLANDS LÄN</t>
        </is>
      </c>
      <c r="E447" t="inlineStr">
        <is>
          <t>HAGFORS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38132-2022</t>
        </is>
      </c>
      <c r="B448" s="1" t="n">
        <v>44812</v>
      </c>
      <c r="C448" s="1" t="n">
        <v>45842</v>
      </c>
      <c r="D448" t="inlineStr">
        <is>
          <t>VÄRMLANDS LÄN</t>
        </is>
      </c>
      <c r="E448" t="inlineStr">
        <is>
          <t>HAGFORS</t>
        </is>
      </c>
      <c r="F448" t="inlineStr">
        <is>
          <t>Kyrkan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39029-2022</t>
        </is>
      </c>
      <c r="B449" s="1" t="n">
        <v>44817</v>
      </c>
      <c r="C449" s="1" t="n">
        <v>45842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39059-2022</t>
        </is>
      </c>
      <c r="B450" s="1" t="n">
        <v>44817</v>
      </c>
      <c r="C450" s="1" t="n">
        <v>45842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39047-2022</t>
        </is>
      </c>
      <c r="B451" s="1" t="n">
        <v>44817</v>
      </c>
      <c r="C451" s="1" t="n">
        <v>45842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39211-2022</t>
        </is>
      </c>
      <c r="B452" s="1" t="n">
        <v>44817</v>
      </c>
      <c r="C452" s="1" t="n">
        <v>45842</v>
      </c>
      <c r="D452" t="inlineStr">
        <is>
          <t>VÄRMLANDS LÄN</t>
        </is>
      </c>
      <c r="E452" t="inlineStr">
        <is>
          <t>HAGFORS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39300-2022</t>
        </is>
      </c>
      <c r="B453" s="1" t="n">
        <v>44817</v>
      </c>
      <c r="C453" s="1" t="n">
        <v>45842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39303-2022</t>
        </is>
      </c>
      <c r="B454" s="1" t="n">
        <v>44817</v>
      </c>
      <c r="C454" s="1" t="n">
        <v>45842</v>
      </c>
      <c r="D454" t="inlineStr">
        <is>
          <t>VÄRMLANDS LÄN</t>
        </is>
      </c>
      <c r="E454" t="inlineStr">
        <is>
          <t>HAGFORS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39287-2022</t>
        </is>
      </c>
      <c r="B455" s="1" t="n">
        <v>44817</v>
      </c>
      <c r="C455" s="1" t="n">
        <v>45842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39640-2022</t>
        </is>
      </c>
      <c r="B456" s="1" t="n">
        <v>44817</v>
      </c>
      <c r="C456" s="1" t="n">
        <v>45842</v>
      </c>
      <c r="D456" t="inlineStr">
        <is>
          <t>VÄRMLANDS LÄN</t>
        </is>
      </c>
      <c r="E456" t="inlineStr">
        <is>
          <t>HAGFORS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40689-2022</t>
        </is>
      </c>
      <c r="B457" s="1" t="n">
        <v>44824</v>
      </c>
      <c r="C457" s="1" t="n">
        <v>45842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40692-2022</t>
        </is>
      </c>
      <c r="B458" s="1" t="n">
        <v>44824</v>
      </c>
      <c r="C458" s="1" t="n">
        <v>45842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41062-2022</t>
        </is>
      </c>
      <c r="B459" s="1" t="n">
        <v>44825</v>
      </c>
      <c r="C459" s="1" t="n">
        <v>45842</v>
      </c>
      <c r="D459" t="inlineStr">
        <is>
          <t>VÄRMLANDS LÄN</t>
        </is>
      </c>
      <c r="E459" t="inlineStr">
        <is>
          <t>HAGFORS</t>
        </is>
      </c>
      <c r="G459" t="n">
        <v>15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42168-2022</t>
        </is>
      </c>
      <c r="B460" s="1" t="n">
        <v>44830</v>
      </c>
      <c r="C460" s="1" t="n">
        <v>45842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42423-2022</t>
        </is>
      </c>
      <c r="B461" s="1" t="n">
        <v>44830</v>
      </c>
      <c r="C461" s="1" t="n">
        <v>45842</v>
      </c>
      <c r="D461" t="inlineStr">
        <is>
          <t>VÄRMLANDS LÄN</t>
        </is>
      </c>
      <c r="E461" t="inlineStr">
        <is>
          <t>HAGFORS</t>
        </is>
      </c>
      <c r="G461" t="n">
        <v>10.9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42739-2022</t>
        </is>
      </c>
      <c r="B462" s="1" t="n">
        <v>44832</v>
      </c>
      <c r="C462" s="1" t="n">
        <v>45842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42777-2022</t>
        </is>
      </c>
      <c r="B463" s="1" t="n">
        <v>44832</v>
      </c>
      <c r="C463" s="1" t="n">
        <v>45842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42742-2022</t>
        </is>
      </c>
      <c r="B464" s="1" t="n">
        <v>44832</v>
      </c>
      <c r="C464" s="1" t="n">
        <v>45842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39.3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43346-2022</t>
        </is>
      </c>
      <c r="B465" s="1" t="n">
        <v>44834</v>
      </c>
      <c r="C465" s="1" t="n">
        <v>45842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43309-2022</t>
        </is>
      </c>
      <c r="B466" s="1" t="n">
        <v>44834</v>
      </c>
      <c r="C466" s="1" t="n">
        <v>45842</v>
      </c>
      <c r="D466" t="inlineStr">
        <is>
          <t>VÄRMLANDS LÄN</t>
        </is>
      </c>
      <c r="E466" t="inlineStr">
        <is>
          <t>HAGFORS</t>
        </is>
      </c>
      <c r="F466" t="inlineStr">
        <is>
          <t>Kyrkan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43475-2022</t>
        </is>
      </c>
      <c r="B467" s="1" t="n">
        <v>44836</v>
      </c>
      <c r="C467" s="1" t="n">
        <v>45842</v>
      </c>
      <c r="D467" t="inlineStr">
        <is>
          <t>VÄRMLANDS LÄN</t>
        </is>
      </c>
      <c r="E467" t="inlineStr">
        <is>
          <t>HAGFORS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44246-2022</t>
        </is>
      </c>
      <c r="B468" s="1" t="n">
        <v>44839</v>
      </c>
      <c r="C468" s="1" t="n">
        <v>45842</v>
      </c>
      <c r="D468" t="inlineStr">
        <is>
          <t>VÄRMLANDS LÄN</t>
        </is>
      </c>
      <c r="E468" t="inlineStr">
        <is>
          <t>HAGFORS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45337-2022</t>
        </is>
      </c>
      <c r="B469" s="1" t="n">
        <v>44844</v>
      </c>
      <c r="C469" s="1" t="n">
        <v>45842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46363-2022</t>
        </is>
      </c>
      <c r="B470" s="1" t="n">
        <v>44848</v>
      </c>
      <c r="C470" s="1" t="n">
        <v>45842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46792-2022</t>
        </is>
      </c>
      <c r="B471" s="1" t="n">
        <v>44851</v>
      </c>
      <c r="C471" s="1" t="n">
        <v>45842</v>
      </c>
      <c r="D471" t="inlineStr">
        <is>
          <t>VÄRMLANDS LÄN</t>
        </is>
      </c>
      <c r="E471" t="inlineStr">
        <is>
          <t>HAGFORS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47008-2022</t>
        </is>
      </c>
      <c r="B472" s="1" t="n">
        <v>44852</v>
      </c>
      <c r="C472" s="1" t="n">
        <v>45842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47012-2022</t>
        </is>
      </c>
      <c r="B473" s="1" t="n">
        <v>44852</v>
      </c>
      <c r="C473" s="1" t="n">
        <v>45842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47005-2022</t>
        </is>
      </c>
      <c r="B474" s="1" t="n">
        <v>44852</v>
      </c>
      <c r="C474" s="1" t="n">
        <v>45842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47364-2022</t>
        </is>
      </c>
      <c r="B475" s="1" t="n">
        <v>44853</v>
      </c>
      <c r="C475" s="1" t="n">
        <v>45842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48203-2022</t>
        </is>
      </c>
      <c r="B476" s="1" t="n">
        <v>44858</v>
      </c>
      <c r="C476" s="1" t="n">
        <v>45842</v>
      </c>
      <c r="D476" t="inlineStr">
        <is>
          <t>VÄRMLANDS LÄN</t>
        </is>
      </c>
      <c r="E476" t="inlineStr">
        <is>
          <t>HAGFORS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48210-2022</t>
        </is>
      </c>
      <c r="B477" s="1" t="n">
        <v>44858</v>
      </c>
      <c r="C477" s="1" t="n">
        <v>45842</v>
      </c>
      <c r="D477" t="inlineStr">
        <is>
          <t>VÄRMLANDS LÄN</t>
        </is>
      </c>
      <c r="E477" t="inlineStr">
        <is>
          <t>HAGFORS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48971-2022</t>
        </is>
      </c>
      <c r="B478" s="1" t="n">
        <v>44860</v>
      </c>
      <c r="C478" s="1" t="n">
        <v>45842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48973-2022</t>
        </is>
      </c>
      <c r="B479" s="1" t="n">
        <v>44860</v>
      </c>
      <c r="C479" s="1" t="n">
        <v>45842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48970-2022</t>
        </is>
      </c>
      <c r="B480" s="1" t="n">
        <v>44860</v>
      </c>
      <c r="C480" s="1" t="n">
        <v>45842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50199-2022</t>
        </is>
      </c>
      <c r="B481" s="1" t="n">
        <v>44865</v>
      </c>
      <c r="C481" s="1" t="n">
        <v>45842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51059-2022</t>
        </is>
      </c>
      <c r="B482" s="1" t="n">
        <v>44868</v>
      </c>
      <c r="C482" s="1" t="n">
        <v>45842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51105-2022</t>
        </is>
      </c>
      <c r="B483" s="1" t="n">
        <v>44868</v>
      </c>
      <c r="C483" s="1" t="n">
        <v>45842</v>
      </c>
      <c r="D483" t="inlineStr">
        <is>
          <t>VÄRMLANDS LÄN</t>
        </is>
      </c>
      <c r="E483" t="inlineStr">
        <is>
          <t>HAGFORS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51194-2022</t>
        </is>
      </c>
      <c r="B484" s="1" t="n">
        <v>44868</v>
      </c>
      <c r="C484" s="1" t="n">
        <v>45842</v>
      </c>
      <c r="D484" t="inlineStr">
        <is>
          <t>VÄRMLANDS LÄN</t>
        </is>
      </c>
      <c r="E484" t="inlineStr">
        <is>
          <t>HAGFORS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51346-2022</t>
        </is>
      </c>
      <c r="B485" s="1" t="n">
        <v>44869</v>
      </c>
      <c r="C485" s="1" t="n">
        <v>45842</v>
      </c>
      <c r="D485" t="inlineStr">
        <is>
          <t>VÄRMLANDS LÄN</t>
        </is>
      </c>
      <c r="E485" t="inlineStr">
        <is>
          <t>HAGFORS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51384-2022</t>
        </is>
      </c>
      <c r="B486" s="1" t="n">
        <v>44869</v>
      </c>
      <c r="C486" s="1" t="n">
        <v>45842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51771-2022</t>
        </is>
      </c>
      <c r="B487" s="1" t="n">
        <v>44872</v>
      </c>
      <c r="C487" s="1" t="n">
        <v>45842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51759-2022</t>
        </is>
      </c>
      <c r="B488" s="1" t="n">
        <v>44872</v>
      </c>
      <c r="C488" s="1" t="n">
        <v>45842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52374-2022</t>
        </is>
      </c>
      <c r="B489" s="1" t="n">
        <v>44874</v>
      </c>
      <c r="C489" s="1" t="n">
        <v>45842</v>
      </c>
      <c r="D489" t="inlineStr">
        <is>
          <t>VÄRMLANDS LÄN</t>
        </is>
      </c>
      <c r="E489" t="inlineStr">
        <is>
          <t>HAGFORS</t>
        </is>
      </c>
      <c r="G489" t="n">
        <v>15.5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53135-2022</t>
        </is>
      </c>
      <c r="B490" s="1" t="n">
        <v>44876</v>
      </c>
      <c r="C490" s="1" t="n">
        <v>45842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53192-2022</t>
        </is>
      </c>
      <c r="B491" s="1" t="n">
        <v>44876</v>
      </c>
      <c r="C491" s="1" t="n">
        <v>45842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53419-2022</t>
        </is>
      </c>
      <c r="B492" s="1" t="n">
        <v>44879</v>
      </c>
      <c r="C492" s="1" t="n">
        <v>45842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53877-2022</t>
        </is>
      </c>
      <c r="B493" s="1" t="n">
        <v>44880</v>
      </c>
      <c r="C493" s="1" t="n">
        <v>45842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19.2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54757-2022</t>
        </is>
      </c>
      <c r="B494" s="1" t="n">
        <v>44883</v>
      </c>
      <c r="C494" s="1" t="n">
        <v>45842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54726-2022</t>
        </is>
      </c>
      <c r="B495" s="1" t="n">
        <v>44883</v>
      </c>
      <c r="C495" s="1" t="n">
        <v>45842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54751-2022</t>
        </is>
      </c>
      <c r="B496" s="1" t="n">
        <v>44883</v>
      </c>
      <c r="C496" s="1" t="n">
        <v>45842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54780-2022</t>
        </is>
      </c>
      <c r="B497" s="1" t="n">
        <v>44883</v>
      </c>
      <c r="C497" s="1" t="n">
        <v>45842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54999-2022</t>
        </is>
      </c>
      <c r="B498" s="1" t="n">
        <v>44886</v>
      </c>
      <c r="C498" s="1" t="n">
        <v>45842</v>
      </c>
      <c r="D498" t="inlineStr">
        <is>
          <t>VÄRMLANDS LÄN</t>
        </is>
      </c>
      <c r="E498" t="inlineStr">
        <is>
          <t>HAGFORS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55447-2022</t>
        </is>
      </c>
      <c r="B499" s="1" t="n">
        <v>44887</v>
      </c>
      <c r="C499" s="1" t="n">
        <v>45842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55914-2022</t>
        </is>
      </c>
      <c r="B500" s="1" t="n">
        <v>44889</v>
      </c>
      <c r="C500" s="1" t="n">
        <v>45842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56248-2022</t>
        </is>
      </c>
      <c r="B501" s="1" t="n">
        <v>44890</v>
      </c>
      <c r="C501" s="1" t="n">
        <v>45842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57632-2022</t>
        </is>
      </c>
      <c r="B502" s="1" t="n">
        <v>44890</v>
      </c>
      <c r="C502" s="1" t="n">
        <v>45842</v>
      </c>
      <c r="D502" t="inlineStr">
        <is>
          <t>VÄRMLANDS LÄN</t>
        </is>
      </c>
      <c r="E502" t="inlineStr">
        <is>
          <t>HAGFORS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56648-2022</t>
        </is>
      </c>
      <c r="B503" s="1" t="n">
        <v>44893</v>
      </c>
      <c r="C503" s="1" t="n">
        <v>45842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56959-2022</t>
        </is>
      </c>
      <c r="B504" s="1" t="n">
        <v>44894</v>
      </c>
      <c r="C504" s="1" t="n">
        <v>45842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57359-2022</t>
        </is>
      </c>
      <c r="B505" s="1" t="n">
        <v>44896</v>
      </c>
      <c r="C505" s="1" t="n">
        <v>45842</v>
      </c>
      <c r="D505" t="inlineStr">
        <is>
          <t>VÄRMLANDS LÄN</t>
        </is>
      </c>
      <c r="E505" t="inlineStr">
        <is>
          <t>HAGFORS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57358-2022</t>
        </is>
      </c>
      <c r="B506" s="1" t="n">
        <v>44896</v>
      </c>
      <c r="C506" s="1" t="n">
        <v>45842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57379-2022</t>
        </is>
      </c>
      <c r="B507" s="1" t="n">
        <v>44896</v>
      </c>
      <c r="C507" s="1" t="n">
        <v>45842</v>
      </c>
      <c r="D507" t="inlineStr">
        <is>
          <t>VÄRMLANDS LÄN</t>
        </is>
      </c>
      <c r="E507" t="inlineStr">
        <is>
          <t>HAGFORS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58210-2022</t>
        </is>
      </c>
      <c r="B508" s="1" t="n">
        <v>44901</v>
      </c>
      <c r="C508" s="1" t="n">
        <v>45842</v>
      </c>
      <c r="D508" t="inlineStr">
        <is>
          <t>VÄRMLANDS LÄN</t>
        </is>
      </c>
      <c r="E508" t="inlineStr">
        <is>
          <t>HAGFORS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58208-2022</t>
        </is>
      </c>
      <c r="B509" s="1" t="n">
        <v>44901</v>
      </c>
      <c r="C509" s="1" t="n">
        <v>45842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58417-2022</t>
        </is>
      </c>
      <c r="B510" s="1" t="n">
        <v>44901</v>
      </c>
      <c r="C510" s="1" t="n">
        <v>45842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58808-2022</t>
        </is>
      </c>
      <c r="B511" s="1" t="n">
        <v>44903</v>
      </c>
      <c r="C511" s="1" t="n">
        <v>45842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58799-2022</t>
        </is>
      </c>
      <c r="B512" s="1" t="n">
        <v>44903</v>
      </c>
      <c r="C512" s="1" t="n">
        <v>45842</v>
      </c>
      <c r="D512" t="inlineStr">
        <is>
          <t>VÄRMLANDS LÄN</t>
        </is>
      </c>
      <c r="E512" t="inlineStr">
        <is>
          <t>HAGFORS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59048-2022</t>
        </is>
      </c>
      <c r="B513" s="1" t="n">
        <v>44903</v>
      </c>
      <c r="C513" s="1" t="n">
        <v>45842</v>
      </c>
      <c r="D513" t="inlineStr">
        <is>
          <t>VÄRMLANDS LÄN</t>
        </is>
      </c>
      <c r="E513" t="inlineStr">
        <is>
          <t>HAGFORS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59091-2022</t>
        </is>
      </c>
      <c r="B514" s="1" t="n">
        <v>44904</v>
      </c>
      <c r="C514" s="1" t="n">
        <v>45842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59092-2022</t>
        </is>
      </c>
      <c r="B515" s="1" t="n">
        <v>44904</v>
      </c>
      <c r="C515" s="1" t="n">
        <v>45842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59274-2022</t>
        </is>
      </c>
      <c r="B516" s="1" t="n">
        <v>44904</v>
      </c>
      <c r="C516" s="1" t="n">
        <v>45842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59340-2022</t>
        </is>
      </c>
      <c r="B517" s="1" t="n">
        <v>44904</v>
      </c>
      <c r="C517" s="1" t="n">
        <v>45842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59417-2022</t>
        </is>
      </c>
      <c r="B518" s="1" t="n">
        <v>44907</v>
      </c>
      <c r="C518" s="1" t="n">
        <v>45842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59878-2022</t>
        </is>
      </c>
      <c r="B519" s="1" t="n">
        <v>44908</v>
      </c>
      <c r="C519" s="1" t="n">
        <v>45842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60050-2022</t>
        </is>
      </c>
      <c r="B520" s="1" t="n">
        <v>44909</v>
      </c>
      <c r="C520" s="1" t="n">
        <v>45842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60277-2022</t>
        </is>
      </c>
      <c r="B521" s="1" t="n">
        <v>44910</v>
      </c>
      <c r="C521" s="1" t="n">
        <v>45842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61265-2022</t>
        </is>
      </c>
      <c r="B522" s="1" t="n">
        <v>44915</v>
      </c>
      <c r="C522" s="1" t="n">
        <v>45842</v>
      </c>
      <c r="D522" t="inlineStr">
        <is>
          <t>VÄRMLANDS LÄN</t>
        </is>
      </c>
      <c r="E522" t="inlineStr">
        <is>
          <t>HAGFORS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61831-2022</t>
        </is>
      </c>
      <c r="B523" s="1" t="n">
        <v>44917</v>
      </c>
      <c r="C523" s="1" t="n">
        <v>45842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62546-2022</t>
        </is>
      </c>
      <c r="B524" s="1" t="n">
        <v>44924</v>
      </c>
      <c r="C524" s="1" t="n">
        <v>45842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62555-2022</t>
        </is>
      </c>
      <c r="B525" s="1" t="n">
        <v>44924</v>
      </c>
      <c r="C525" s="1" t="n">
        <v>45842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62497-2022</t>
        </is>
      </c>
      <c r="B526" s="1" t="n">
        <v>44924</v>
      </c>
      <c r="C526" s="1" t="n">
        <v>45842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157-2023</t>
        </is>
      </c>
      <c r="B527" s="1" t="n">
        <v>44928</v>
      </c>
      <c r="C527" s="1" t="n">
        <v>45842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341-2023</t>
        </is>
      </c>
      <c r="B528" s="1" t="n">
        <v>44929</v>
      </c>
      <c r="C528" s="1" t="n">
        <v>45842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1082-2023</t>
        </is>
      </c>
      <c r="B529" s="1" t="n">
        <v>44929</v>
      </c>
      <c r="C529" s="1" t="n">
        <v>45842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570-2023</t>
        </is>
      </c>
      <c r="B530" s="1" t="n">
        <v>44930</v>
      </c>
      <c r="C530" s="1" t="n">
        <v>45842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1435-2023</t>
        </is>
      </c>
      <c r="B531" s="1" t="n">
        <v>44937</v>
      </c>
      <c r="C531" s="1" t="n">
        <v>45842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1464-2023</t>
        </is>
      </c>
      <c r="B532" s="1" t="n">
        <v>44937</v>
      </c>
      <c r="C532" s="1" t="n">
        <v>45842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1512-2023</t>
        </is>
      </c>
      <c r="B533" s="1" t="n">
        <v>44937</v>
      </c>
      <c r="C533" s="1" t="n">
        <v>45842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1735-2023</t>
        </is>
      </c>
      <c r="B534" s="1" t="n">
        <v>44938</v>
      </c>
      <c r="C534" s="1" t="n">
        <v>45842</v>
      </c>
      <c r="D534" t="inlineStr">
        <is>
          <t>VÄRMLANDS LÄN</t>
        </is>
      </c>
      <c r="E534" t="inlineStr">
        <is>
          <t>HAGFORS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1734-2023</t>
        </is>
      </c>
      <c r="B535" s="1" t="n">
        <v>44938</v>
      </c>
      <c r="C535" s="1" t="n">
        <v>45842</v>
      </c>
      <c r="D535" t="inlineStr">
        <is>
          <t>VÄRMLANDS LÄN</t>
        </is>
      </c>
      <c r="E535" t="inlineStr">
        <is>
          <t>HAGFORS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2172-2023</t>
        </is>
      </c>
      <c r="B536" s="1" t="n">
        <v>44941</v>
      </c>
      <c r="C536" s="1" t="n">
        <v>45842</v>
      </c>
      <c r="D536" t="inlineStr">
        <is>
          <t>VÄRMLANDS LÄN</t>
        </is>
      </c>
      <c r="E536" t="inlineStr">
        <is>
          <t>HAGFORS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3460-2023</t>
        </is>
      </c>
      <c r="B537" s="1" t="n">
        <v>44949</v>
      </c>
      <c r="C537" s="1" t="n">
        <v>45842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3426-2023</t>
        </is>
      </c>
      <c r="B538" s="1" t="n">
        <v>44949</v>
      </c>
      <c r="C538" s="1" t="n">
        <v>45842</v>
      </c>
      <c r="D538" t="inlineStr">
        <is>
          <t>VÄRMLANDS LÄN</t>
        </is>
      </c>
      <c r="E538" t="inlineStr">
        <is>
          <t>HAGFORS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3566-2023</t>
        </is>
      </c>
      <c r="B539" s="1" t="n">
        <v>44950</v>
      </c>
      <c r="C539" s="1" t="n">
        <v>45842</v>
      </c>
      <c r="D539" t="inlineStr">
        <is>
          <t>VÄRMLANDS LÄN</t>
        </is>
      </c>
      <c r="E539" t="inlineStr">
        <is>
          <t>HAGFORS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3557-2023</t>
        </is>
      </c>
      <c r="B540" s="1" t="n">
        <v>44950</v>
      </c>
      <c r="C540" s="1" t="n">
        <v>45842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3586-2023</t>
        </is>
      </c>
      <c r="B541" s="1" t="n">
        <v>44950</v>
      </c>
      <c r="C541" s="1" t="n">
        <v>45842</v>
      </c>
      <c r="D541" t="inlineStr">
        <is>
          <t>VÄRMLANDS LÄN</t>
        </is>
      </c>
      <c r="E541" t="inlineStr">
        <is>
          <t>HAGFORS</t>
        </is>
      </c>
      <c r="F541" t="inlineStr">
        <is>
          <t>Kyrkan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3724-2023</t>
        </is>
      </c>
      <c r="B542" s="1" t="n">
        <v>44951</v>
      </c>
      <c r="C542" s="1" t="n">
        <v>45842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3846-2023</t>
        </is>
      </c>
      <c r="B543" s="1" t="n">
        <v>44951</v>
      </c>
      <c r="C543" s="1" t="n">
        <v>45842</v>
      </c>
      <c r="D543" t="inlineStr">
        <is>
          <t>VÄRMLANDS LÄN</t>
        </is>
      </c>
      <c r="E543" t="inlineStr">
        <is>
          <t>HAGFORS</t>
        </is>
      </c>
      <c r="F543" t="inlineStr">
        <is>
          <t>Kommuner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4260-2023</t>
        </is>
      </c>
      <c r="B544" s="1" t="n">
        <v>44953</v>
      </c>
      <c r="C544" s="1" t="n">
        <v>45842</v>
      </c>
      <c r="D544" t="inlineStr">
        <is>
          <t>VÄRMLANDS LÄN</t>
        </is>
      </c>
      <c r="E544" t="inlineStr">
        <is>
          <t>HAGFORS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5269-2023</t>
        </is>
      </c>
      <c r="B545" s="1" t="n">
        <v>44959</v>
      </c>
      <c r="C545" s="1" t="n">
        <v>45842</v>
      </c>
      <c r="D545" t="inlineStr">
        <is>
          <t>VÄRMLANDS LÄN</t>
        </is>
      </c>
      <c r="E545" t="inlineStr">
        <is>
          <t>HAGFORS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5357-2023</t>
        </is>
      </c>
      <c r="B546" s="1" t="n">
        <v>44959</v>
      </c>
      <c r="C546" s="1" t="n">
        <v>45842</v>
      </c>
      <c r="D546" t="inlineStr">
        <is>
          <t>VÄRMLANDS LÄN</t>
        </is>
      </c>
      <c r="E546" t="inlineStr">
        <is>
          <t>HAGFORS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5377-2023</t>
        </is>
      </c>
      <c r="B547" s="1" t="n">
        <v>44959</v>
      </c>
      <c r="C547" s="1" t="n">
        <v>45842</v>
      </c>
      <c r="D547" t="inlineStr">
        <is>
          <t>VÄRMLANDS LÄN</t>
        </is>
      </c>
      <c r="E547" t="inlineStr">
        <is>
          <t>HAGFORS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5624-2023</t>
        </is>
      </c>
      <c r="B548" s="1" t="n">
        <v>44960</v>
      </c>
      <c r="C548" s="1" t="n">
        <v>45842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6253-2023</t>
        </is>
      </c>
      <c r="B549" s="1" t="n">
        <v>44965</v>
      </c>
      <c r="C549" s="1" t="n">
        <v>45842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6652-2023</t>
        </is>
      </c>
      <c r="B550" s="1" t="n">
        <v>44966</v>
      </c>
      <c r="C550" s="1" t="n">
        <v>45842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8354-2023</t>
        </is>
      </c>
      <c r="B551" s="1" t="n">
        <v>44977</v>
      </c>
      <c r="C551" s="1" t="n">
        <v>45842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8831-2023</t>
        </is>
      </c>
      <c r="B552" s="1" t="n">
        <v>44978</v>
      </c>
      <c r="C552" s="1" t="n">
        <v>45842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9300-2023</t>
        </is>
      </c>
      <c r="B553" s="1" t="n">
        <v>44980</v>
      </c>
      <c r="C553" s="1" t="n">
        <v>45842</v>
      </c>
      <c r="D553" t="inlineStr">
        <is>
          <t>VÄRMLANDS LÄN</t>
        </is>
      </c>
      <c r="E553" t="inlineStr">
        <is>
          <t>HAGFORS</t>
        </is>
      </c>
      <c r="F553" t="inlineStr">
        <is>
          <t>Kyrkan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9795-2023</t>
        </is>
      </c>
      <c r="B554" s="1" t="n">
        <v>44984</v>
      </c>
      <c r="C554" s="1" t="n">
        <v>45842</v>
      </c>
      <c r="D554" t="inlineStr">
        <is>
          <t>VÄRMLANDS LÄN</t>
        </is>
      </c>
      <c r="E554" t="inlineStr">
        <is>
          <t>HAGFORS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10703-2023</t>
        </is>
      </c>
      <c r="B555" s="1" t="n">
        <v>44988</v>
      </c>
      <c r="C555" s="1" t="n">
        <v>45842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10847-2023</t>
        </is>
      </c>
      <c r="B556" s="1" t="n">
        <v>44991</v>
      </c>
      <c r="C556" s="1" t="n">
        <v>45842</v>
      </c>
      <c r="D556" t="inlineStr">
        <is>
          <t>VÄRMLANDS LÄN</t>
        </is>
      </c>
      <c r="E556" t="inlineStr">
        <is>
          <t>HAGFORS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11013-2023</t>
        </is>
      </c>
      <c r="B557" s="1" t="n">
        <v>44991</v>
      </c>
      <c r="C557" s="1" t="n">
        <v>45842</v>
      </c>
      <c r="D557" t="inlineStr">
        <is>
          <t>VÄRMLANDS LÄN</t>
        </is>
      </c>
      <c r="E557" t="inlineStr">
        <is>
          <t>HAGFORS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11767-2023</t>
        </is>
      </c>
      <c r="B558" s="1" t="n">
        <v>44994</v>
      </c>
      <c r="C558" s="1" t="n">
        <v>45842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11667-2023</t>
        </is>
      </c>
      <c r="B559" s="1" t="n">
        <v>44994</v>
      </c>
      <c r="C559" s="1" t="n">
        <v>45842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12194-2023</t>
        </is>
      </c>
      <c r="B560" s="1" t="n">
        <v>44998</v>
      </c>
      <c r="C560" s="1" t="n">
        <v>45842</v>
      </c>
      <c r="D560" t="inlineStr">
        <is>
          <t>VÄRMLANDS LÄN</t>
        </is>
      </c>
      <c r="E560" t="inlineStr">
        <is>
          <t>HAGFORS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12206-2023</t>
        </is>
      </c>
      <c r="B561" s="1" t="n">
        <v>44998</v>
      </c>
      <c r="C561" s="1" t="n">
        <v>45842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12635-2023</t>
        </is>
      </c>
      <c r="B562" s="1" t="n">
        <v>45000</v>
      </c>
      <c r="C562" s="1" t="n">
        <v>45842</v>
      </c>
      <c r="D562" t="inlineStr">
        <is>
          <t>VÄRMLANDS LÄN</t>
        </is>
      </c>
      <c r="E562" t="inlineStr">
        <is>
          <t>HAGFORS</t>
        </is>
      </c>
      <c r="G562" t="n">
        <v>18.8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12645-2023</t>
        </is>
      </c>
      <c r="B563" s="1" t="n">
        <v>45000</v>
      </c>
      <c r="C563" s="1" t="n">
        <v>45842</v>
      </c>
      <c r="D563" t="inlineStr">
        <is>
          <t>VÄRMLANDS LÄN</t>
        </is>
      </c>
      <c r="E563" t="inlineStr">
        <is>
          <t>HAGFORS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13300-2023</t>
        </is>
      </c>
      <c r="B564" s="1" t="n">
        <v>45005</v>
      </c>
      <c r="C564" s="1" t="n">
        <v>45842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13657-2023</t>
        </is>
      </c>
      <c r="B565" s="1" t="n">
        <v>45006</v>
      </c>
      <c r="C565" s="1" t="n">
        <v>45842</v>
      </c>
      <c r="D565" t="inlineStr">
        <is>
          <t>VÄRMLANDS LÄN</t>
        </is>
      </c>
      <c r="E565" t="inlineStr">
        <is>
          <t>HAGFORS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14589-2023</t>
        </is>
      </c>
      <c r="B566" s="1" t="n">
        <v>45013</v>
      </c>
      <c r="C566" s="1" t="n">
        <v>45842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15129-2023</t>
        </is>
      </c>
      <c r="B567" s="1" t="n">
        <v>45016</v>
      </c>
      <c r="C567" s="1" t="n">
        <v>45842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15342-2023</t>
        </is>
      </c>
      <c r="B568" s="1" t="n">
        <v>45019</v>
      </c>
      <c r="C568" s="1" t="n">
        <v>45842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15278-2023</t>
        </is>
      </c>
      <c r="B569" s="1" t="n">
        <v>45019</v>
      </c>
      <c r="C569" s="1" t="n">
        <v>45842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15491-2023</t>
        </is>
      </c>
      <c r="B570" s="1" t="n">
        <v>45020</v>
      </c>
      <c r="C570" s="1" t="n">
        <v>45842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15513-2023</t>
        </is>
      </c>
      <c r="B571" s="1" t="n">
        <v>45020</v>
      </c>
      <c r="C571" s="1" t="n">
        <v>45842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15563-2023</t>
        </is>
      </c>
      <c r="B572" s="1" t="n">
        <v>45020</v>
      </c>
      <c r="C572" s="1" t="n">
        <v>45842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16350-2023</t>
        </is>
      </c>
      <c r="B573" s="1" t="n">
        <v>45028</v>
      </c>
      <c r="C573" s="1" t="n">
        <v>45842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16319-2023</t>
        </is>
      </c>
      <c r="B574" s="1" t="n">
        <v>45028</v>
      </c>
      <c r="C574" s="1" t="n">
        <v>45842</v>
      </c>
      <c r="D574" t="inlineStr">
        <is>
          <t>VÄRMLANDS LÄN</t>
        </is>
      </c>
      <c r="E574" t="inlineStr">
        <is>
          <t>HAGFORS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16521-2023</t>
        </is>
      </c>
      <c r="B575" s="1" t="n">
        <v>45029</v>
      </c>
      <c r="C575" s="1" t="n">
        <v>45842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16523-2023</t>
        </is>
      </c>
      <c r="B576" s="1" t="n">
        <v>45029</v>
      </c>
      <c r="C576" s="1" t="n">
        <v>45842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16525-2023</t>
        </is>
      </c>
      <c r="B577" s="1" t="n">
        <v>45029</v>
      </c>
      <c r="C577" s="1" t="n">
        <v>45842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16679-2023</t>
        </is>
      </c>
      <c r="B578" s="1" t="n">
        <v>45030</v>
      </c>
      <c r="C578" s="1" t="n">
        <v>45842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16724-2023</t>
        </is>
      </c>
      <c r="B579" s="1" t="n">
        <v>45030</v>
      </c>
      <c r="C579" s="1" t="n">
        <v>45842</v>
      </c>
      <c r="D579" t="inlineStr">
        <is>
          <t>VÄRMLANDS LÄN</t>
        </is>
      </c>
      <c r="E579" t="inlineStr">
        <is>
          <t>HAGFORS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16925-2023</t>
        </is>
      </c>
      <c r="B580" s="1" t="n">
        <v>45033</v>
      </c>
      <c r="C580" s="1" t="n">
        <v>45842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16814-2023</t>
        </is>
      </c>
      <c r="B581" s="1" t="n">
        <v>45033</v>
      </c>
      <c r="C581" s="1" t="n">
        <v>45842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16824-2023</t>
        </is>
      </c>
      <c r="B582" s="1" t="n">
        <v>45033</v>
      </c>
      <c r="C582" s="1" t="n">
        <v>45842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16969-2023</t>
        </is>
      </c>
      <c r="B583" s="1" t="n">
        <v>45033</v>
      </c>
      <c r="C583" s="1" t="n">
        <v>45842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16877-2023</t>
        </is>
      </c>
      <c r="B584" s="1" t="n">
        <v>45033</v>
      </c>
      <c r="C584" s="1" t="n">
        <v>45842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17293-2023</t>
        </is>
      </c>
      <c r="B585" s="1" t="n">
        <v>45035</v>
      </c>
      <c r="C585" s="1" t="n">
        <v>45842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17305-2023</t>
        </is>
      </c>
      <c r="B586" s="1" t="n">
        <v>45035</v>
      </c>
      <c r="C586" s="1" t="n">
        <v>45842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17584-2023</t>
        </is>
      </c>
      <c r="B587" s="1" t="n">
        <v>45036</v>
      </c>
      <c r="C587" s="1" t="n">
        <v>45842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17588-2023</t>
        </is>
      </c>
      <c r="B588" s="1" t="n">
        <v>45036</v>
      </c>
      <c r="C588" s="1" t="n">
        <v>45842</v>
      </c>
      <c r="D588" t="inlineStr">
        <is>
          <t>VÄRMLANDS LÄN</t>
        </is>
      </c>
      <c r="E588" t="inlineStr">
        <is>
          <t>HAGFORS</t>
        </is>
      </c>
      <c r="F588" t="inlineStr">
        <is>
          <t>Kommuner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17750-2023</t>
        </is>
      </c>
      <c r="B589" s="1" t="n">
        <v>45037</v>
      </c>
      <c r="C589" s="1" t="n">
        <v>45842</v>
      </c>
      <c r="D589" t="inlineStr">
        <is>
          <t>VÄRMLANDS LÄN</t>
        </is>
      </c>
      <c r="E589" t="inlineStr">
        <is>
          <t>HAGFORS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17676-2023</t>
        </is>
      </c>
      <c r="B590" s="1" t="n">
        <v>45037</v>
      </c>
      <c r="C590" s="1" t="n">
        <v>45842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18108-2023</t>
        </is>
      </c>
      <c r="B591" s="1" t="n">
        <v>45040</v>
      </c>
      <c r="C591" s="1" t="n">
        <v>45842</v>
      </c>
      <c r="D591" t="inlineStr">
        <is>
          <t>VÄRMLANDS LÄN</t>
        </is>
      </c>
      <c r="E591" t="inlineStr">
        <is>
          <t>HAGFORS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18287-2023</t>
        </is>
      </c>
      <c r="B592" s="1" t="n">
        <v>45041</v>
      </c>
      <c r="C592" s="1" t="n">
        <v>45842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18215-2023</t>
        </is>
      </c>
      <c r="B593" s="1" t="n">
        <v>45041</v>
      </c>
      <c r="C593" s="1" t="n">
        <v>45842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18255-2023</t>
        </is>
      </c>
      <c r="B594" s="1" t="n">
        <v>45041</v>
      </c>
      <c r="C594" s="1" t="n">
        <v>45842</v>
      </c>
      <c r="D594" t="inlineStr">
        <is>
          <t>VÄRMLANDS LÄN</t>
        </is>
      </c>
      <c r="E594" t="inlineStr">
        <is>
          <t>HAGFORS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18903-2023</t>
        </is>
      </c>
      <c r="B595" s="1" t="n">
        <v>45044</v>
      </c>
      <c r="C595" s="1" t="n">
        <v>45842</v>
      </c>
      <c r="D595" t="inlineStr">
        <is>
          <t>VÄRMLANDS LÄN</t>
        </is>
      </c>
      <c r="E595" t="inlineStr">
        <is>
          <t>HAGFORS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18911-2023</t>
        </is>
      </c>
      <c r="B596" s="1" t="n">
        <v>45044</v>
      </c>
      <c r="C596" s="1" t="n">
        <v>45842</v>
      </c>
      <c r="D596" t="inlineStr">
        <is>
          <t>VÄRMLANDS LÄN</t>
        </is>
      </c>
      <c r="E596" t="inlineStr">
        <is>
          <t>HAGFORS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18927-2023</t>
        </is>
      </c>
      <c r="B597" s="1" t="n">
        <v>45044</v>
      </c>
      <c r="C597" s="1" t="n">
        <v>45842</v>
      </c>
      <c r="D597" t="inlineStr">
        <is>
          <t>VÄRMLANDS LÄN</t>
        </is>
      </c>
      <c r="E597" t="inlineStr">
        <is>
          <t>HAGFORS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19583-2023</t>
        </is>
      </c>
      <c r="B598" s="1" t="n">
        <v>45050</v>
      </c>
      <c r="C598" s="1" t="n">
        <v>45842</v>
      </c>
      <c r="D598" t="inlineStr">
        <is>
          <t>VÄRMLANDS LÄN</t>
        </is>
      </c>
      <c r="E598" t="inlineStr">
        <is>
          <t>HAGFORS</t>
        </is>
      </c>
      <c r="F598" t="inlineStr">
        <is>
          <t>Kommuner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19783-2023</t>
        </is>
      </c>
      <c r="B599" s="1" t="n">
        <v>45051</v>
      </c>
      <c r="C599" s="1" t="n">
        <v>45842</v>
      </c>
      <c r="D599" t="inlineStr">
        <is>
          <t>VÄRMLANDS LÄN</t>
        </is>
      </c>
      <c r="E599" t="inlineStr">
        <is>
          <t>HAGFORS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20060-2023</t>
        </is>
      </c>
      <c r="B600" s="1" t="n">
        <v>45054</v>
      </c>
      <c r="C600" s="1" t="n">
        <v>45842</v>
      </c>
      <c r="D600" t="inlineStr">
        <is>
          <t>VÄRMLANDS LÄN</t>
        </is>
      </c>
      <c r="E600" t="inlineStr">
        <is>
          <t>HAGFORS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20113-2023</t>
        </is>
      </c>
      <c r="B601" s="1" t="n">
        <v>45055</v>
      </c>
      <c r="C601" s="1" t="n">
        <v>45842</v>
      </c>
      <c r="D601" t="inlineStr">
        <is>
          <t>VÄRMLANDS LÄN</t>
        </is>
      </c>
      <c r="E601" t="inlineStr">
        <is>
          <t>HAGFORS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20471-2023</t>
        </is>
      </c>
      <c r="B602" s="1" t="n">
        <v>45057</v>
      </c>
      <c r="C602" s="1" t="n">
        <v>45842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20466-2023</t>
        </is>
      </c>
      <c r="B603" s="1" t="n">
        <v>45057</v>
      </c>
      <c r="C603" s="1" t="n">
        <v>45842</v>
      </c>
      <c r="D603" t="inlineStr">
        <is>
          <t>VÄRMLANDS LÄN</t>
        </is>
      </c>
      <c r="E603" t="inlineStr">
        <is>
          <t>HAGFORS</t>
        </is>
      </c>
      <c r="F603" t="inlineStr">
        <is>
          <t>Kyrkan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20532-2023</t>
        </is>
      </c>
      <c r="B604" s="1" t="n">
        <v>45057</v>
      </c>
      <c r="C604" s="1" t="n">
        <v>45842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21155-2023</t>
        </is>
      </c>
      <c r="B605" s="1" t="n">
        <v>45057</v>
      </c>
      <c r="C605" s="1" t="n">
        <v>45842</v>
      </c>
      <c r="D605" t="inlineStr">
        <is>
          <t>VÄRMLANDS LÄN</t>
        </is>
      </c>
      <c r="E605" t="inlineStr">
        <is>
          <t>HAGFORS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20810-2023</t>
        </is>
      </c>
      <c r="B606" s="1" t="n">
        <v>45058</v>
      </c>
      <c r="C606" s="1" t="n">
        <v>45842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20769-2023</t>
        </is>
      </c>
      <c r="B607" s="1" t="n">
        <v>45058</v>
      </c>
      <c r="C607" s="1" t="n">
        <v>45842</v>
      </c>
      <c r="D607" t="inlineStr">
        <is>
          <t>VÄRMLANDS LÄN</t>
        </is>
      </c>
      <c r="E607" t="inlineStr">
        <is>
          <t>HAGFORS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20780-2023</t>
        </is>
      </c>
      <c r="B608" s="1" t="n">
        <v>45058</v>
      </c>
      <c r="C608" s="1" t="n">
        <v>45842</v>
      </c>
      <c r="D608" t="inlineStr">
        <is>
          <t>VÄRMLANDS LÄN</t>
        </is>
      </c>
      <c r="E608" t="inlineStr">
        <is>
          <t>HAGFORS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21309-2023</t>
        </is>
      </c>
      <c r="B609" s="1" t="n">
        <v>45062</v>
      </c>
      <c r="C609" s="1" t="n">
        <v>45842</v>
      </c>
      <c r="D609" t="inlineStr">
        <is>
          <t>VÄRMLANDS LÄN</t>
        </is>
      </c>
      <c r="E609" t="inlineStr">
        <is>
          <t>HAGFORS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21493-2023</t>
        </is>
      </c>
      <c r="B610" s="1" t="n">
        <v>45063</v>
      </c>
      <c r="C610" s="1" t="n">
        <v>45842</v>
      </c>
      <c r="D610" t="inlineStr">
        <is>
          <t>VÄRMLANDS LÄN</t>
        </is>
      </c>
      <c r="E610" t="inlineStr">
        <is>
          <t>HAGFORS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22031-2023</t>
        </is>
      </c>
      <c r="B611" s="1" t="n">
        <v>45069</v>
      </c>
      <c r="C611" s="1" t="n">
        <v>45842</v>
      </c>
      <c r="D611" t="inlineStr">
        <is>
          <t>VÄRMLANDS LÄN</t>
        </is>
      </c>
      <c r="E611" t="inlineStr">
        <is>
          <t>HAGFORS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22325-2023</t>
        </is>
      </c>
      <c r="B612" s="1" t="n">
        <v>45070</v>
      </c>
      <c r="C612" s="1" t="n">
        <v>45842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22363-2023</t>
        </is>
      </c>
      <c r="B613" s="1" t="n">
        <v>45070</v>
      </c>
      <c r="C613" s="1" t="n">
        <v>45842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22285-2023</t>
        </is>
      </c>
      <c r="B614" s="1" t="n">
        <v>45070</v>
      </c>
      <c r="C614" s="1" t="n">
        <v>45842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22611-2023</t>
        </is>
      </c>
      <c r="B615" s="1" t="n">
        <v>45071</v>
      </c>
      <c r="C615" s="1" t="n">
        <v>45842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22676-2023</t>
        </is>
      </c>
      <c r="B616" s="1" t="n">
        <v>45071</v>
      </c>
      <c r="C616" s="1" t="n">
        <v>45842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22764-2023</t>
        </is>
      </c>
      <c r="B617" s="1" t="n">
        <v>45072</v>
      </c>
      <c r="C617" s="1" t="n">
        <v>45842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8.699999999999999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22809-2023</t>
        </is>
      </c>
      <c r="B618" s="1" t="n">
        <v>45072</v>
      </c>
      <c r="C618" s="1" t="n">
        <v>45842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22807-2023</t>
        </is>
      </c>
      <c r="B619" s="1" t="n">
        <v>45072</v>
      </c>
      <c r="C619" s="1" t="n">
        <v>45842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23054-2023</t>
        </is>
      </c>
      <c r="B620" s="1" t="n">
        <v>45075</v>
      </c>
      <c r="C620" s="1" t="n">
        <v>45842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23371-2023</t>
        </is>
      </c>
      <c r="B621" s="1" t="n">
        <v>45076</v>
      </c>
      <c r="C621" s="1" t="n">
        <v>45842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23708-2023</t>
        </is>
      </c>
      <c r="B622" s="1" t="n">
        <v>45077</v>
      </c>
      <c r="C622" s="1" t="n">
        <v>45842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23937-2023</t>
        </is>
      </c>
      <c r="B623" s="1" t="n">
        <v>45078</v>
      </c>
      <c r="C623" s="1" t="n">
        <v>45842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14.2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23873-2023</t>
        </is>
      </c>
      <c r="B624" s="1" t="n">
        <v>45078</v>
      </c>
      <c r="C624" s="1" t="n">
        <v>45842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24005-2023</t>
        </is>
      </c>
      <c r="B625" s="1" t="n">
        <v>45078</v>
      </c>
      <c r="C625" s="1" t="n">
        <v>45842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25258-2023</t>
        </is>
      </c>
      <c r="B626" s="1" t="n">
        <v>45079</v>
      </c>
      <c r="C626" s="1" t="n">
        <v>45842</v>
      </c>
      <c r="D626" t="inlineStr">
        <is>
          <t>VÄRMLANDS LÄN</t>
        </is>
      </c>
      <c r="E626" t="inlineStr">
        <is>
          <t>HAGFORS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24608-2023</t>
        </is>
      </c>
      <c r="B627" s="1" t="n">
        <v>45084</v>
      </c>
      <c r="C627" s="1" t="n">
        <v>45842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24638-2023</t>
        </is>
      </c>
      <c r="B628" s="1" t="n">
        <v>45084</v>
      </c>
      <c r="C628" s="1" t="n">
        <v>45842</v>
      </c>
      <c r="D628" t="inlineStr">
        <is>
          <t>VÄRMLANDS LÄN</t>
        </is>
      </c>
      <c r="E628" t="inlineStr">
        <is>
          <t>HAGFORS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24635-2023</t>
        </is>
      </c>
      <c r="B629" s="1" t="n">
        <v>45084</v>
      </c>
      <c r="C629" s="1" t="n">
        <v>45842</v>
      </c>
      <c r="D629" t="inlineStr">
        <is>
          <t>VÄRMLANDS LÄN</t>
        </is>
      </c>
      <c r="E629" t="inlineStr">
        <is>
          <t>HAGFORS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24633-2023</t>
        </is>
      </c>
      <c r="B630" s="1" t="n">
        <v>45084</v>
      </c>
      <c r="C630" s="1" t="n">
        <v>45842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24781-2023</t>
        </is>
      </c>
      <c r="B631" s="1" t="n">
        <v>45084</v>
      </c>
      <c r="C631" s="1" t="n">
        <v>45842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24886-2023</t>
        </is>
      </c>
      <c r="B632" s="1" t="n">
        <v>45085</v>
      </c>
      <c r="C632" s="1" t="n">
        <v>45842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24998-2023</t>
        </is>
      </c>
      <c r="B633" s="1" t="n">
        <v>45085</v>
      </c>
      <c r="C633" s="1" t="n">
        <v>45842</v>
      </c>
      <c r="D633" t="inlineStr">
        <is>
          <t>VÄRMLANDS LÄN</t>
        </is>
      </c>
      <c r="E633" t="inlineStr">
        <is>
          <t>HAGFORS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25349-2023</t>
        </is>
      </c>
      <c r="B634" s="1" t="n">
        <v>45088</v>
      </c>
      <c r="C634" s="1" t="n">
        <v>45842</v>
      </c>
      <c r="D634" t="inlineStr">
        <is>
          <t>VÄRMLANDS LÄN</t>
        </is>
      </c>
      <c r="E634" t="inlineStr">
        <is>
          <t>HAGFORS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25730-2023</t>
        </is>
      </c>
      <c r="B635" s="1" t="n">
        <v>45090</v>
      </c>
      <c r="C635" s="1" t="n">
        <v>45842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25759-2023</t>
        </is>
      </c>
      <c r="B636" s="1" t="n">
        <v>45090</v>
      </c>
      <c r="C636" s="1" t="n">
        <v>45842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26239-2023</t>
        </is>
      </c>
      <c r="B637" s="1" t="n">
        <v>45091</v>
      </c>
      <c r="C637" s="1" t="n">
        <v>45842</v>
      </c>
      <c r="D637" t="inlineStr">
        <is>
          <t>VÄRMLANDS LÄN</t>
        </is>
      </c>
      <c r="E637" t="inlineStr">
        <is>
          <t>HAGFORS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26755-2023</t>
        </is>
      </c>
      <c r="B638" s="1" t="n">
        <v>45093</v>
      </c>
      <c r="C638" s="1" t="n">
        <v>45842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26777-2023</t>
        </is>
      </c>
      <c r="B639" s="1" t="n">
        <v>45093</v>
      </c>
      <c r="C639" s="1" t="n">
        <v>45842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26744-2023</t>
        </is>
      </c>
      <c r="B640" s="1" t="n">
        <v>45093</v>
      </c>
      <c r="C640" s="1" t="n">
        <v>45842</v>
      </c>
      <c r="D640" t="inlineStr">
        <is>
          <t>VÄRMLANDS LÄN</t>
        </is>
      </c>
      <c r="E640" t="inlineStr">
        <is>
          <t>HAGFORS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26760-2023</t>
        </is>
      </c>
      <c r="B641" s="1" t="n">
        <v>45093</v>
      </c>
      <c r="C641" s="1" t="n">
        <v>45842</v>
      </c>
      <c r="D641" t="inlineStr">
        <is>
          <t>VÄRMLANDS LÄN</t>
        </is>
      </c>
      <c r="E641" t="inlineStr">
        <is>
          <t>HAGFORS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26870-2023</t>
        </is>
      </c>
      <c r="B642" s="1" t="n">
        <v>45093</v>
      </c>
      <c r="C642" s="1" t="n">
        <v>45842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26790-2023</t>
        </is>
      </c>
      <c r="B643" s="1" t="n">
        <v>45093</v>
      </c>
      <c r="C643" s="1" t="n">
        <v>45842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27410-2023</t>
        </is>
      </c>
      <c r="B644" s="1" t="n">
        <v>45097</v>
      </c>
      <c r="C644" s="1" t="n">
        <v>45842</v>
      </c>
      <c r="D644" t="inlineStr">
        <is>
          <t>VÄRMLANDS LÄN</t>
        </is>
      </c>
      <c r="E644" t="inlineStr">
        <is>
          <t>HAGFORS</t>
        </is>
      </c>
      <c r="F644" t="inlineStr">
        <is>
          <t>Kyrkan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27972-2023</t>
        </is>
      </c>
      <c r="B645" s="1" t="n">
        <v>45098</v>
      </c>
      <c r="C645" s="1" t="n">
        <v>45842</v>
      </c>
      <c r="D645" t="inlineStr">
        <is>
          <t>VÄRMLANDS LÄN</t>
        </is>
      </c>
      <c r="E645" t="inlineStr">
        <is>
          <t>HAGFORS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28172-2023</t>
        </is>
      </c>
      <c r="B646" s="1" t="n">
        <v>45099</v>
      </c>
      <c r="C646" s="1" t="n">
        <v>45842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28225-2023</t>
        </is>
      </c>
      <c r="B647" s="1" t="n">
        <v>45099</v>
      </c>
      <c r="C647" s="1" t="n">
        <v>45842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28584-2023</t>
        </is>
      </c>
      <c r="B648" s="1" t="n">
        <v>45103</v>
      </c>
      <c r="C648" s="1" t="n">
        <v>45842</v>
      </c>
      <c r="D648" t="inlineStr">
        <is>
          <t>VÄRMLANDS LÄN</t>
        </is>
      </c>
      <c r="E648" t="inlineStr">
        <is>
          <t>HAGFORS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28594-2023</t>
        </is>
      </c>
      <c r="B649" s="1" t="n">
        <v>45103</v>
      </c>
      <c r="C649" s="1" t="n">
        <v>45842</v>
      </c>
      <c r="D649" t="inlineStr">
        <is>
          <t>VÄRMLANDS LÄN</t>
        </is>
      </c>
      <c r="E649" t="inlineStr">
        <is>
          <t>HAGFORS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28586-2023</t>
        </is>
      </c>
      <c r="B650" s="1" t="n">
        <v>45103</v>
      </c>
      <c r="C650" s="1" t="n">
        <v>45842</v>
      </c>
      <c r="D650" t="inlineStr">
        <is>
          <t>VÄRMLANDS LÄN</t>
        </is>
      </c>
      <c r="E650" t="inlineStr">
        <is>
          <t>HAGFORS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28654-2023</t>
        </is>
      </c>
      <c r="B651" s="1" t="n">
        <v>45103</v>
      </c>
      <c r="C651" s="1" t="n">
        <v>45842</v>
      </c>
      <c r="D651" t="inlineStr">
        <is>
          <t>VÄRMLANDS LÄN</t>
        </is>
      </c>
      <c r="E651" t="inlineStr">
        <is>
          <t>HAGFORS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28613-2023</t>
        </is>
      </c>
      <c r="B652" s="1" t="n">
        <v>45103</v>
      </c>
      <c r="C652" s="1" t="n">
        <v>45842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34.9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29202-2023</t>
        </is>
      </c>
      <c r="B653" s="1" t="n">
        <v>45105</v>
      </c>
      <c r="C653" s="1" t="n">
        <v>45842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9.6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29373-2023</t>
        </is>
      </c>
      <c r="B654" s="1" t="n">
        <v>45106</v>
      </c>
      <c r="C654" s="1" t="n">
        <v>45842</v>
      </c>
      <c r="D654" t="inlineStr">
        <is>
          <t>VÄRMLANDS LÄN</t>
        </is>
      </c>
      <c r="E654" t="inlineStr">
        <is>
          <t>HAGFORS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29372-2023</t>
        </is>
      </c>
      <c r="B655" s="1" t="n">
        <v>45106</v>
      </c>
      <c r="C655" s="1" t="n">
        <v>45842</v>
      </c>
      <c r="D655" t="inlineStr">
        <is>
          <t>VÄRMLANDS LÄN</t>
        </is>
      </c>
      <c r="E655" t="inlineStr">
        <is>
          <t>HAGFORS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29855-2023</t>
        </is>
      </c>
      <c r="B656" s="1" t="n">
        <v>45107</v>
      </c>
      <c r="C656" s="1" t="n">
        <v>45842</v>
      </c>
      <c r="D656" t="inlineStr">
        <is>
          <t>VÄRMLANDS LÄN</t>
        </is>
      </c>
      <c r="E656" t="inlineStr">
        <is>
          <t>HAGFORS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32149-2023</t>
        </is>
      </c>
      <c r="B657" s="1" t="n">
        <v>45107</v>
      </c>
      <c r="C657" s="1" t="n">
        <v>45842</v>
      </c>
      <c r="D657" t="inlineStr">
        <is>
          <t>VÄRMLANDS LÄN</t>
        </is>
      </c>
      <c r="E657" t="inlineStr">
        <is>
          <t>HAGFORS</t>
        </is>
      </c>
      <c r="G657" t="n">
        <v>9.1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32147-2023</t>
        </is>
      </c>
      <c r="B658" s="1" t="n">
        <v>45107</v>
      </c>
      <c r="C658" s="1" t="n">
        <v>45842</v>
      </c>
      <c r="D658" t="inlineStr">
        <is>
          <t>VÄRMLANDS LÄN</t>
        </is>
      </c>
      <c r="E658" t="inlineStr">
        <is>
          <t>HAGFORS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30180-2023</t>
        </is>
      </c>
      <c r="B659" s="1" t="n">
        <v>45110</v>
      </c>
      <c r="C659" s="1" t="n">
        <v>45842</v>
      </c>
      <c r="D659" t="inlineStr">
        <is>
          <t>VÄRMLANDS LÄN</t>
        </is>
      </c>
      <c r="E659" t="inlineStr">
        <is>
          <t>HAGFORS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30177-2023</t>
        </is>
      </c>
      <c r="B660" s="1" t="n">
        <v>45110</v>
      </c>
      <c r="C660" s="1" t="n">
        <v>45842</v>
      </c>
      <c r="D660" t="inlineStr">
        <is>
          <t>VÄRMLANDS LÄN</t>
        </is>
      </c>
      <c r="E660" t="inlineStr">
        <is>
          <t>HAGFORS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32401-2023</t>
        </is>
      </c>
      <c r="B661" s="1" t="n">
        <v>45110</v>
      </c>
      <c r="C661" s="1" t="n">
        <v>45842</v>
      </c>
      <c r="D661" t="inlineStr">
        <is>
          <t>VÄRMLANDS LÄN</t>
        </is>
      </c>
      <c r="E661" t="inlineStr">
        <is>
          <t>HAGFORS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30336-2023</t>
        </is>
      </c>
      <c r="B662" s="1" t="n">
        <v>45111</v>
      </c>
      <c r="C662" s="1" t="n">
        <v>45842</v>
      </c>
      <c r="D662" t="inlineStr">
        <is>
          <t>VÄRMLANDS LÄN</t>
        </is>
      </c>
      <c r="E662" t="inlineStr">
        <is>
          <t>HAGFORS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32695-2023</t>
        </is>
      </c>
      <c r="B663" s="1" t="n">
        <v>45112</v>
      </c>
      <c r="C663" s="1" t="n">
        <v>45842</v>
      </c>
      <c r="D663" t="inlineStr">
        <is>
          <t>VÄRMLANDS LÄN</t>
        </is>
      </c>
      <c r="E663" t="inlineStr">
        <is>
          <t>HAGFORS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32696-2023</t>
        </is>
      </c>
      <c r="B664" s="1" t="n">
        <v>45112</v>
      </c>
      <c r="C664" s="1" t="n">
        <v>45842</v>
      </c>
      <c r="D664" t="inlineStr">
        <is>
          <t>VÄRMLANDS LÄN</t>
        </is>
      </c>
      <c r="E664" t="inlineStr">
        <is>
          <t>HAGFORS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32697-2023</t>
        </is>
      </c>
      <c r="B665" s="1" t="n">
        <v>45112</v>
      </c>
      <c r="C665" s="1" t="n">
        <v>45842</v>
      </c>
      <c r="D665" t="inlineStr">
        <is>
          <t>VÄRMLANDS LÄN</t>
        </is>
      </c>
      <c r="E665" t="inlineStr">
        <is>
          <t>HAGFORS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31097-2023</t>
        </is>
      </c>
      <c r="B666" s="1" t="n">
        <v>45113</v>
      </c>
      <c r="C666" s="1" t="n">
        <v>45842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31583-2023</t>
        </is>
      </c>
      <c r="B667" s="1" t="n">
        <v>45117</v>
      </c>
      <c r="C667" s="1" t="n">
        <v>45842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31826-2023</t>
        </is>
      </c>
      <c r="B668" s="1" t="n">
        <v>45118</v>
      </c>
      <c r="C668" s="1" t="n">
        <v>45842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32083-2023</t>
        </is>
      </c>
      <c r="B669" s="1" t="n">
        <v>45119</v>
      </c>
      <c r="C669" s="1" t="n">
        <v>45842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32627-2023</t>
        </is>
      </c>
      <c r="B670" s="1" t="n">
        <v>45121</v>
      </c>
      <c r="C670" s="1" t="n">
        <v>45842</v>
      </c>
      <c r="D670" t="inlineStr">
        <is>
          <t>VÄRMLANDS LÄN</t>
        </is>
      </c>
      <c r="E670" t="inlineStr">
        <is>
          <t>HAGFORS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34404-2023</t>
        </is>
      </c>
      <c r="B671" s="1" t="n">
        <v>45132</v>
      </c>
      <c r="C671" s="1" t="n">
        <v>45842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34529-2023</t>
        </is>
      </c>
      <c r="B672" s="1" t="n">
        <v>45140</v>
      </c>
      <c r="C672" s="1" t="n">
        <v>45842</v>
      </c>
      <c r="D672" t="inlineStr">
        <is>
          <t>VÄRMLANDS LÄN</t>
        </is>
      </c>
      <c r="E672" t="inlineStr">
        <is>
          <t>HAGFORS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34788-2023</t>
        </is>
      </c>
      <c r="B673" s="1" t="n">
        <v>45141</v>
      </c>
      <c r="C673" s="1" t="n">
        <v>45842</v>
      </c>
      <c r="D673" t="inlineStr">
        <is>
          <t>VÄRMLANDS LÄN</t>
        </is>
      </c>
      <c r="E673" t="inlineStr">
        <is>
          <t>HAGFORS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34975-2023</t>
        </is>
      </c>
      <c r="B674" s="1" t="n">
        <v>45142</v>
      </c>
      <c r="C674" s="1" t="n">
        <v>45842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35065-2023</t>
        </is>
      </c>
      <c r="B675" s="1" t="n">
        <v>45145</v>
      </c>
      <c r="C675" s="1" t="n">
        <v>45842</v>
      </c>
      <c r="D675" t="inlineStr">
        <is>
          <t>VÄRMLANDS LÄN</t>
        </is>
      </c>
      <c r="E675" t="inlineStr">
        <is>
          <t>HAGFORS</t>
        </is>
      </c>
      <c r="G675" t="n">
        <v>13.5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35126-2023</t>
        </is>
      </c>
      <c r="B676" s="1" t="n">
        <v>45145</v>
      </c>
      <c r="C676" s="1" t="n">
        <v>45842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35664-2023</t>
        </is>
      </c>
      <c r="B677" s="1" t="n">
        <v>45147</v>
      </c>
      <c r="C677" s="1" t="n">
        <v>45842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35668-2023</t>
        </is>
      </c>
      <c r="B678" s="1" t="n">
        <v>45147</v>
      </c>
      <c r="C678" s="1" t="n">
        <v>45842</v>
      </c>
      <c r="D678" t="inlineStr">
        <is>
          <t>VÄRMLANDS LÄN</t>
        </is>
      </c>
      <c r="E678" t="inlineStr">
        <is>
          <t>HAGFORS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35657-2023</t>
        </is>
      </c>
      <c r="B679" s="1" t="n">
        <v>45147</v>
      </c>
      <c r="C679" s="1" t="n">
        <v>45842</v>
      </c>
      <c r="D679" t="inlineStr">
        <is>
          <t>VÄRMLANDS LÄN</t>
        </is>
      </c>
      <c r="E679" t="inlineStr">
        <is>
          <t>HAGFORS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35886-2023</t>
        </is>
      </c>
      <c r="B680" s="1" t="n">
        <v>45148</v>
      </c>
      <c r="C680" s="1" t="n">
        <v>45842</v>
      </c>
      <c r="D680" t="inlineStr">
        <is>
          <t>VÄRMLANDS LÄN</t>
        </is>
      </c>
      <c r="E680" t="inlineStr">
        <is>
          <t>HAGFORS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35883-2023</t>
        </is>
      </c>
      <c r="B681" s="1" t="n">
        <v>45148</v>
      </c>
      <c r="C681" s="1" t="n">
        <v>45842</v>
      </c>
      <c r="D681" t="inlineStr">
        <is>
          <t>VÄRMLANDS LÄN</t>
        </is>
      </c>
      <c r="E681" t="inlineStr">
        <is>
          <t>HAGFORS</t>
        </is>
      </c>
      <c r="G681" t="n">
        <v>11.3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35888-2023</t>
        </is>
      </c>
      <c r="B682" s="1" t="n">
        <v>45148</v>
      </c>
      <c r="C682" s="1" t="n">
        <v>45842</v>
      </c>
      <c r="D682" t="inlineStr">
        <is>
          <t>VÄRMLANDS LÄN</t>
        </is>
      </c>
      <c r="E682" t="inlineStr">
        <is>
          <t>HAGFORS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36030-2023</t>
        </is>
      </c>
      <c r="B683" s="1" t="n">
        <v>45149</v>
      </c>
      <c r="C683" s="1" t="n">
        <v>45842</v>
      </c>
      <c r="D683" t="inlineStr">
        <is>
          <t>VÄRMLANDS LÄN</t>
        </is>
      </c>
      <c r="E683" t="inlineStr">
        <is>
          <t>HAGFORS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36023-2023</t>
        </is>
      </c>
      <c r="B684" s="1" t="n">
        <v>45149</v>
      </c>
      <c r="C684" s="1" t="n">
        <v>45842</v>
      </c>
      <c r="D684" t="inlineStr">
        <is>
          <t>VÄRMLANDS LÄN</t>
        </is>
      </c>
      <c r="E684" t="inlineStr">
        <is>
          <t>HAGFORS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36013-2023</t>
        </is>
      </c>
      <c r="B685" s="1" t="n">
        <v>45149</v>
      </c>
      <c r="C685" s="1" t="n">
        <v>45842</v>
      </c>
      <c r="D685" t="inlineStr">
        <is>
          <t>VÄRMLANDS LÄN</t>
        </is>
      </c>
      <c r="E685" t="inlineStr">
        <is>
          <t>HAGFORS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36152-2023</t>
        </is>
      </c>
      <c r="B686" s="1" t="n">
        <v>45149</v>
      </c>
      <c r="C686" s="1" t="n">
        <v>45842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36293-2023</t>
        </is>
      </c>
      <c r="B687" s="1" t="n">
        <v>45152</v>
      </c>
      <c r="C687" s="1" t="n">
        <v>45842</v>
      </c>
      <c r="D687" t="inlineStr">
        <is>
          <t>VÄRMLANDS LÄN</t>
        </is>
      </c>
      <c r="E687" t="inlineStr">
        <is>
          <t>HAGFORS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36360-2023</t>
        </is>
      </c>
      <c r="B688" s="1" t="n">
        <v>45152</v>
      </c>
      <c r="C688" s="1" t="n">
        <v>45842</v>
      </c>
      <c r="D688" t="inlineStr">
        <is>
          <t>VÄRMLANDS LÄN</t>
        </is>
      </c>
      <c r="E688" t="inlineStr">
        <is>
          <t>HAGFORS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36454-2023</t>
        </is>
      </c>
      <c r="B689" s="1" t="n">
        <v>45152</v>
      </c>
      <c r="C689" s="1" t="n">
        <v>45842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36872-2023</t>
        </is>
      </c>
      <c r="B690" s="1" t="n">
        <v>45154</v>
      </c>
      <c r="C690" s="1" t="n">
        <v>45842</v>
      </c>
      <c r="D690" t="inlineStr">
        <is>
          <t>VÄRMLANDS LÄN</t>
        </is>
      </c>
      <c r="E690" t="inlineStr">
        <is>
          <t>HAGFORS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36821-2023</t>
        </is>
      </c>
      <c r="B691" s="1" t="n">
        <v>45154</v>
      </c>
      <c r="C691" s="1" t="n">
        <v>45842</v>
      </c>
      <c r="D691" t="inlineStr">
        <is>
          <t>VÄRMLANDS LÄN</t>
        </is>
      </c>
      <c r="E691" t="inlineStr">
        <is>
          <t>HAGFORS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37085-2023</t>
        </is>
      </c>
      <c r="B692" s="1" t="n">
        <v>45155</v>
      </c>
      <c r="C692" s="1" t="n">
        <v>45842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37135-2023</t>
        </is>
      </c>
      <c r="B693" s="1" t="n">
        <v>45155</v>
      </c>
      <c r="C693" s="1" t="n">
        <v>45842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37108-2023</t>
        </is>
      </c>
      <c r="B694" s="1" t="n">
        <v>45155</v>
      </c>
      <c r="C694" s="1" t="n">
        <v>45842</v>
      </c>
      <c r="D694" t="inlineStr">
        <is>
          <t>VÄRMLANDS LÄN</t>
        </is>
      </c>
      <c r="E694" t="inlineStr">
        <is>
          <t>HAGFORS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37152-2023</t>
        </is>
      </c>
      <c r="B695" s="1" t="n">
        <v>45155</v>
      </c>
      <c r="C695" s="1" t="n">
        <v>45842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38205-2023</t>
        </is>
      </c>
      <c r="B696" s="1" t="n">
        <v>45161</v>
      </c>
      <c r="C696" s="1" t="n">
        <v>45842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38555-2023</t>
        </is>
      </c>
      <c r="B697" s="1" t="n">
        <v>45162</v>
      </c>
      <c r="C697" s="1" t="n">
        <v>45842</v>
      </c>
      <c r="D697" t="inlineStr">
        <is>
          <t>VÄRMLANDS LÄN</t>
        </is>
      </c>
      <c r="E697" t="inlineStr">
        <is>
          <t>HAGFORS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38612-2023</t>
        </is>
      </c>
      <c r="B698" s="1" t="n">
        <v>45162</v>
      </c>
      <c r="C698" s="1" t="n">
        <v>45842</v>
      </c>
      <c r="D698" t="inlineStr">
        <is>
          <t>VÄRMLANDS LÄN</t>
        </is>
      </c>
      <c r="E698" t="inlineStr">
        <is>
          <t>HAGFORS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38876-2023</t>
        </is>
      </c>
      <c r="B699" s="1" t="n">
        <v>45163</v>
      </c>
      <c r="C699" s="1" t="n">
        <v>45842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38923-2023</t>
        </is>
      </c>
      <c r="B700" s="1" t="n">
        <v>45163</v>
      </c>
      <c r="C700" s="1" t="n">
        <v>45842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38982-2023</t>
        </is>
      </c>
      <c r="B701" s="1" t="n">
        <v>45163</v>
      </c>
      <c r="C701" s="1" t="n">
        <v>45842</v>
      </c>
      <c r="D701" t="inlineStr">
        <is>
          <t>VÄRMLANDS LÄN</t>
        </is>
      </c>
      <c r="E701" t="inlineStr">
        <is>
          <t>HAGFORS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39293-2023</t>
        </is>
      </c>
      <c r="B702" s="1" t="n">
        <v>45166</v>
      </c>
      <c r="C702" s="1" t="n">
        <v>45842</v>
      </c>
      <c r="D702" t="inlineStr">
        <is>
          <t>VÄRMLANDS LÄN</t>
        </is>
      </c>
      <c r="E702" t="inlineStr">
        <is>
          <t>HAGFORS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39358-2023</t>
        </is>
      </c>
      <c r="B703" s="1" t="n">
        <v>45166</v>
      </c>
      <c r="C703" s="1" t="n">
        <v>45842</v>
      </c>
      <c r="D703" t="inlineStr">
        <is>
          <t>VÄRMLANDS LÄN</t>
        </is>
      </c>
      <c r="E703" t="inlineStr">
        <is>
          <t>HAGFORS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39396-2023</t>
        </is>
      </c>
      <c r="B704" s="1" t="n">
        <v>45166</v>
      </c>
      <c r="C704" s="1" t="n">
        <v>45842</v>
      </c>
      <c r="D704" t="inlineStr">
        <is>
          <t>VÄRMLANDS LÄN</t>
        </is>
      </c>
      <c r="E704" t="inlineStr">
        <is>
          <t>HAGFORS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40332-2023</t>
        </is>
      </c>
      <c r="B705" s="1" t="n">
        <v>45169</v>
      </c>
      <c r="C705" s="1" t="n">
        <v>45842</v>
      </c>
      <c r="D705" t="inlineStr">
        <is>
          <t>VÄRMLANDS LÄN</t>
        </is>
      </c>
      <c r="E705" t="inlineStr">
        <is>
          <t>HAGFORS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40316-2023</t>
        </is>
      </c>
      <c r="B706" s="1" t="n">
        <v>45169</v>
      </c>
      <c r="C706" s="1" t="n">
        <v>45842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9.800000000000001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40537-2023</t>
        </is>
      </c>
      <c r="B707" s="1" t="n">
        <v>45170</v>
      </c>
      <c r="C707" s="1" t="n">
        <v>45842</v>
      </c>
      <c r="D707" t="inlineStr">
        <is>
          <t>VÄRMLANDS LÄN</t>
        </is>
      </c>
      <c r="E707" t="inlineStr">
        <is>
          <t>HAGFORS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40835-2023</t>
        </is>
      </c>
      <c r="B708" s="1" t="n">
        <v>45172</v>
      </c>
      <c r="C708" s="1" t="n">
        <v>45842</v>
      </c>
      <c r="D708" t="inlineStr">
        <is>
          <t>VÄRMLANDS LÄN</t>
        </is>
      </c>
      <c r="E708" t="inlineStr">
        <is>
          <t>HAGFORS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41608-2023</t>
        </is>
      </c>
      <c r="B709" s="1" t="n">
        <v>45173</v>
      </c>
      <c r="C709" s="1" t="n">
        <v>45842</v>
      </c>
      <c r="D709" t="inlineStr">
        <is>
          <t>VÄRMLANDS LÄN</t>
        </is>
      </c>
      <c r="E709" t="inlineStr">
        <is>
          <t>HAGFORS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41189-2023</t>
        </is>
      </c>
      <c r="B710" s="1" t="n">
        <v>45174</v>
      </c>
      <c r="C710" s="1" t="n">
        <v>45842</v>
      </c>
      <c r="D710" t="inlineStr">
        <is>
          <t>VÄRMLANDS LÄN</t>
        </is>
      </c>
      <c r="E710" t="inlineStr">
        <is>
          <t>HAGFORS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41603-2023</t>
        </is>
      </c>
      <c r="B711" s="1" t="n">
        <v>45175</v>
      </c>
      <c r="C711" s="1" t="n">
        <v>45842</v>
      </c>
      <c r="D711" t="inlineStr">
        <is>
          <t>VÄRMLANDS LÄN</t>
        </is>
      </c>
      <c r="E711" t="inlineStr">
        <is>
          <t>HAGFORS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42735-2023</t>
        </is>
      </c>
      <c r="B712" s="1" t="n">
        <v>45181</v>
      </c>
      <c r="C712" s="1" t="n">
        <v>45842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42913-2023</t>
        </is>
      </c>
      <c r="B713" s="1" t="n">
        <v>45182</v>
      </c>
      <c r="C713" s="1" t="n">
        <v>45842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42867-2023</t>
        </is>
      </c>
      <c r="B714" s="1" t="n">
        <v>45182</v>
      </c>
      <c r="C714" s="1" t="n">
        <v>45842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43015-2023</t>
        </is>
      </c>
      <c r="B715" s="1" t="n">
        <v>45182</v>
      </c>
      <c r="C715" s="1" t="n">
        <v>45842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44118-2023</t>
        </is>
      </c>
      <c r="B716" s="1" t="n">
        <v>45182</v>
      </c>
      <c r="C716" s="1" t="n">
        <v>45842</v>
      </c>
      <c r="D716" t="inlineStr">
        <is>
          <t>VÄRMLANDS LÄN</t>
        </is>
      </c>
      <c r="E716" t="inlineStr">
        <is>
          <t>HAGFORS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44091-2023</t>
        </is>
      </c>
      <c r="B717" s="1" t="n">
        <v>45182</v>
      </c>
      <c r="C717" s="1" t="n">
        <v>45842</v>
      </c>
      <c r="D717" t="inlineStr">
        <is>
          <t>VÄRMLANDS LÄN</t>
        </is>
      </c>
      <c r="E717" t="inlineStr">
        <is>
          <t>HAGFORS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43448-2023</t>
        </is>
      </c>
      <c r="B718" s="1" t="n">
        <v>45184</v>
      </c>
      <c r="C718" s="1" t="n">
        <v>45842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43892-2023</t>
        </is>
      </c>
      <c r="B719" s="1" t="n">
        <v>45187</v>
      </c>
      <c r="C719" s="1" t="n">
        <v>45842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44606-2023</t>
        </is>
      </c>
      <c r="B720" s="1" t="n">
        <v>45189</v>
      </c>
      <c r="C720" s="1" t="n">
        <v>45842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31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44728-2023</t>
        </is>
      </c>
      <c r="B721" s="1" t="n">
        <v>45190</v>
      </c>
      <c r="C721" s="1" t="n">
        <v>45842</v>
      </c>
      <c r="D721" t="inlineStr">
        <is>
          <t>VÄRMLANDS LÄN</t>
        </is>
      </c>
      <c r="E721" t="inlineStr">
        <is>
          <t>HAGFORS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44900-2023</t>
        </is>
      </c>
      <c r="B722" s="1" t="n">
        <v>45190</v>
      </c>
      <c r="C722" s="1" t="n">
        <v>45842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44835-2023</t>
        </is>
      </c>
      <c r="B723" s="1" t="n">
        <v>45190</v>
      </c>
      <c r="C723" s="1" t="n">
        <v>45842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45104-2023</t>
        </is>
      </c>
      <c r="B724" s="1" t="n">
        <v>45191</v>
      </c>
      <c r="C724" s="1" t="n">
        <v>45842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45177-2023</t>
        </is>
      </c>
      <c r="B725" s="1" t="n">
        <v>45191</v>
      </c>
      <c r="C725" s="1" t="n">
        <v>45842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45282-2023</t>
        </is>
      </c>
      <c r="B726" s="1" t="n">
        <v>45191</v>
      </c>
      <c r="C726" s="1" t="n">
        <v>45842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45870-2023</t>
        </is>
      </c>
      <c r="B727" s="1" t="n">
        <v>45195</v>
      </c>
      <c r="C727" s="1" t="n">
        <v>45842</v>
      </c>
      <c r="D727" t="inlineStr">
        <is>
          <t>VÄRMLANDS LÄN</t>
        </is>
      </c>
      <c r="E727" t="inlineStr">
        <is>
          <t>HAGFORS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45712-2023</t>
        </is>
      </c>
      <c r="B728" s="1" t="n">
        <v>45195</v>
      </c>
      <c r="C728" s="1" t="n">
        <v>45842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45851-2023</t>
        </is>
      </c>
      <c r="B729" s="1" t="n">
        <v>45195</v>
      </c>
      <c r="C729" s="1" t="n">
        <v>45842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46109-2023</t>
        </is>
      </c>
      <c r="B730" s="1" t="n">
        <v>45196</v>
      </c>
      <c r="C730" s="1" t="n">
        <v>45842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46208-2023</t>
        </is>
      </c>
      <c r="B731" s="1" t="n">
        <v>45196</v>
      </c>
      <c r="C731" s="1" t="n">
        <v>45842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46475-2023</t>
        </is>
      </c>
      <c r="B732" s="1" t="n">
        <v>45197</v>
      </c>
      <c r="C732" s="1" t="n">
        <v>45842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46512-2023</t>
        </is>
      </c>
      <c r="B733" s="1" t="n">
        <v>45197</v>
      </c>
      <c r="C733" s="1" t="n">
        <v>45842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46330-2023</t>
        </is>
      </c>
      <c r="B734" s="1" t="n">
        <v>45197</v>
      </c>
      <c r="C734" s="1" t="n">
        <v>45842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47019-2023</t>
        </is>
      </c>
      <c r="B735" s="1" t="n">
        <v>45201</v>
      </c>
      <c r="C735" s="1" t="n">
        <v>45842</v>
      </c>
      <c r="D735" t="inlineStr">
        <is>
          <t>VÄRMLANDS LÄN</t>
        </is>
      </c>
      <c r="E735" t="inlineStr">
        <is>
          <t>HAGFORS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47020-2023</t>
        </is>
      </c>
      <c r="B736" s="1" t="n">
        <v>45201</v>
      </c>
      <c r="C736" s="1" t="n">
        <v>45842</v>
      </c>
      <c r="D736" t="inlineStr">
        <is>
          <t>VÄRMLANDS LÄN</t>
        </is>
      </c>
      <c r="E736" t="inlineStr">
        <is>
          <t>HAGFORS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47027-2023</t>
        </is>
      </c>
      <c r="B737" s="1" t="n">
        <v>45201</v>
      </c>
      <c r="C737" s="1" t="n">
        <v>45842</v>
      </c>
      <c r="D737" t="inlineStr">
        <is>
          <t>VÄRMLANDS LÄN</t>
        </is>
      </c>
      <c r="E737" t="inlineStr">
        <is>
          <t>HAGFORS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47033-2023</t>
        </is>
      </c>
      <c r="B738" s="1" t="n">
        <v>45201</v>
      </c>
      <c r="C738" s="1" t="n">
        <v>45842</v>
      </c>
      <c r="D738" t="inlineStr">
        <is>
          <t>VÄRMLANDS LÄN</t>
        </is>
      </c>
      <c r="E738" t="inlineStr">
        <is>
          <t>HAGFORS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47017-2023</t>
        </is>
      </c>
      <c r="B739" s="1" t="n">
        <v>45201</v>
      </c>
      <c r="C739" s="1" t="n">
        <v>45842</v>
      </c>
      <c r="D739" t="inlineStr">
        <is>
          <t>VÄRMLANDS LÄN</t>
        </is>
      </c>
      <c r="E739" t="inlineStr">
        <is>
          <t>HAGFORS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47021-2023</t>
        </is>
      </c>
      <c r="B740" s="1" t="n">
        <v>45201</v>
      </c>
      <c r="C740" s="1" t="n">
        <v>45842</v>
      </c>
      <c r="D740" t="inlineStr">
        <is>
          <t>VÄRMLANDS LÄN</t>
        </is>
      </c>
      <c r="E740" t="inlineStr">
        <is>
          <t>HAGFORS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47028-2023</t>
        </is>
      </c>
      <c r="B741" s="1" t="n">
        <v>45201</v>
      </c>
      <c r="C741" s="1" t="n">
        <v>45842</v>
      </c>
      <c r="D741" t="inlineStr">
        <is>
          <t>VÄRMLANDS LÄN</t>
        </is>
      </c>
      <c r="E741" t="inlineStr">
        <is>
          <t>HAGFORS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46922-2023</t>
        </is>
      </c>
      <c r="B742" s="1" t="n">
        <v>45201</v>
      </c>
      <c r="C742" s="1" t="n">
        <v>45842</v>
      </c>
      <c r="D742" t="inlineStr">
        <is>
          <t>VÄRMLANDS LÄN</t>
        </is>
      </c>
      <c r="E742" t="inlineStr">
        <is>
          <t>HAGFORS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47029-2023</t>
        </is>
      </c>
      <c r="B743" s="1" t="n">
        <v>45201</v>
      </c>
      <c r="C743" s="1" t="n">
        <v>45842</v>
      </c>
      <c r="D743" t="inlineStr">
        <is>
          <t>VÄRMLANDS LÄN</t>
        </is>
      </c>
      <c r="E743" t="inlineStr">
        <is>
          <t>HAGFORS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47372-2023</t>
        </is>
      </c>
      <c r="B744" s="1" t="n">
        <v>45202</v>
      </c>
      <c r="C744" s="1" t="n">
        <v>45842</v>
      </c>
      <c r="D744" t="inlineStr">
        <is>
          <t>VÄRMLANDS LÄN</t>
        </is>
      </c>
      <c r="E744" t="inlineStr">
        <is>
          <t>HAGFORS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47439-2023</t>
        </is>
      </c>
      <c r="B745" s="1" t="n">
        <v>45202</v>
      </c>
      <c r="C745" s="1" t="n">
        <v>45842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47443-2023</t>
        </is>
      </c>
      <c r="B746" s="1" t="n">
        <v>45202</v>
      </c>
      <c r="C746" s="1" t="n">
        <v>45842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47578-2023</t>
        </is>
      </c>
      <c r="B747" s="1" t="n">
        <v>45203</v>
      </c>
      <c r="C747" s="1" t="n">
        <v>45842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9.199999999999999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47660-2023</t>
        </is>
      </c>
      <c r="B748" s="1" t="n">
        <v>45203</v>
      </c>
      <c r="C748" s="1" t="n">
        <v>45842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47732-2023</t>
        </is>
      </c>
      <c r="B749" s="1" t="n">
        <v>45203</v>
      </c>
      <c r="C749" s="1" t="n">
        <v>45842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47516-2023</t>
        </is>
      </c>
      <c r="B750" s="1" t="n">
        <v>45203</v>
      </c>
      <c r="C750" s="1" t="n">
        <v>45842</v>
      </c>
      <c r="D750" t="inlineStr">
        <is>
          <t>VÄRMLANDS LÄN</t>
        </is>
      </c>
      <c r="E750" t="inlineStr">
        <is>
          <t>HAGFORS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47797-2023</t>
        </is>
      </c>
      <c r="B751" s="1" t="n">
        <v>45204</v>
      </c>
      <c r="C751" s="1" t="n">
        <v>45842</v>
      </c>
      <c r="D751" t="inlineStr">
        <is>
          <t>VÄRMLANDS LÄN</t>
        </is>
      </c>
      <c r="E751" t="inlineStr">
        <is>
          <t>HAGFORS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47944-2023</t>
        </is>
      </c>
      <c r="B752" s="1" t="n">
        <v>45204</v>
      </c>
      <c r="C752" s="1" t="n">
        <v>45842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48018-2023</t>
        </is>
      </c>
      <c r="B753" s="1" t="n">
        <v>45204</v>
      </c>
      <c r="C753" s="1" t="n">
        <v>45842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48141-2023</t>
        </is>
      </c>
      <c r="B754" s="1" t="n">
        <v>45205</v>
      </c>
      <c r="C754" s="1" t="n">
        <v>45842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48660-2023</t>
        </is>
      </c>
      <c r="B755" s="1" t="n">
        <v>45208</v>
      </c>
      <c r="C755" s="1" t="n">
        <v>45842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9.9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48635-2023</t>
        </is>
      </c>
      <c r="B756" s="1" t="n">
        <v>45208</v>
      </c>
      <c r="C756" s="1" t="n">
        <v>45842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48820-2023</t>
        </is>
      </c>
      <c r="B757" s="1" t="n">
        <v>45209</v>
      </c>
      <c r="C757" s="1" t="n">
        <v>45842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48928-2023</t>
        </is>
      </c>
      <c r="B758" s="1" t="n">
        <v>45209</v>
      </c>
      <c r="C758" s="1" t="n">
        <v>45842</v>
      </c>
      <c r="D758" t="inlineStr">
        <is>
          <t>VÄRMLANDS LÄN</t>
        </is>
      </c>
      <c r="E758" t="inlineStr">
        <is>
          <t>HAGFORS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49585-2023</t>
        </is>
      </c>
      <c r="B759" s="1" t="n">
        <v>45211</v>
      </c>
      <c r="C759" s="1" t="n">
        <v>45842</v>
      </c>
      <c r="D759" t="inlineStr">
        <is>
          <t>VÄRMLANDS LÄN</t>
        </is>
      </c>
      <c r="E759" t="inlineStr">
        <is>
          <t>HAGFORS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50931-2023</t>
        </is>
      </c>
      <c r="B760" s="1" t="n">
        <v>45211</v>
      </c>
      <c r="C760" s="1" t="n">
        <v>45842</v>
      </c>
      <c r="D760" t="inlineStr">
        <is>
          <t>VÄRMLANDS LÄN</t>
        </is>
      </c>
      <c r="E760" t="inlineStr">
        <is>
          <t>HAGFORS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50929-2023</t>
        </is>
      </c>
      <c r="B761" s="1" t="n">
        <v>45211</v>
      </c>
      <c r="C761" s="1" t="n">
        <v>45842</v>
      </c>
      <c r="D761" t="inlineStr">
        <is>
          <t>VÄRMLANDS LÄN</t>
        </is>
      </c>
      <c r="E761" t="inlineStr">
        <is>
          <t>HAGFORS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50933-2023</t>
        </is>
      </c>
      <c r="B762" s="1" t="n">
        <v>45211</v>
      </c>
      <c r="C762" s="1" t="n">
        <v>45842</v>
      </c>
      <c r="D762" t="inlineStr">
        <is>
          <t>VÄRMLANDS LÄN</t>
        </is>
      </c>
      <c r="E762" t="inlineStr">
        <is>
          <t>HAGFORS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50922-2023</t>
        </is>
      </c>
      <c r="B763" s="1" t="n">
        <v>45211</v>
      </c>
      <c r="C763" s="1" t="n">
        <v>45842</v>
      </c>
      <c r="D763" t="inlineStr">
        <is>
          <t>VÄRMLANDS LÄN</t>
        </is>
      </c>
      <c r="E763" t="inlineStr">
        <is>
          <t>HAGFORS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49732-2023</t>
        </is>
      </c>
      <c r="B764" s="1" t="n">
        <v>45212</v>
      </c>
      <c r="C764" s="1" t="n">
        <v>45842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49766-2023</t>
        </is>
      </c>
      <c r="B765" s="1" t="n">
        <v>45212</v>
      </c>
      <c r="C765" s="1" t="n">
        <v>45842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49753-2023</t>
        </is>
      </c>
      <c r="B766" s="1" t="n">
        <v>45212</v>
      </c>
      <c r="C766" s="1" t="n">
        <v>45842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49773-2023</t>
        </is>
      </c>
      <c r="B767" s="1" t="n">
        <v>45212</v>
      </c>
      <c r="C767" s="1" t="n">
        <v>45842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50199-2023</t>
        </is>
      </c>
      <c r="B768" s="1" t="n">
        <v>45215</v>
      </c>
      <c r="C768" s="1" t="n">
        <v>45842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50318-2023</t>
        </is>
      </c>
      <c r="B769" s="1" t="n">
        <v>45216</v>
      </c>
      <c r="C769" s="1" t="n">
        <v>45842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50253-2023</t>
        </is>
      </c>
      <c r="B770" s="1" t="n">
        <v>45216</v>
      </c>
      <c r="C770" s="1" t="n">
        <v>45842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50337-2023</t>
        </is>
      </c>
      <c r="B771" s="1" t="n">
        <v>45216</v>
      </c>
      <c r="C771" s="1" t="n">
        <v>45842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50618-2023</t>
        </is>
      </c>
      <c r="B772" s="1" t="n">
        <v>45217</v>
      </c>
      <c r="C772" s="1" t="n">
        <v>45842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50538-2023</t>
        </is>
      </c>
      <c r="B773" s="1" t="n">
        <v>45217</v>
      </c>
      <c r="C773" s="1" t="n">
        <v>45842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50605-2023</t>
        </is>
      </c>
      <c r="B774" s="1" t="n">
        <v>45217</v>
      </c>
      <c r="C774" s="1" t="n">
        <v>45842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50614-2023</t>
        </is>
      </c>
      <c r="B775" s="1" t="n">
        <v>45217</v>
      </c>
      <c r="C775" s="1" t="n">
        <v>45842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50686-2023</t>
        </is>
      </c>
      <c r="B776" s="1" t="n">
        <v>45217</v>
      </c>
      <c r="C776" s="1" t="n">
        <v>45842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50820-2023</t>
        </is>
      </c>
      <c r="B777" s="1" t="n">
        <v>45217</v>
      </c>
      <c r="C777" s="1" t="n">
        <v>45842</v>
      </c>
      <c r="D777" t="inlineStr">
        <is>
          <t>VÄRMLANDS LÄN</t>
        </is>
      </c>
      <c r="E777" t="inlineStr">
        <is>
          <t>HAGFORS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51302-2023</t>
        </is>
      </c>
      <c r="B778" s="1" t="n">
        <v>45219</v>
      </c>
      <c r="C778" s="1" t="n">
        <v>45842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51296-2023</t>
        </is>
      </c>
      <c r="B779" s="1" t="n">
        <v>45219</v>
      </c>
      <c r="C779" s="1" t="n">
        <v>45842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51304-2023</t>
        </is>
      </c>
      <c r="B780" s="1" t="n">
        <v>45219</v>
      </c>
      <c r="C780" s="1" t="n">
        <v>45842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51258-2023</t>
        </is>
      </c>
      <c r="B781" s="1" t="n">
        <v>45219</v>
      </c>
      <c r="C781" s="1" t="n">
        <v>45842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51225-2023</t>
        </is>
      </c>
      <c r="B782" s="1" t="n">
        <v>45219</v>
      </c>
      <c r="C782" s="1" t="n">
        <v>45842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9.4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51229-2023</t>
        </is>
      </c>
      <c r="B783" s="1" t="n">
        <v>45219</v>
      </c>
      <c r="C783" s="1" t="n">
        <v>45842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51307-2023</t>
        </is>
      </c>
      <c r="B784" s="1" t="n">
        <v>45219</v>
      </c>
      <c r="C784" s="1" t="n">
        <v>45842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9.9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51299-2023</t>
        </is>
      </c>
      <c r="B785" s="1" t="n">
        <v>45219</v>
      </c>
      <c r="C785" s="1" t="n">
        <v>45842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51679-2023</t>
        </is>
      </c>
      <c r="B786" s="1" t="n">
        <v>45222</v>
      </c>
      <c r="C786" s="1" t="n">
        <v>45842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51891-2023</t>
        </is>
      </c>
      <c r="B787" s="1" t="n">
        <v>45223</v>
      </c>
      <c r="C787" s="1" t="n">
        <v>45842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51915-2023</t>
        </is>
      </c>
      <c r="B788" s="1" t="n">
        <v>45223</v>
      </c>
      <c r="C788" s="1" t="n">
        <v>45842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52255-2023</t>
        </is>
      </c>
      <c r="B789" s="1" t="n">
        <v>45224</v>
      </c>
      <c r="C789" s="1" t="n">
        <v>45842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52224-2023</t>
        </is>
      </c>
      <c r="B790" s="1" t="n">
        <v>45224</v>
      </c>
      <c r="C790" s="1" t="n">
        <v>45842</v>
      </c>
      <c r="D790" t="inlineStr">
        <is>
          <t>VÄRMLANDS LÄN</t>
        </is>
      </c>
      <c r="E790" t="inlineStr">
        <is>
          <t>HAGFORS</t>
        </is>
      </c>
      <c r="G790" t="n">
        <v>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52824-2023</t>
        </is>
      </c>
      <c r="B791" s="1" t="n">
        <v>45226</v>
      </c>
      <c r="C791" s="1" t="n">
        <v>45842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52828-2023</t>
        </is>
      </c>
      <c r="B792" s="1" t="n">
        <v>45226</v>
      </c>
      <c r="C792" s="1" t="n">
        <v>45842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52923-2023</t>
        </is>
      </c>
      <c r="B793" s="1" t="n">
        <v>45226</v>
      </c>
      <c r="C793" s="1" t="n">
        <v>45842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52924-2023</t>
        </is>
      </c>
      <c r="B794" s="1" t="n">
        <v>45226</v>
      </c>
      <c r="C794" s="1" t="n">
        <v>45842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52838-2023</t>
        </is>
      </c>
      <c r="B795" s="1" t="n">
        <v>45226</v>
      </c>
      <c r="C795" s="1" t="n">
        <v>45842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52830-2023</t>
        </is>
      </c>
      <c r="B796" s="1" t="n">
        <v>45226</v>
      </c>
      <c r="C796" s="1" t="n">
        <v>45842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52977-2023</t>
        </is>
      </c>
      <c r="B797" s="1" t="n">
        <v>45226</v>
      </c>
      <c r="C797" s="1" t="n">
        <v>45842</v>
      </c>
      <c r="D797" t="inlineStr">
        <is>
          <t>VÄRMLANDS LÄN</t>
        </is>
      </c>
      <c r="E797" t="inlineStr">
        <is>
          <t>HAGFORS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53175-2023</t>
        </is>
      </c>
      <c r="B798" s="1" t="n">
        <v>45229</v>
      </c>
      <c r="C798" s="1" t="n">
        <v>45842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53156-2023</t>
        </is>
      </c>
      <c r="B799" s="1" t="n">
        <v>45229</v>
      </c>
      <c r="C799" s="1" t="n">
        <v>45842</v>
      </c>
      <c r="D799" t="inlineStr">
        <is>
          <t>VÄRMLANDS LÄN</t>
        </is>
      </c>
      <c r="E799" t="inlineStr">
        <is>
          <t>HAGFORS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53599-2023</t>
        </is>
      </c>
      <c r="B800" s="1" t="n">
        <v>45230</v>
      </c>
      <c r="C800" s="1" t="n">
        <v>45842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34.7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53904-2023</t>
        </is>
      </c>
      <c r="B801" s="1" t="n">
        <v>45231</v>
      </c>
      <c r="C801" s="1" t="n">
        <v>45842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54115-2023</t>
        </is>
      </c>
      <c r="B802" s="1" t="n">
        <v>45232</v>
      </c>
      <c r="C802" s="1" t="n">
        <v>45842</v>
      </c>
      <c r="D802" t="inlineStr">
        <is>
          <t>VÄRMLANDS LÄN</t>
        </is>
      </c>
      <c r="E802" t="inlineStr">
        <is>
          <t>HAGFORS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54112-2023</t>
        </is>
      </c>
      <c r="B803" s="1" t="n">
        <v>45232</v>
      </c>
      <c r="C803" s="1" t="n">
        <v>45842</v>
      </c>
      <c r="D803" t="inlineStr">
        <is>
          <t>VÄRMLANDS LÄN</t>
        </is>
      </c>
      <c r="E803" t="inlineStr">
        <is>
          <t>HAGFORS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54927-2023</t>
        </is>
      </c>
      <c r="B804" s="1" t="n">
        <v>45236</v>
      </c>
      <c r="C804" s="1" t="n">
        <v>45842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55045-2023</t>
        </is>
      </c>
      <c r="B805" s="1" t="n">
        <v>45237</v>
      </c>
      <c r="C805" s="1" t="n">
        <v>45842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20.5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55048-2023</t>
        </is>
      </c>
      <c r="B806" s="1" t="n">
        <v>45237</v>
      </c>
      <c r="C806" s="1" t="n">
        <v>45842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55042-2023</t>
        </is>
      </c>
      <c r="B807" s="1" t="n">
        <v>45237</v>
      </c>
      <c r="C807" s="1" t="n">
        <v>45842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56369-2023</t>
        </is>
      </c>
      <c r="B808" s="1" t="n">
        <v>45243</v>
      </c>
      <c r="C808" s="1" t="n">
        <v>45842</v>
      </c>
      <c r="D808" t="inlineStr">
        <is>
          <t>VÄRMLANDS LÄN</t>
        </is>
      </c>
      <c r="E808" t="inlineStr">
        <is>
          <t>HAGFORS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56486-2023</t>
        </is>
      </c>
      <c r="B809" s="1" t="n">
        <v>45243</v>
      </c>
      <c r="C809" s="1" t="n">
        <v>45842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18.7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56614-2023</t>
        </is>
      </c>
      <c r="B810" s="1" t="n">
        <v>45243</v>
      </c>
      <c r="C810" s="1" t="n">
        <v>45842</v>
      </c>
      <c r="D810" t="inlineStr">
        <is>
          <t>VÄRMLANDS LÄN</t>
        </is>
      </c>
      <c r="E810" t="inlineStr">
        <is>
          <t>HAGFORS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56893-2023</t>
        </is>
      </c>
      <c r="B811" s="1" t="n">
        <v>45244</v>
      </c>
      <c r="C811" s="1" t="n">
        <v>45842</v>
      </c>
      <c r="D811" t="inlineStr">
        <is>
          <t>VÄRMLANDS LÄN</t>
        </is>
      </c>
      <c r="E811" t="inlineStr">
        <is>
          <t>HAGFORS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56808-2023</t>
        </is>
      </c>
      <c r="B812" s="1" t="n">
        <v>45244</v>
      </c>
      <c r="C812" s="1" t="n">
        <v>45842</v>
      </c>
      <c r="D812" t="inlineStr">
        <is>
          <t>VÄRMLANDS LÄN</t>
        </is>
      </c>
      <c r="E812" t="inlineStr">
        <is>
          <t>HAGFORS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56884-2023</t>
        </is>
      </c>
      <c r="B813" s="1" t="n">
        <v>45244</v>
      </c>
      <c r="C813" s="1" t="n">
        <v>45842</v>
      </c>
      <c r="D813" t="inlineStr">
        <is>
          <t>VÄRMLANDS LÄN</t>
        </is>
      </c>
      <c r="E813" t="inlineStr">
        <is>
          <t>HAGFORS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56895-2023</t>
        </is>
      </c>
      <c r="B814" s="1" t="n">
        <v>45244</v>
      </c>
      <c r="C814" s="1" t="n">
        <v>45842</v>
      </c>
      <c r="D814" t="inlineStr">
        <is>
          <t>VÄRMLANDS LÄN</t>
        </is>
      </c>
      <c r="E814" t="inlineStr">
        <is>
          <t>HAGFORS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56888-2023</t>
        </is>
      </c>
      <c r="B815" s="1" t="n">
        <v>45244</v>
      </c>
      <c r="C815" s="1" t="n">
        <v>45842</v>
      </c>
      <c r="D815" t="inlineStr">
        <is>
          <t>VÄRMLANDS LÄN</t>
        </is>
      </c>
      <c r="E815" t="inlineStr">
        <is>
          <t>HAGFORS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57973-2023</t>
        </is>
      </c>
      <c r="B816" s="1" t="n">
        <v>45244</v>
      </c>
      <c r="C816" s="1" t="n">
        <v>45842</v>
      </c>
      <c r="D816" t="inlineStr">
        <is>
          <t>VÄRMLANDS LÄN</t>
        </is>
      </c>
      <c r="E816" t="inlineStr">
        <is>
          <t>HAGFORS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57164-2023</t>
        </is>
      </c>
      <c r="B817" s="1" t="n">
        <v>45245</v>
      </c>
      <c r="C817" s="1" t="n">
        <v>45842</v>
      </c>
      <c r="D817" t="inlineStr">
        <is>
          <t>VÄRMLANDS LÄN</t>
        </is>
      </c>
      <c r="E817" t="inlineStr">
        <is>
          <t>HAGFORS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57276-2023</t>
        </is>
      </c>
      <c r="B818" s="1" t="n">
        <v>45245</v>
      </c>
      <c r="C818" s="1" t="n">
        <v>45842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57241-2023</t>
        </is>
      </c>
      <c r="B819" s="1" t="n">
        <v>45245</v>
      </c>
      <c r="C819" s="1" t="n">
        <v>45842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58259-2023</t>
        </is>
      </c>
      <c r="B820" s="1" t="n">
        <v>45245</v>
      </c>
      <c r="C820" s="1" t="n">
        <v>45842</v>
      </c>
      <c r="D820" t="inlineStr">
        <is>
          <t>VÄRMLANDS LÄN</t>
        </is>
      </c>
      <c r="E820" t="inlineStr">
        <is>
          <t>HAGFORS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58254-2023</t>
        </is>
      </c>
      <c r="B821" s="1" t="n">
        <v>45245</v>
      </c>
      <c r="C821" s="1" t="n">
        <v>45842</v>
      </c>
      <c r="D821" t="inlineStr">
        <is>
          <t>VÄRMLANDS LÄN</t>
        </is>
      </c>
      <c r="E821" t="inlineStr">
        <is>
          <t>HAGFORS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58242-2023</t>
        </is>
      </c>
      <c r="B822" s="1" t="n">
        <v>45245</v>
      </c>
      <c r="C822" s="1" t="n">
        <v>45842</v>
      </c>
      <c r="D822" t="inlineStr">
        <is>
          <t>VÄRMLANDS LÄN</t>
        </is>
      </c>
      <c r="E822" t="inlineStr">
        <is>
          <t>HAGFORS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57550-2023</t>
        </is>
      </c>
      <c r="B823" s="1" t="n">
        <v>45246</v>
      </c>
      <c r="C823" s="1" t="n">
        <v>45842</v>
      </c>
      <c r="D823" t="inlineStr">
        <is>
          <t>VÄRMLANDS LÄN</t>
        </is>
      </c>
      <c r="E823" t="inlineStr">
        <is>
          <t>HAGFORS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58437-2023</t>
        </is>
      </c>
      <c r="B824" s="1" t="n">
        <v>45250</v>
      </c>
      <c r="C824" s="1" t="n">
        <v>45842</v>
      </c>
      <c r="D824" t="inlineStr">
        <is>
          <t>VÄRMLANDS LÄN</t>
        </is>
      </c>
      <c r="E824" t="inlineStr">
        <is>
          <t>HAGFORS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58276-2023</t>
        </is>
      </c>
      <c r="B825" s="1" t="n">
        <v>45250</v>
      </c>
      <c r="C825" s="1" t="n">
        <v>45842</v>
      </c>
      <c r="D825" t="inlineStr">
        <is>
          <t>VÄRMLANDS LÄN</t>
        </is>
      </c>
      <c r="E825" t="inlineStr">
        <is>
          <t>HAGFORS</t>
        </is>
      </c>
      <c r="F825" t="inlineStr">
        <is>
          <t>Kommuner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58307-2023</t>
        </is>
      </c>
      <c r="B826" s="1" t="n">
        <v>45250</v>
      </c>
      <c r="C826" s="1" t="n">
        <v>45842</v>
      </c>
      <c r="D826" t="inlineStr">
        <is>
          <t>VÄRMLANDS LÄN</t>
        </is>
      </c>
      <c r="E826" t="inlineStr">
        <is>
          <t>HAGFORS</t>
        </is>
      </c>
      <c r="F826" t="inlineStr">
        <is>
          <t>Kommuner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58312-2023</t>
        </is>
      </c>
      <c r="B827" s="1" t="n">
        <v>45250</v>
      </c>
      <c r="C827" s="1" t="n">
        <v>45842</v>
      </c>
      <c r="D827" t="inlineStr">
        <is>
          <t>VÄRMLANDS LÄN</t>
        </is>
      </c>
      <c r="E827" t="inlineStr">
        <is>
          <t>HAGFORS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58518-2023</t>
        </is>
      </c>
      <c r="B828" s="1" t="n">
        <v>45250</v>
      </c>
      <c r="C828" s="1" t="n">
        <v>45842</v>
      </c>
      <c r="D828" t="inlineStr">
        <is>
          <t>VÄRMLANDS LÄN</t>
        </is>
      </c>
      <c r="E828" t="inlineStr">
        <is>
          <t>HAGFORS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58958-2023</t>
        </is>
      </c>
      <c r="B829" s="1" t="n">
        <v>45252</v>
      </c>
      <c r="C829" s="1" t="n">
        <v>45842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59899-2023</t>
        </is>
      </c>
      <c r="B830" s="1" t="n">
        <v>45257</v>
      </c>
      <c r="C830" s="1" t="n">
        <v>45842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59874-2023</t>
        </is>
      </c>
      <c r="B831" s="1" t="n">
        <v>45257</v>
      </c>
      <c r="C831" s="1" t="n">
        <v>45842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59895-2023</t>
        </is>
      </c>
      <c r="B832" s="1" t="n">
        <v>45257</v>
      </c>
      <c r="C832" s="1" t="n">
        <v>45842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59735-2023</t>
        </is>
      </c>
      <c r="B833" s="1" t="n">
        <v>45257</v>
      </c>
      <c r="C833" s="1" t="n">
        <v>45842</v>
      </c>
      <c r="D833" t="inlineStr">
        <is>
          <t>VÄRMLANDS LÄN</t>
        </is>
      </c>
      <c r="E833" t="inlineStr">
        <is>
          <t>HAGFORS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59822-2023</t>
        </is>
      </c>
      <c r="B834" s="1" t="n">
        <v>45257</v>
      </c>
      <c r="C834" s="1" t="n">
        <v>45842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59881-2023</t>
        </is>
      </c>
      <c r="B835" s="1" t="n">
        <v>45257</v>
      </c>
      <c r="C835" s="1" t="n">
        <v>45842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60178-2023</t>
        </is>
      </c>
      <c r="B836" s="1" t="n">
        <v>45258</v>
      </c>
      <c r="C836" s="1" t="n">
        <v>45842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60167-2023</t>
        </is>
      </c>
      <c r="B837" s="1" t="n">
        <v>45258</v>
      </c>
      <c r="C837" s="1" t="n">
        <v>45842</v>
      </c>
      <c r="D837" t="inlineStr">
        <is>
          <t>VÄRMLANDS LÄN</t>
        </is>
      </c>
      <c r="E837" t="inlineStr">
        <is>
          <t>HAGFORS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60221-2023</t>
        </is>
      </c>
      <c r="B838" s="1" t="n">
        <v>45258</v>
      </c>
      <c r="C838" s="1" t="n">
        <v>45842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60664-2023</t>
        </is>
      </c>
      <c r="B839" s="1" t="n">
        <v>45259</v>
      </c>
      <c r="C839" s="1" t="n">
        <v>45842</v>
      </c>
      <c r="D839" t="inlineStr">
        <is>
          <t>VÄRMLANDS LÄN</t>
        </is>
      </c>
      <c r="E839" t="inlineStr">
        <is>
          <t>HAGFORS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61025-2023</t>
        </is>
      </c>
      <c r="B840" s="1" t="n">
        <v>45261</v>
      </c>
      <c r="C840" s="1" t="n">
        <v>45842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61140-2023</t>
        </is>
      </c>
      <c r="B841" s="1" t="n">
        <v>45261</v>
      </c>
      <c r="C841" s="1" t="n">
        <v>45842</v>
      </c>
      <c r="D841" t="inlineStr">
        <is>
          <t>VÄRMLANDS LÄN</t>
        </is>
      </c>
      <c r="E841" t="inlineStr">
        <is>
          <t>HAGFORS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61287-2023</t>
        </is>
      </c>
      <c r="B842" s="1" t="n">
        <v>45264</v>
      </c>
      <c r="C842" s="1" t="n">
        <v>45842</v>
      </c>
      <c r="D842" t="inlineStr">
        <is>
          <t>VÄRMLANDS LÄN</t>
        </is>
      </c>
      <c r="E842" t="inlineStr">
        <is>
          <t>HAGFORS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61304-2023</t>
        </is>
      </c>
      <c r="B843" s="1" t="n">
        <v>45264</v>
      </c>
      <c r="C843" s="1" t="n">
        <v>45842</v>
      </c>
      <c r="D843" t="inlineStr">
        <is>
          <t>VÄRMLANDS LÄN</t>
        </is>
      </c>
      <c r="E843" t="inlineStr">
        <is>
          <t>HAGFORS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61238-2023</t>
        </is>
      </c>
      <c r="B844" s="1" t="n">
        <v>45264</v>
      </c>
      <c r="C844" s="1" t="n">
        <v>45842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61311-2023</t>
        </is>
      </c>
      <c r="B845" s="1" t="n">
        <v>45264</v>
      </c>
      <c r="C845" s="1" t="n">
        <v>45842</v>
      </c>
      <c r="D845" t="inlineStr">
        <is>
          <t>VÄRMLANDS LÄN</t>
        </is>
      </c>
      <c r="E845" t="inlineStr">
        <is>
          <t>HAGFORS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61315-2023</t>
        </is>
      </c>
      <c r="B846" s="1" t="n">
        <v>45264</v>
      </c>
      <c r="C846" s="1" t="n">
        <v>45842</v>
      </c>
      <c r="D846" t="inlineStr">
        <is>
          <t>VÄRMLANDS LÄN</t>
        </is>
      </c>
      <c r="E846" t="inlineStr">
        <is>
          <t>HAGFORS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61641-2023</t>
        </is>
      </c>
      <c r="B847" s="1" t="n">
        <v>45265</v>
      </c>
      <c r="C847" s="1" t="n">
        <v>45842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61992-2023</t>
        </is>
      </c>
      <c r="B848" s="1" t="n">
        <v>45266</v>
      </c>
      <c r="C848" s="1" t="n">
        <v>45842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61818-2023</t>
        </is>
      </c>
      <c r="B849" s="1" t="n">
        <v>45266</v>
      </c>
      <c r="C849" s="1" t="n">
        <v>45842</v>
      </c>
      <c r="D849" t="inlineStr">
        <is>
          <t>VÄRMLANDS LÄN</t>
        </is>
      </c>
      <c r="E849" t="inlineStr">
        <is>
          <t>HAGFORS</t>
        </is>
      </c>
      <c r="G849" t="n">
        <v>8.6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61964-2023</t>
        </is>
      </c>
      <c r="B850" s="1" t="n">
        <v>45266</v>
      </c>
      <c r="C850" s="1" t="n">
        <v>45842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62461-2023</t>
        </is>
      </c>
      <c r="B851" s="1" t="n">
        <v>45268</v>
      </c>
      <c r="C851" s="1" t="n">
        <v>45842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63378-2023</t>
        </is>
      </c>
      <c r="B852" s="1" t="n">
        <v>45274</v>
      </c>
      <c r="C852" s="1" t="n">
        <v>45842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64155-2023</t>
        </is>
      </c>
      <c r="B853" s="1" t="n">
        <v>45279</v>
      </c>
      <c r="C853" s="1" t="n">
        <v>45842</v>
      </c>
      <c r="D853" t="inlineStr">
        <is>
          <t>VÄRMLANDS LÄN</t>
        </is>
      </c>
      <c r="E853" t="inlineStr">
        <is>
          <t>HAGFORS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64531-2023</t>
        </is>
      </c>
      <c r="B854" s="1" t="n">
        <v>45281</v>
      </c>
      <c r="C854" s="1" t="n">
        <v>45842</v>
      </c>
      <c r="D854" t="inlineStr">
        <is>
          <t>VÄRMLANDS LÄN</t>
        </is>
      </c>
      <c r="E854" t="inlineStr">
        <is>
          <t>HAGFORS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64670-2023</t>
        </is>
      </c>
      <c r="B855" s="1" t="n">
        <v>45281</v>
      </c>
      <c r="C855" s="1" t="n">
        <v>45842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64700-2023</t>
        </is>
      </c>
      <c r="B856" s="1" t="n">
        <v>45281</v>
      </c>
      <c r="C856" s="1" t="n">
        <v>45842</v>
      </c>
      <c r="D856" t="inlineStr">
        <is>
          <t>VÄRMLANDS LÄN</t>
        </is>
      </c>
      <c r="E856" t="inlineStr">
        <is>
          <t>HAGFORS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64936-2023</t>
        </is>
      </c>
      <c r="B857" s="1" t="n">
        <v>45282</v>
      </c>
      <c r="C857" s="1" t="n">
        <v>45842</v>
      </c>
      <c r="D857" t="inlineStr">
        <is>
          <t>VÄRMLANDS LÄN</t>
        </is>
      </c>
      <c r="E857" t="inlineStr">
        <is>
          <t>HAGFORS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65016-2023</t>
        </is>
      </c>
      <c r="B858" s="1" t="n">
        <v>45287</v>
      </c>
      <c r="C858" s="1" t="n">
        <v>45842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65058-2023</t>
        </is>
      </c>
      <c r="B859" s="1" t="n">
        <v>45287</v>
      </c>
      <c r="C859" s="1" t="n">
        <v>45842</v>
      </c>
      <c r="D859" t="inlineStr">
        <is>
          <t>VÄRMLANDS LÄN</t>
        </is>
      </c>
      <c r="E859" t="inlineStr">
        <is>
          <t>HAGFORS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65065-2023</t>
        </is>
      </c>
      <c r="B860" s="1" t="n">
        <v>45287</v>
      </c>
      <c r="C860" s="1" t="n">
        <v>45842</v>
      </c>
      <c r="D860" t="inlineStr">
        <is>
          <t>VÄRMLANDS LÄN</t>
        </is>
      </c>
      <c r="E860" t="inlineStr">
        <is>
          <t>HAGFORS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65060-2023</t>
        </is>
      </c>
      <c r="B861" s="1" t="n">
        <v>45287</v>
      </c>
      <c r="C861" s="1" t="n">
        <v>45842</v>
      </c>
      <c r="D861" t="inlineStr">
        <is>
          <t>VÄRMLANDS LÄN</t>
        </is>
      </c>
      <c r="E861" t="inlineStr">
        <is>
          <t>HAGFORS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65064-2023</t>
        </is>
      </c>
      <c r="B862" s="1" t="n">
        <v>45287</v>
      </c>
      <c r="C862" s="1" t="n">
        <v>45842</v>
      </c>
      <c r="D862" t="inlineStr">
        <is>
          <t>VÄRMLANDS LÄN</t>
        </is>
      </c>
      <c r="E862" t="inlineStr">
        <is>
          <t>HAGFORS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65017-2023</t>
        </is>
      </c>
      <c r="B863" s="1" t="n">
        <v>45287</v>
      </c>
      <c r="C863" s="1" t="n">
        <v>45842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65117-2023</t>
        </is>
      </c>
      <c r="B864" s="1" t="n">
        <v>45288</v>
      </c>
      <c r="C864" s="1" t="n">
        <v>45842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11.4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1788-2024</t>
        </is>
      </c>
      <c r="B865" s="1" t="n">
        <v>45307</v>
      </c>
      <c r="C865" s="1" t="n">
        <v>45842</v>
      </c>
      <c r="D865" t="inlineStr">
        <is>
          <t>VÄRMLANDS LÄN</t>
        </is>
      </c>
      <c r="E865" t="inlineStr">
        <is>
          <t>HAGFORS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1781-2024</t>
        </is>
      </c>
      <c r="B866" s="1" t="n">
        <v>45307</v>
      </c>
      <c r="C866" s="1" t="n">
        <v>45842</v>
      </c>
      <c r="D866" t="inlineStr">
        <is>
          <t>VÄRMLANDS LÄN</t>
        </is>
      </c>
      <c r="E866" t="inlineStr">
        <is>
          <t>HAGFORS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1933-2024</t>
        </is>
      </c>
      <c r="B867" s="1" t="n">
        <v>45308</v>
      </c>
      <c r="C867" s="1" t="n">
        <v>45842</v>
      </c>
      <c r="D867" t="inlineStr">
        <is>
          <t>VÄRMLANDS LÄN</t>
        </is>
      </c>
      <c r="E867" t="inlineStr">
        <is>
          <t>HAGFORS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1931-2024</t>
        </is>
      </c>
      <c r="B868" s="1" t="n">
        <v>45308</v>
      </c>
      <c r="C868" s="1" t="n">
        <v>45842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2147-2024</t>
        </is>
      </c>
      <c r="B869" s="1" t="n">
        <v>45309</v>
      </c>
      <c r="C869" s="1" t="n">
        <v>45842</v>
      </c>
      <c r="D869" t="inlineStr">
        <is>
          <t>VÄRMLANDS LÄN</t>
        </is>
      </c>
      <c r="E869" t="inlineStr">
        <is>
          <t>HAGFORS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2315-2024</t>
        </is>
      </c>
      <c r="B870" s="1" t="n">
        <v>45310</v>
      </c>
      <c r="C870" s="1" t="n">
        <v>45842</v>
      </c>
      <c r="D870" t="inlineStr">
        <is>
          <t>VÄRMLANDS LÄN</t>
        </is>
      </c>
      <c r="E870" t="inlineStr">
        <is>
          <t>HAGFORS</t>
        </is>
      </c>
      <c r="F870" t="inlineStr">
        <is>
          <t>Kyrkan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3485-2024</t>
        </is>
      </c>
      <c r="B871" s="1" t="n">
        <v>45320</v>
      </c>
      <c r="C871" s="1" t="n">
        <v>45842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3540-2024</t>
        </is>
      </c>
      <c r="B872" s="1" t="n">
        <v>45320</v>
      </c>
      <c r="C872" s="1" t="n">
        <v>45842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3681-2024</t>
        </is>
      </c>
      <c r="B873" s="1" t="n">
        <v>45321</v>
      </c>
      <c r="C873" s="1" t="n">
        <v>45842</v>
      </c>
      <c r="D873" t="inlineStr">
        <is>
          <t>VÄRMLANDS LÄN</t>
        </is>
      </c>
      <c r="E873" t="inlineStr">
        <is>
          <t>HAGFORS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4047-2024</t>
        </is>
      </c>
      <c r="B874" s="1" t="n">
        <v>45323</v>
      </c>
      <c r="C874" s="1" t="n">
        <v>45842</v>
      </c>
      <c r="D874" t="inlineStr">
        <is>
          <t>VÄRMLANDS LÄN</t>
        </is>
      </c>
      <c r="E874" t="inlineStr">
        <is>
          <t>HAGFORS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4186-2024</t>
        </is>
      </c>
      <c r="B875" s="1" t="n">
        <v>45324</v>
      </c>
      <c r="C875" s="1" t="n">
        <v>45842</v>
      </c>
      <c r="D875" t="inlineStr">
        <is>
          <t>VÄRMLANDS LÄN</t>
        </is>
      </c>
      <c r="E875" t="inlineStr">
        <is>
          <t>HAGFORS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4279-2024</t>
        </is>
      </c>
      <c r="B876" s="1" t="n">
        <v>45324</v>
      </c>
      <c r="C876" s="1" t="n">
        <v>45842</v>
      </c>
      <c r="D876" t="inlineStr">
        <is>
          <t>VÄRMLANDS LÄN</t>
        </is>
      </c>
      <c r="E876" t="inlineStr">
        <is>
          <t>HAGFORS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4748-2024</t>
        </is>
      </c>
      <c r="B877" s="1" t="n">
        <v>45328</v>
      </c>
      <c r="C877" s="1" t="n">
        <v>45842</v>
      </c>
      <c r="D877" t="inlineStr">
        <is>
          <t>VÄRMLANDS LÄN</t>
        </is>
      </c>
      <c r="E877" t="inlineStr">
        <is>
          <t>HAGFORS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4745-2024</t>
        </is>
      </c>
      <c r="B878" s="1" t="n">
        <v>45328</v>
      </c>
      <c r="C878" s="1" t="n">
        <v>45842</v>
      </c>
      <c r="D878" t="inlineStr">
        <is>
          <t>VÄRMLANDS LÄN</t>
        </is>
      </c>
      <c r="E878" t="inlineStr">
        <is>
          <t>HAGFORS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5612-2024</t>
        </is>
      </c>
      <c r="B879" s="1" t="n">
        <v>45334</v>
      </c>
      <c r="C879" s="1" t="n">
        <v>45842</v>
      </c>
      <c r="D879" t="inlineStr">
        <is>
          <t>VÄRMLANDS LÄN</t>
        </is>
      </c>
      <c r="E879" t="inlineStr">
        <is>
          <t>HAGFORS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5621-2024</t>
        </is>
      </c>
      <c r="B880" s="1" t="n">
        <v>45334</v>
      </c>
      <c r="C880" s="1" t="n">
        <v>45842</v>
      </c>
      <c r="D880" t="inlineStr">
        <is>
          <t>VÄRMLANDS LÄN</t>
        </is>
      </c>
      <c r="E880" t="inlineStr">
        <is>
          <t>HAGFORS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5796-2024</t>
        </is>
      </c>
      <c r="B881" s="1" t="n">
        <v>45335</v>
      </c>
      <c r="C881" s="1" t="n">
        <v>45842</v>
      </c>
      <c r="D881" t="inlineStr">
        <is>
          <t>VÄRMLANDS LÄN</t>
        </is>
      </c>
      <c r="E881" t="inlineStr">
        <is>
          <t>HAGFORS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5778-2024</t>
        </is>
      </c>
      <c r="B882" s="1" t="n">
        <v>45335</v>
      </c>
      <c r="C882" s="1" t="n">
        <v>45842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5790-2024</t>
        </is>
      </c>
      <c r="B883" s="1" t="n">
        <v>45335</v>
      </c>
      <c r="C883" s="1" t="n">
        <v>45842</v>
      </c>
      <c r="D883" t="inlineStr">
        <is>
          <t>VÄRMLANDS LÄN</t>
        </is>
      </c>
      <c r="E883" t="inlineStr">
        <is>
          <t>HAGFORS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6010-2024</t>
        </is>
      </c>
      <c r="B884" s="1" t="n">
        <v>45336</v>
      </c>
      <c r="C884" s="1" t="n">
        <v>45842</v>
      </c>
      <c r="D884" t="inlineStr">
        <is>
          <t>VÄRMLANDS LÄN</t>
        </is>
      </c>
      <c r="E884" t="inlineStr">
        <is>
          <t>HAGFORS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6135-2024</t>
        </is>
      </c>
      <c r="B885" s="1" t="n">
        <v>45337</v>
      </c>
      <c r="C885" s="1" t="n">
        <v>45842</v>
      </c>
      <c r="D885" t="inlineStr">
        <is>
          <t>VÄRMLANDS LÄN</t>
        </is>
      </c>
      <c r="E885" t="inlineStr">
        <is>
          <t>HAGFORS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6404-2024</t>
        </is>
      </c>
      <c r="B886" s="1" t="n">
        <v>45338</v>
      </c>
      <c r="C886" s="1" t="n">
        <v>45842</v>
      </c>
      <c r="D886" t="inlineStr">
        <is>
          <t>VÄRMLANDS LÄN</t>
        </is>
      </c>
      <c r="E886" t="inlineStr">
        <is>
          <t>HAGFORS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6437-2024</t>
        </is>
      </c>
      <c r="B887" s="1" t="n">
        <v>45338</v>
      </c>
      <c r="C887" s="1" t="n">
        <v>45842</v>
      </c>
      <c r="D887" t="inlineStr">
        <is>
          <t>VÄRMLANDS LÄN</t>
        </is>
      </c>
      <c r="E887" t="inlineStr">
        <is>
          <t>HAGFORS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6910-2024</t>
        </is>
      </c>
      <c r="B888" s="1" t="n">
        <v>45343</v>
      </c>
      <c r="C888" s="1" t="n">
        <v>45842</v>
      </c>
      <c r="D888" t="inlineStr">
        <is>
          <t>VÄRMLANDS LÄN</t>
        </is>
      </c>
      <c r="E888" t="inlineStr">
        <is>
          <t>HAGFORS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7171-2024</t>
        </is>
      </c>
      <c r="B889" s="1" t="n">
        <v>45344</v>
      </c>
      <c r="C889" s="1" t="n">
        <v>45842</v>
      </c>
      <c r="D889" t="inlineStr">
        <is>
          <t>VÄRMLANDS LÄN</t>
        </is>
      </c>
      <c r="E889" t="inlineStr">
        <is>
          <t>HAGFORS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7637-2024</t>
        </is>
      </c>
      <c r="B890" s="1" t="n">
        <v>45348</v>
      </c>
      <c r="C890" s="1" t="n">
        <v>45842</v>
      </c>
      <c r="D890" t="inlineStr">
        <is>
          <t>VÄRMLANDS LÄN</t>
        </is>
      </c>
      <c r="E890" t="inlineStr">
        <is>
          <t>HAGFORS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7816-2024</t>
        </is>
      </c>
      <c r="B891" s="1" t="n">
        <v>45349</v>
      </c>
      <c r="C891" s="1" t="n">
        <v>45842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7986-2024</t>
        </is>
      </c>
      <c r="B892" s="1" t="n">
        <v>45350</v>
      </c>
      <c r="C892" s="1" t="n">
        <v>45842</v>
      </c>
      <c r="D892" t="inlineStr">
        <is>
          <t>VÄRMLANDS LÄN</t>
        </is>
      </c>
      <c r="E892" t="inlineStr">
        <is>
          <t>HAGFORS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7988-2024</t>
        </is>
      </c>
      <c r="B893" s="1" t="n">
        <v>45350</v>
      </c>
      <c r="C893" s="1" t="n">
        <v>45842</v>
      </c>
      <c r="D893" t="inlineStr">
        <is>
          <t>VÄRMLANDS LÄN</t>
        </is>
      </c>
      <c r="E893" t="inlineStr">
        <is>
          <t>HAGFORS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8129-2024</t>
        </is>
      </c>
      <c r="B894" s="1" t="n">
        <v>45351</v>
      </c>
      <c r="C894" s="1" t="n">
        <v>45842</v>
      </c>
      <c r="D894" t="inlineStr">
        <is>
          <t>VÄRMLANDS LÄN</t>
        </is>
      </c>
      <c r="E894" t="inlineStr">
        <is>
          <t>HAGFORS</t>
        </is>
      </c>
      <c r="F894" t="inlineStr">
        <is>
          <t>Kyrkan</t>
        </is>
      </c>
      <c r="G894" t="n">
        <v>10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8820-2024</t>
        </is>
      </c>
      <c r="B895" s="1" t="n">
        <v>45356</v>
      </c>
      <c r="C895" s="1" t="n">
        <v>45842</v>
      </c>
      <c r="D895" t="inlineStr">
        <is>
          <t>VÄRMLANDS LÄN</t>
        </is>
      </c>
      <c r="E895" t="inlineStr">
        <is>
          <t>HAGFORS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8830-2024</t>
        </is>
      </c>
      <c r="B896" s="1" t="n">
        <v>45356</v>
      </c>
      <c r="C896" s="1" t="n">
        <v>45842</v>
      </c>
      <c r="D896" t="inlineStr">
        <is>
          <t>VÄRMLANDS LÄN</t>
        </is>
      </c>
      <c r="E896" t="inlineStr">
        <is>
          <t>HAGFORS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9240-2024</t>
        </is>
      </c>
      <c r="B897" s="1" t="n">
        <v>45358</v>
      </c>
      <c r="C897" s="1" t="n">
        <v>45842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10361-2024</t>
        </is>
      </c>
      <c r="B898" s="1" t="n">
        <v>45365</v>
      </c>
      <c r="C898" s="1" t="n">
        <v>45842</v>
      </c>
      <c r="D898" t="inlineStr">
        <is>
          <t>VÄRMLANDS LÄN</t>
        </is>
      </c>
      <c r="E898" t="inlineStr">
        <is>
          <t>HAGFORS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10562-2024</t>
        </is>
      </c>
      <c r="B899" s="1" t="n">
        <v>45366</v>
      </c>
      <c r="C899" s="1" t="n">
        <v>45842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10561-2024</t>
        </is>
      </c>
      <c r="B900" s="1" t="n">
        <v>45366</v>
      </c>
      <c r="C900" s="1" t="n">
        <v>45842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11126-2024</t>
        </is>
      </c>
      <c r="B901" s="1" t="n">
        <v>45371</v>
      </c>
      <c r="C901" s="1" t="n">
        <v>45842</v>
      </c>
      <c r="D901" t="inlineStr">
        <is>
          <t>VÄRMLANDS LÄN</t>
        </is>
      </c>
      <c r="E901" t="inlineStr">
        <is>
          <t>HAGFORS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11158-2024</t>
        </is>
      </c>
      <c r="B902" s="1" t="n">
        <v>45371</v>
      </c>
      <c r="C902" s="1" t="n">
        <v>45842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11241-2024</t>
        </is>
      </c>
      <c r="B903" s="1" t="n">
        <v>45371</v>
      </c>
      <c r="C903" s="1" t="n">
        <v>45842</v>
      </c>
      <c r="D903" t="inlineStr">
        <is>
          <t>VÄRMLANDS LÄN</t>
        </is>
      </c>
      <c r="E903" t="inlineStr">
        <is>
          <t>HAGFORS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11744-2024</t>
        </is>
      </c>
      <c r="B904" s="1" t="n">
        <v>45373</v>
      </c>
      <c r="C904" s="1" t="n">
        <v>45842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11890-2024</t>
        </is>
      </c>
      <c r="B905" s="1" t="n">
        <v>45376</v>
      </c>
      <c r="C905" s="1" t="n">
        <v>45842</v>
      </c>
      <c r="D905" t="inlineStr">
        <is>
          <t>VÄRMLANDS LÄN</t>
        </is>
      </c>
      <c r="E905" t="inlineStr">
        <is>
          <t>HAGFORS</t>
        </is>
      </c>
      <c r="F905" t="inlineStr">
        <is>
          <t>Kommuner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12592-2024</t>
        </is>
      </c>
      <c r="B906" s="1" t="n">
        <v>45380</v>
      </c>
      <c r="C906" s="1" t="n">
        <v>45842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12426-2024</t>
        </is>
      </c>
      <c r="B907" s="1" t="n">
        <v>45379</v>
      </c>
      <c r="C907" s="1" t="n">
        <v>45842</v>
      </c>
      <c r="D907" t="inlineStr">
        <is>
          <t>VÄRMLANDS LÄN</t>
        </is>
      </c>
      <c r="E907" t="inlineStr">
        <is>
          <t>HAGFORS</t>
        </is>
      </c>
      <c r="G907" t="n">
        <v>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12628-2024</t>
        </is>
      </c>
      <c r="B908" s="1" t="n">
        <v>45383</v>
      </c>
      <c r="C908" s="1" t="n">
        <v>45842</v>
      </c>
      <c r="D908" t="inlineStr">
        <is>
          <t>VÄRMLANDS LÄN</t>
        </is>
      </c>
      <c r="E908" t="inlineStr">
        <is>
          <t>HAGFORS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HYPERLINK("https://klasma.github.io/Logging_1783/knärot/A 12628-2024 karta knärot.png", "A 12628-2024")</f>
        <v/>
      </c>
      <c r="V908">
        <f>HYPERLINK("https://klasma.github.io/Logging_1783/klagomål/A 12628-2024 FSC-klagomål.docx", "A 12628-2024")</f>
        <v/>
      </c>
      <c r="W908">
        <f>HYPERLINK("https://klasma.github.io/Logging_1783/klagomålsmail/A 12628-2024 FSC-klagomål mail.docx", "A 12628-2024")</f>
        <v/>
      </c>
      <c r="X908">
        <f>HYPERLINK("https://klasma.github.io/Logging_1783/tillsyn/A 12628-2024 tillsynsbegäran.docx", "A 12628-2024")</f>
        <v/>
      </c>
      <c r="Y908">
        <f>HYPERLINK("https://klasma.github.io/Logging_1783/tillsynsmail/A 12628-2024 tillsynsbegäran mail.docx", "A 12628-2024")</f>
        <v/>
      </c>
    </row>
    <row r="909" ht="15" customHeight="1">
      <c r="A909" t="inlineStr">
        <is>
          <t>A 12626-2024</t>
        </is>
      </c>
      <c r="B909" s="1" t="n">
        <v>45383</v>
      </c>
      <c r="C909" s="1" t="n">
        <v>45842</v>
      </c>
      <c r="D909" t="inlineStr">
        <is>
          <t>VÄRMLANDS LÄN</t>
        </is>
      </c>
      <c r="E909" t="inlineStr">
        <is>
          <t>HAGFORS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12673-2024</t>
        </is>
      </c>
      <c r="B910" s="1" t="n">
        <v>45384</v>
      </c>
      <c r="C910" s="1" t="n">
        <v>45842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12909-2024</t>
        </is>
      </c>
      <c r="B911" s="1" t="n">
        <v>45385</v>
      </c>
      <c r="C911" s="1" t="n">
        <v>45842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13094-2024</t>
        </is>
      </c>
      <c r="B912" s="1" t="n">
        <v>45385</v>
      </c>
      <c r="C912" s="1" t="n">
        <v>45842</v>
      </c>
      <c r="D912" t="inlineStr">
        <is>
          <t>VÄRMLANDS LÄN</t>
        </is>
      </c>
      <c r="E912" t="inlineStr">
        <is>
          <t>HAGFORS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13098-2024</t>
        </is>
      </c>
      <c r="B913" s="1" t="n">
        <v>45385</v>
      </c>
      <c r="C913" s="1" t="n">
        <v>45842</v>
      </c>
      <c r="D913" t="inlineStr">
        <is>
          <t>VÄRMLANDS LÄN</t>
        </is>
      </c>
      <c r="E913" t="inlineStr">
        <is>
          <t>HAGFORS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13297-2024</t>
        </is>
      </c>
      <c r="B914" s="1" t="n">
        <v>45386</v>
      </c>
      <c r="C914" s="1" t="n">
        <v>45842</v>
      </c>
      <c r="D914" t="inlineStr">
        <is>
          <t>VÄRMLANDS LÄN</t>
        </is>
      </c>
      <c r="E914" t="inlineStr">
        <is>
          <t>HAGFORS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13282-2024</t>
        </is>
      </c>
      <c r="B915" s="1" t="n">
        <v>45386</v>
      </c>
      <c r="C915" s="1" t="n">
        <v>45842</v>
      </c>
      <c r="D915" t="inlineStr">
        <is>
          <t>VÄRMLANDS LÄN</t>
        </is>
      </c>
      <c r="E915" t="inlineStr">
        <is>
          <t>HAGFORS</t>
        </is>
      </c>
      <c r="F915" t="inlineStr">
        <is>
          <t>Kommuner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13392-2024</t>
        </is>
      </c>
      <c r="B916" s="1" t="n">
        <v>45387</v>
      </c>
      <c r="C916" s="1" t="n">
        <v>45842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13485-2024</t>
        </is>
      </c>
      <c r="B917" s="1" t="n">
        <v>45387</v>
      </c>
      <c r="C917" s="1" t="n">
        <v>45842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13384-2024</t>
        </is>
      </c>
      <c r="B918" s="1" t="n">
        <v>45387</v>
      </c>
      <c r="C918" s="1" t="n">
        <v>45842</v>
      </c>
      <c r="D918" t="inlineStr">
        <is>
          <t>VÄRMLANDS LÄN</t>
        </is>
      </c>
      <c r="E918" t="inlineStr">
        <is>
          <t>HAGFORS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13434-2024</t>
        </is>
      </c>
      <c r="B919" s="1" t="n">
        <v>45387</v>
      </c>
      <c r="C919" s="1" t="n">
        <v>45842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13407-2024</t>
        </is>
      </c>
      <c r="B920" s="1" t="n">
        <v>45387</v>
      </c>
      <c r="C920" s="1" t="n">
        <v>45842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13562-2024</t>
        </is>
      </c>
      <c r="B921" s="1" t="n">
        <v>45389</v>
      </c>
      <c r="C921" s="1" t="n">
        <v>45842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13735-2024</t>
        </is>
      </c>
      <c r="B922" s="1" t="n">
        <v>45390</v>
      </c>
      <c r="C922" s="1" t="n">
        <v>45842</v>
      </c>
      <c r="D922" t="inlineStr">
        <is>
          <t>VÄRMLANDS LÄN</t>
        </is>
      </c>
      <c r="E922" t="inlineStr">
        <is>
          <t>HAGFORS</t>
        </is>
      </c>
      <c r="G922" t="n">
        <v>14.9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13635-2024</t>
        </is>
      </c>
      <c r="B923" s="1" t="n">
        <v>45390</v>
      </c>
      <c r="C923" s="1" t="n">
        <v>45842</v>
      </c>
      <c r="D923" t="inlineStr">
        <is>
          <t>VÄRMLANDS LÄN</t>
        </is>
      </c>
      <c r="E923" t="inlineStr">
        <is>
          <t>HAGFORS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14118-2024</t>
        </is>
      </c>
      <c r="B924" s="1" t="n">
        <v>45392</v>
      </c>
      <c r="C924" s="1" t="n">
        <v>45842</v>
      </c>
      <c r="D924" t="inlineStr">
        <is>
          <t>VÄRMLANDS LÄN</t>
        </is>
      </c>
      <c r="E924" t="inlineStr">
        <is>
          <t>HAGFORS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14364-2024</t>
        </is>
      </c>
      <c r="B925" s="1" t="n">
        <v>45394</v>
      </c>
      <c r="C925" s="1" t="n">
        <v>45842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14377-2024</t>
        </is>
      </c>
      <c r="B926" s="1" t="n">
        <v>45394</v>
      </c>
      <c r="C926" s="1" t="n">
        <v>45842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14378-2024</t>
        </is>
      </c>
      <c r="B927" s="1" t="n">
        <v>45394</v>
      </c>
      <c r="C927" s="1" t="n">
        <v>45842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14376-2024</t>
        </is>
      </c>
      <c r="B928" s="1" t="n">
        <v>45394</v>
      </c>
      <c r="C928" s="1" t="n">
        <v>45842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14229-2024</t>
        </is>
      </c>
      <c r="B929" s="1" t="n">
        <v>45393</v>
      </c>
      <c r="C929" s="1" t="n">
        <v>45842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14379-2024</t>
        </is>
      </c>
      <c r="B930" s="1" t="n">
        <v>45394</v>
      </c>
      <c r="C930" s="1" t="n">
        <v>45842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14713-2024</t>
        </is>
      </c>
      <c r="B931" s="1" t="n">
        <v>45397</v>
      </c>
      <c r="C931" s="1" t="n">
        <v>45842</v>
      </c>
      <c r="D931" t="inlineStr">
        <is>
          <t>VÄRMLANDS LÄN</t>
        </is>
      </c>
      <c r="E931" t="inlineStr">
        <is>
          <t>HAGFORS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14897-2024</t>
        </is>
      </c>
      <c r="B932" s="1" t="n">
        <v>45398</v>
      </c>
      <c r="C932" s="1" t="n">
        <v>45842</v>
      </c>
      <c r="D932" t="inlineStr">
        <is>
          <t>VÄRMLANDS LÄN</t>
        </is>
      </c>
      <c r="E932" t="inlineStr">
        <is>
          <t>HAGFORS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15096-2024</t>
        </is>
      </c>
      <c r="B933" s="1" t="n">
        <v>45399</v>
      </c>
      <c r="C933" s="1" t="n">
        <v>45842</v>
      </c>
      <c r="D933" t="inlineStr">
        <is>
          <t>VÄRMLANDS LÄN</t>
        </is>
      </c>
      <c r="E933" t="inlineStr">
        <is>
          <t>HAGFORS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15164-2024</t>
        </is>
      </c>
      <c r="B934" s="1" t="n">
        <v>45400</v>
      </c>
      <c r="C934" s="1" t="n">
        <v>45842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15189-2024</t>
        </is>
      </c>
      <c r="B935" s="1" t="n">
        <v>45400</v>
      </c>
      <c r="C935" s="1" t="n">
        <v>45842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15228-2024</t>
        </is>
      </c>
      <c r="B936" s="1" t="n">
        <v>45400</v>
      </c>
      <c r="C936" s="1" t="n">
        <v>45842</v>
      </c>
      <c r="D936" t="inlineStr">
        <is>
          <t>VÄRMLANDS LÄN</t>
        </is>
      </c>
      <c r="E936" t="inlineStr">
        <is>
          <t>HAGFORS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15270-2024</t>
        </is>
      </c>
      <c r="B937" s="1" t="n">
        <v>45400</v>
      </c>
      <c r="C937" s="1" t="n">
        <v>45842</v>
      </c>
      <c r="D937" t="inlineStr">
        <is>
          <t>VÄRMLANDS LÄN</t>
        </is>
      </c>
      <c r="E937" t="inlineStr">
        <is>
          <t>HAGFORS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15538-2024</t>
        </is>
      </c>
      <c r="B938" s="1" t="n">
        <v>45401</v>
      </c>
      <c r="C938" s="1" t="n">
        <v>45842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15643-2024</t>
        </is>
      </c>
      <c r="B939" s="1" t="n">
        <v>45404</v>
      </c>
      <c r="C939" s="1" t="n">
        <v>45842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15952-2024</t>
        </is>
      </c>
      <c r="B940" s="1" t="n">
        <v>45405</v>
      </c>
      <c r="C940" s="1" t="n">
        <v>45842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15955-2024</t>
        </is>
      </c>
      <c r="B941" s="1" t="n">
        <v>45405</v>
      </c>
      <c r="C941" s="1" t="n">
        <v>45842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16325-2024</t>
        </is>
      </c>
      <c r="B942" s="1" t="n">
        <v>45407</v>
      </c>
      <c r="C942" s="1" t="n">
        <v>45842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16649-2024</t>
        </is>
      </c>
      <c r="B943" s="1" t="n">
        <v>45408</v>
      </c>
      <c r="C943" s="1" t="n">
        <v>45842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16644-2024</t>
        </is>
      </c>
      <c r="B944" s="1" t="n">
        <v>45408</v>
      </c>
      <c r="C944" s="1" t="n">
        <v>45842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16607-2024</t>
        </is>
      </c>
      <c r="B945" s="1" t="n">
        <v>45408</v>
      </c>
      <c r="C945" s="1" t="n">
        <v>45842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16630-2024</t>
        </is>
      </c>
      <c r="B946" s="1" t="n">
        <v>45408</v>
      </c>
      <c r="C946" s="1" t="n">
        <v>45842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16955-2024</t>
        </is>
      </c>
      <c r="B947" s="1" t="n">
        <v>45411</v>
      </c>
      <c r="C947" s="1" t="n">
        <v>45842</v>
      </c>
      <c r="D947" t="inlineStr">
        <is>
          <t>VÄRMLANDS LÄN</t>
        </is>
      </c>
      <c r="E947" t="inlineStr">
        <is>
          <t>HAGFORS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16786-2024</t>
        </is>
      </c>
      <c r="B948" s="1" t="n">
        <v>45411</v>
      </c>
      <c r="C948" s="1" t="n">
        <v>45842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17297-2024</t>
        </is>
      </c>
      <c r="B949" s="1" t="n">
        <v>45414</v>
      </c>
      <c r="C949" s="1" t="n">
        <v>45842</v>
      </c>
      <c r="D949" t="inlineStr">
        <is>
          <t>VÄRMLANDS LÄN</t>
        </is>
      </c>
      <c r="E949" t="inlineStr">
        <is>
          <t>HAGFORS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17329-2024</t>
        </is>
      </c>
      <c r="B950" s="1" t="n">
        <v>45414</v>
      </c>
      <c r="C950" s="1" t="n">
        <v>45842</v>
      </c>
      <c r="D950" t="inlineStr">
        <is>
          <t>VÄRMLANDS LÄN</t>
        </is>
      </c>
      <c r="E950" t="inlineStr">
        <is>
          <t>HAGFORS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17286-2024</t>
        </is>
      </c>
      <c r="B951" s="1" t="n">
        <v>45414</v>
      </c>
      <c r="C951" s="1" t="n">
        <v>45842</v>
      </c>
      <c r="D951" t="inlineStr">
        <is>
          <t>VÄRMLANDS LÄN</t>
        </is>
      </c>
      <c r="E951" t="inlineStr">
        <is>
          <t>HAGFORS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17635-2024</t>
        </is>
      </c>
      <c r="B952" s="1" t="n">
        <v>45418</v>
      </c>
      <c r="C952" s="1" t="n">
        <v>45842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17774-2024</t>
        </is>
      </c>
      <c r="B953" s="1" t="n">
        <v>45418</v>
      </c>
      <c r="C953" s="1" t="n">
        <v>45842</v>
      </c>
      <c r="D953" t="inlineStr">
        <is>
          <t>VÄRMLANDS LÄN</t>
        </is>
      </c>
      <c r="E953" t="inlineStr">
        <is>
          <t>HAGFORS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17930-2024</t>
        </is>
      </c>
      <c r="B954" s="1" t="n">
        <v>45419</v>
      </c>
      <c r="C954" s="1" t="n">
        <v>45842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17956-2024</t>
        </is>
      </c>
      <c r="B955" s="1" t="n">
        <v>45419</v>
      </c>
      <c r="C955" s="1" t="n">
        <v>45842</v>
      </c>
      <c r="D955" t="inlineStr">
        <is>
          <t>VÄRMLANDS LÄN</t>
        </is>
      </c>
      <c r="E955" t="inlineStr">
        <is>
          <t>HAGFORS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18014-2024</t>
        </is>
      </c>
      <c r="B956" s="1" t="n">
        <v>45420</v>
      </c>
      <c r="C956" s="1" t="n">
        <v>45842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17920-2024</t>
        </is>
      </c>
      <c r="B957" s="1" t="n">
        <v>45419</v>
      </c>
      <c r="C957" s="1" t="n">
        <v>45842</v>
      </c>
      <c r="D957" t="inlineStr">
        <is>
          <t>VÄRMLANDS LÄN</t>
        </is>
      </c>
      <c r="E957" t="inlineStr">
        <is>
          <t>HAGFORS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18126-2024</t>
        </is>
      </c>
      <c r="B958" s="1" t="n">
        <v>45420</v>
      </c>
      <c r="C958" s="1" t="n">
        <v>45842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10.4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18170-2024</t>
        </is>
      </c>
      <c r="B959" s="1" t="n">
        <v>45420</v>
      </c>
      <c r="C959" s="1" t="n">
        <v>45842</v>
      </c>
      <c r="D959" t="inlineStr">
        <is>
          <t>VÄRMLANDS LÄN</t>
        </is>
      </c>
      <c r="E959" t="inlineStr">
        <is>
          <t>HAGFORS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18088-2024</t>
        </is>
      </c>
      <c r="B960" s="1" t="n">
        <v>45420</v>
      </c>
      <c r="C960" s="1" t="n">
        <v>45842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18213-2024</t>
        </is>
      </c>
      <c r="B961" s="1" t="n">
        <v>45420</v>
      </c>
      <c r="C961" s="1" t="n">
        <v>45842</v>
      </c>
      <c r="D961" t="inlineStr">
        <is>
          <t>VÄRMLANDS LÄN</t>
        </is>
      </c>
      <c r="E961" t="inlineStr">
        <is>
          <t>HAGFORS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18131-2024</t>
        </is>
      </c>
      <c r="B962" s="1" t="n">
        <v>45420</v>
      </c>
      <c r="C962" s="1" t="n">
        <v>45842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18511-2024</t>
        </is>
      </c>
      <c r="B963" s="1" t="n">
        <v>45425</v>
      </c>
      <c r="C963" s="1" t="n">
        <v>45842</v>
      </c>
      <c r="D963" t="inlineStr">
        <is>
          <t>VÄRMLANDS LÄN</t>
        </is>
      </c>
      <c r="E963" t="inlineStr">
        <is>
          <t>HAGFORS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18472-2024</t>
        </is>
      </c>
      <c r="B964" s="1" t="n">
        <v>45425</v>
      </c>
      <c r="C964" s="1" t="n">
        <v>45842</v>
      </c>
      <c r="D964" t="inlineStr">
        <is>
          <t>VÄRMLANDS LÄN</t>
        </is>
      </c>
      <c r="E964" t="inlineStr">
        <is>
          <t>HAGFORS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18477-2024</t>
        </is>
      </c>
      <c r="B965" s="1" t="n">
        <v>45425</v>
      </c>
      <c r="C965" s="1" t="n">
        <v>45842</v>
      </c>
      <c r="D965" t="inlineStr">
        <is>
          <t>VÄRMLANDS LÄN</t>
        </is>
      </c>
      <c r="E965" t="inlineStr">
        <is>
          <t>HAGFORS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18673-2024</t>
        </is>
      </c>
      <c r="B966" s="1" t="n">
        <v>45426</v>
      </c>
      <c r="C966" s="1" t="n">
        <v>45842</v>
      </c>
      <c r="D966" t="inlineStr">
        <is>
          <t>VÄRMLANDS LÄN</t>
        </is>
      </c>
      <c r="E966" t="inlineStr">
        <is>
          <t>HAGFORS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18814-2024</t>
        </is>
      </c>
      <c r="B967" s="1" t="n">
        <v>45426</v>
      </c>
      <c r="C967" s="1" t="n">
        <v>45842</v>
      </c>
      <c r="D967" t="inlineStr">
        <is>
          <t>VÄRMLANDS LÄN</t>
        </is>
      </c>
      <c r="E967" t="inlineStr">
        <is>
          <t>HAGFORS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18894-2024</t>
        </is>
      </c>
      <c r="B968" s="1" t="n">
        <v>45427</v>
      </c>
      <c r="C968" s="1" t="n">
        <v>45842</v>
      </c>
      <c r="D968" t="inlineStr">
        <is>
          <t>VÄRMLANDS LÄN</t>
        </is>
      </c>
      <c r="E968" t="inlineStr">
        <is>
          <t>HAGFORS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19125-2024</t>
        </is>
      </c>
      <c r="B969" s="1" t="n">
        <v>45428</v>
      </c>
      <c r="C969" s="1" t="n">
        <v>45842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19.5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19226-2024</t>
        </is>
      </c>
      <c r="B970" s="1" t="n">
        <v>45428</v>
      </c>
      <c r="C970" s="1" t="n">
        <v>45842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19554-2024</t>
        </is>
      </c>
      <c r="B971" s="1" t="n">
        <v>45429</v>
      </c>
      <c r="C971" s="1" t="n">
        <v>45842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19711-2024</t>
        </is>
      </c>
      <c r="B972" s="1" t="n">
        <v>45432</v>
      </c>
      <c r="C972" s="1" t="n">
        <v>45842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19761-2024</t>
        </is>
      </c>
      <c r="B973" s="1" t="n">
        <v>45432</v>
      </c>
      <c r="C973" s="1" t="n">
        <v>45842</v>
      </c>
      <c r="D973" t="inlineStr">
        <is>
          <t>VÄRMLANDS LÄN</t>
        </is>
      </c>
      <c r="E973" t="inlineStr">
        <is>
          <t>HAGFORS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19654-2024</t>
        </is>
      </c>
      <c r="B974" s="1" t="n">
        <v>45432</v>
      </c>
      <c r="C974" s="1" t="n">
        <v>45842</v>
      </c>
      <c r="D974" t="inlineStr">
        <is>
          <t>VÄRMLANDS LÄN</t>
        </is>
      </c>
      <c r="E974" t="inlineStr">
        <is>
          <t>HAGFORS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19894-2024</t>
        </is>
      </c>
      <c r="B975" s="1" t="n">
        <v>45433</v>
      </c>
      <c r="C975" s="1" t="n">
        <v>45842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20103-2024</t>
        </is>
      </c>
      <c r="B976" s="1" t="n">
        <v>45434</v>
      </c>
      <c r="C976" s="1" t="n">
        <v>45842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20116-2024</t>
        </is>
      </c>
      <c r="B977" s="1" t="n">
        <v>45434</v>
      </c>
      <c r="C977" s="1" t="n">
        <v>45842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20062-2024</t>
        </is>
      </c>
      <c r="B978" s="1" t="n">
        <v>45434</v>
      </c>
      <c r="C978" s="1" t="n">
        <v>45842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20070-2024</t>
        </is>
      </c>
      <c r="B979" s="1" t="n">
        <v>45434</v>
      </c>
      <c r="C979" s="1" t="n">
        <v>45842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20065-2024</t>
        </is>
      </c>
      <c r="B980" s="1" t="n">
        <v>45434</v>
      </c>
      <c r="C980" s="1" t="n">
        <v>45842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20198-2024</t>
        </is>
      </c>
      <c r="B981" s="1" t="n">
        <v>45434</v>
      </c>
      <c r="C981" s="1" t="n">
        <v>45842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20217-2024</t>
        </is>
      </c>
      <c r="B982" s="1" t="n">
        <v>45434</v>
      </c>
      <c r="C982" s="1" t="n">
        <v>45842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20203-2024</t>
        </is>
      </c>
      <c r="B983" s="1" t="n">
        <v>45434</v>
      </c>
      <c r="C983" s="1" t="n">
        <v>45842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20444-2024</t>
        </is>
      </c>
      <c r="B984" s="1" t="n">
        <v>45435</v>
      </c>
      <c r="C984" s="1" t="n">
        <v>45842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20447-2024</t>
        </is>
      </c>
      <c r="B985" s="1" t="n">
        <v>45435</v>
      </c>
      <c r="C985" s="1" t="n">
        <v>45842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20662-2024</t>
        </is>
      </c>
      <c r="B986" s="1" t="n">
        <v>45436</v>
      </c>
      <c r="C986" s="1" t="n">
        <v>45842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20608-2024</t>
        </is>
      </c>
      <c r="B987" s="1" t="n">
        <v>45436</v>
      </c>
      <c r="C987" s="1" t="n">
        <v>45842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13.6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20696-2024</t>
        </is>
      </c>
      <c r="B988" s="1" t="n">
        <v>45436</v>
      </c>
      <c r="C988" s="1" t="n">
        <v>45842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20627-2024</t>
        </is>
      </c>
      <c r="B989" s="1" t="n">
        <v>45436</v>
      </c>
      <c r="C989" s="1" t="n">
        <v>45842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20682-2024</t>
        </is>
      </c>
      <c r="B990" s="1" t="n">
        <v>45436</v>
      </c>
      <c r="C990" s="1" t="n">
        <v>45842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20869-2024</t>
        </is>
      </c>
      <c r="B991" s="1" t="n">
        <v>45439</v>
      </c>
      <c r="C991" s="1" t="n">
        <v>45842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7.3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21065-2024</t>
        </is>
      </c>
      <c r="B992" s="1" t="n">
        <v>45439</v>
      </c>
      <c r="C992" s="1" t="n">
        <v>45842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21451-2024</t>
        </is>
      </c>
      <c r="B993" s="1" t="n">
        <v>45441</v>
      </c>
      <c r="C993" s="1" t="n">
        <v>45842</v>
      </c>
      <c r="D993" t="inlineStr">
        <is>
          <t>VÄRMLANDS LÄN</t>
        </is>
      </c>
      <c r="E993" t="inlineStr">
        <is>
          <t>HAGFORS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21457-2024</t>
        </is>
      </c>
      <c r="B994" s="1" t="n">
        <v>45441</v>
      </c>
      <c r="C994" s="1" t="n">
        <v>45842</v>
      </c>
      <c r="D994" t="inlineStr">
        <is>
          <t>VÄRMLANDS LÄN</t>
        </is>
      </c>
      <c r="E994" t="inlineStr">
        <is>
          <t>HAGFORS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21625-2024</t>
        </is>
      </c>
      <c r="B995" s="1" t="n">
        <v>45442</v>
      </c>
      <c r="C995" s="1" t="n">
        <v>45842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21703-2024</t>
        </is>
      </c>
      <c r="B996" s="1" t="n">
        <v>45442</v>
      </c>
      <c r="C996" s="1" t="n">
        <v>45842</v>
      </c>
      <c r="D996" t="inlineStr">
        <is>
          <t>VÄRMLANDS LÄN</t>
        </is>
      </c>
      <c r="E996" t="inlineStr">
        <is>
          <t>HAGFORS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22038-2024</t>
        </is>
      </c>
      <c r="B997" s="1" t="n">
        <v>45443</v>
      </c>
      <c r="C997" s="1" t="n">
        <v>45842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21873-2024</t>
        </is>
      </c>
      <c r="B998" s="1" t="n">
        <v>45443</v>
      </c>
      <c r="C998" s="1" t="n">
        <v>45842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21877-2024</t>
        </is>
      </c>
      <c r="B999" s="1" t="n">
        <v>45443</v>
      </c>
      <c r="C999" s="1" t="n">
        <v>45842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21867-2024</t>
        </is>
      </c>
      <c r="B1000" s="1" t="n">
        <v>45443</v>
      </c>
      <c r="C1000" s="1" t="n">
        <v>45842</v>
      </c>
      <c r="D1000" t="inlineStr">
        <is>
          <t>VÄRMLANDS LÄN</t>
        </is>
      </c>
      <c r="E1000" t="inlineStr">
        <is>
          <t>HAGFORS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22332-2024</t>
        </is>
      </c>
      <c r="B1001" s="1" t="n">
        <v>45446</v>
      </c>
      <c r="C1001" s="1" t="n">
        <v>45842</v>
      </c>
      <c r="D1001" t="inlineStr">
        <is>
          <t>VÄRMLANDS LÄN</t>
        </is>
      </c>
      <c r="E1001" t="inlineStr">
        <is>
          <t>HAGFORS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22180-2024</t>
        </is>
      </c>
      <c r="B1002" s="1" t="n">
        <v>45446</v>
      </c>
      <c r="C1002" s="1" t="n">
        <v>45842</v>
      </c>
      <c r="D1002" t="inlineStr">
        <is>
          <t>VÄRMLANDS LÄN</t>
        </is>
      </c>
      <c r="E1002" t="inlineStr">
        <is>
          <t>HAGFORS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22626-2024</t>
        </is>
      </c>
      <c r="B1003" s="1" t="n">
        <v>45447</v>
      </c>
      <c r="C1003" s="1" t="n">
        <v>45842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22503-2024</t>
        </is>
      </c>
      <c r="B1004" s="1" t="n">
        <v>45447</v>
      </c>
      <c r="C1004" s="1" t="n">
        <v>45842</v>
      </c>
      <c r="D1004" t="inlineStr">
        <is>
          <t>VÄRMLANDS LÄN</t>
        </is>
      </c>
      <c r="E1004" t="inlineStr">
        <is>
          <t>HAGFORS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22787-2024</t>
        </is>
      </c>
      <c r="B1005" s="1" t="n">
        <v>45448</v>
      </c>
      <c r="C1005" s="1" t="n">
        <v>45842</v>
      </c>
      <c r="D1005" t="inlineStr">
        <is>
          <t>VÄRMLANDS LÄN</t>
        </is>
      </c>
      <c r="E1005" t="inlineStr">
        <is>
          <t>HAGFORS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23047-2024</t>
        </is>
      </c>
      <c r="B1006" s="1" t="n">
        <v>45450</v>
      </c>
      <c r="C1006" s="1" t="n">
        <v>45842</v>
      </c>
      <c r="D1006" t="inlineStr">
        <is>
          <t>VÄRMLANDS LÄN</t>
        </is>
      </c>
      <c r="E1006" t="inlineStr">
        <is>
          <t>HAGFORS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23041-2024</t>
        </is>
      </c>
      <c r="B1007" s="1" t="n">
        <v>45450</v>
      </c>
      <c r="C1007" s="1" t="n">
        <v>45842</v>
      </c>
      <c r="D1007" t="inlineStr">
        <is>
          <t>VÄRMLANDS LÄN</t>
        </is>
      </c>
      <c r="E1007" t="inlineStr">
        <is>
          <t>HAGFORS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23247-2024</t>
        </is>
      </c>
      <c r="B1008" s="1" t="n">
        <v>45453</v>
      </c>
      <c r="C1008" s="1" t="n">
        <v>45842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26.3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23241-2024</t>
        </is>
      </c>
      <c r="B1009" s="1" t="n">
        <v>45453</v>
      </c>
      <c r="C1009" s="1" t="n">
        <v>45842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9.6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23981-2024</t>
        </is>
      </c>
      <c r="B1010" s="1" t="n">
        <v>45456</v>
      </c>
      <c r="C1010" s="1" t="n">
        <v>45842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12.3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24166-2024</t>
        </is>
      </c>
      <c r="B1011" s="1" t="n">
        <v>45456</v>
      </c>
      <c r="C1011" s="1" t="n">
        <v>45842</v>
      </c>
      <c r="D1011" t="inlineStr">
        <is>
          <t>VÄRMLANDS LÄN</t>
        </is>
      </c>
      <c r="E1011" t="inlineStr">
        <is>
          <t>HAGFORS</t>
        </is>
      </c>
      <c r="F1011" t="inlineStr">
        <is>
          <t>Bergvik skog väst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24368-2024</t>
        </is>
      </c>
      <c r="B1012" s="1" t="n">
        <v>45457</v>
      </c>
      <c r="C1012" s="1" t="n">
        <v>45842</v>
      </c>
      <c r="D1012" t="inlineStr">
        <is>
          <t>VÄRMLANDS LÄN</t>
        </is>
      </c>
      <c r="E1012" t="inlineStr">
        <is>
          <t>HAGFORS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24372-2024</t>
        </is>
      </c>
      <c r="B1013" s="1" t="n">
        <v>45457</v>
      </c>
      <c r="C1013" s="1" t="n">
        <v>45842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24359-2024</t>
        </is>
      </c>
      <c r="B1014" s="1" t="n">
        <v>45457</v>
      </c>
      <c r="C1014" s="1" t="n">
        <v>45842</v>
      </c>
      <c r="D1014" t="inlineStr">
        <is>
          <t>VÄRMLANDS LÄN</t>
        </is>
      </c>
      <c r="E1014" t="inlineStr">
        <is>
          <t>HAGFORS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24680-2024</t>
        </is>
      </c>
      <c r="B1015" s="1" t="n">
        <v>45460</v>
      </c>
      <c r="C1015" s="1" t="n">
        <v>45842</v>
      </c>
      <c r="D1015" t="inlineStr">
        <is>
          <t>VÄRMLANDS LÄN</t>
        </is>
      </c>
      <c r="E1015" t="inlineStr">
        <is>
          <t>HAGFORS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24721-2024</t>
        </is>
      </c>
      <c r="B1016" s="1" t="n">
        <v>45460</v>
      </c>
      <c r="C1016" s="1" t="n">
        <v>45842</v>
      </c>
      <c r="D1016" t="inlineStr">
        <is>
          <t>VÄRMLANDS LÄN</t>
        </is>
      </c>
      <c r="E1016" t="inlineStr">
        <is>
          <t>HAGFORS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24664-2024</t>
        </is>
      </c>
      <c r="B1017" s="1" t="n">
        <v>45460</v>
      </c>
      <c r="C1017" s="1" t="n">
        <v>45842</v>
      </c>
      <c r="D1017" t="inlineStr">
        <is>
          <t>VÄRMLANDS LÄN</t>
        </is>
      </c>
      <c r="E1017" t="inlineStr">
        <is>
          <t>HAGFORS</t>
        </is>
      </c>
      <c r="G1017" t="n">
        <v>10.1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24537-2024</t>
        </is>
      </c>
      <c r="B1018" s="1" t="n">
        <v>45460</v>
      </c>
      <c r="C1018" s="1" t="n">
        <v>45842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24958-2024</t>
        </is>
      </c>
      <c r="B1019" s="1" t="n">
        <v>45461</v>
      </c>
      <c r="C1019" s="1" t="n">
        <v>45842</v>
      </c>
      <c r="D1019" t="inlineStr">
        <is>
          <t>VÄRMLANDS LÄN</t>
        </is>
      </c>
      <c r="E1019" t="inlineStr">
        <is>
          <t>HAGFORS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24947-2024</t>
        </is>
      </c>
      <c r="B1020" s="1" t="n">
        <v>45461</v>
      </c>
      <c r="C1020" s="1" t="n">
        <v>45842</v>
      </c>
      <c r="D1020" t="inlineStr">
        <is>
          <t>VÄRMLANDS LÄN</t>
        </is>
      </c>
      <c r="E1020" t="inlineStr">
        <is>
          <t>HAGFORS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24955-2024</t>
        </is>
      </c>
      <c r="B1021" s="1" t="n">
        <v>45461</v>
      </c>
      <c r="C1021" s="1" t="n">
        <v>45842</v>
      </c>
      <c r="D1021" t="inlineStr">
        <is>
          <t>VÄRMLANDS LÄN</t>
        </is>
      </c>
      <c r="E1021" t="inlineStr">
        <is>
          <t>HAGFORS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24965-2024</t>
        </is>
      </c>
      <c r="B1022" s="1" t="n">
        <v>45461</v>
      </c>
      <c r="C1022" s="1" t="n">
        <v>45842</v>
      </c>
      <c r="D1022" t="inlineStr">
        <is>
          <t>VÄRMLANDS LÄN</t>
        </is>
      </c>
      <c r="E1022" t="inlineStr">
        <is>
          <t>HAGFORS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24961-2024</t>
        </is>
      </c>
      <c r="B1023" s="1" t="n">
        <v>45461</v>
      </c>
      <c r="C1023" s="1" t="n">
        <v>45842</v>
      </c>
      <c r="D1023" t="inlineStr">
        <is>
          <t>VÄRMLANDS LÄN</t>
        </is>
      </c>
      <c r="E1023" t="inlineStr">
        <is>
          <t>HAGFORS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24908-2024</t>
        </is>
      </c>
      <c r="B1024" s="1" t="n">
        <v>45461</v>
      </c>
      <c r="C1024" s="1" t="n">
        <v>45842</v>
      </c>
      <c r="D1024" t="inlineStr">
        <is>
          <t>VÄRMLANDS LÄN</t>
        </is>
      </c>
      <c r="E1024" t="inlineStr">
        <is>
          <t>HAGFORS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24814-2024</t>
        </is>
      </c>
      <c r="B1025" s="1" t="n">
        <v>45461</v>
      </c>
      <c r="C1025" s="1" t="n">
        <v>45842</v>
      </c>
      <c r="D1025" t="inlineStr">
        <is>
          <t>VÄRMLANDS LÄN</t>
        </is>
      </c>
      <c r="E1025" t="inlineStr">
        <is>
          <t>HAGFORS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25180-2024</t>
        </is>
      </c>
      <c r="B1026" s="1" t="n">
        <v>45462</v>
      </c>
      <c r="C1026" s="1" t="n">
        <v>45842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17.4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25140-2024</t>
        </is>
      </c>
      <c r="B1027" s="1" t="n">
        <v>45462</v>
      </c>
      <c r="C1027" s="1" t="n">
        <v>45842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9.699999999999999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25069-2024</t>
        </is>
      </c>
      <c r="B1028" s="1" t="n">
        <v>45462</v>
      </c>
      <c r="C1028" s="1" t="n">
        <v>45842</v>
      </c>
      <c r="D1028" t="inlineStr">
        <is>
          <t>VÄRMLANDS LÄN</t>
        </is>
      </c>
      <c r="E1028" t="inlineStr">
        <is>
          <t>HAGFORS</t>
        </is>
      </c>
      <c r="F1028" t="inlineStr">
        <is>
          <t>Kyrkan</t>
        </is>
      </c>
      <c r="G1028" t="n">
        <v>28.3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25123-2024</t>
        </is>
      </c>
      <c r="B1029" s="1" t="n">
        <v>45462</v>
      </c>
      <c r="C1029" s="1" t="n">
        <v>45842</v>
      </c>
      <c r="D1029" t="inlineStr">
        <is>
          <t>VÄRMLANDS LÄN</t>
        </is>
      </c>
      <c r="E1029" t="inlineStr">
        <is>
          <t>HAGFORS</t>
        </is>
      </c>
      <c r="F1029" t="inlineStr">
        <is>
          <t>Kyrkan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25464-2024</t>
        </is>
      </c>
      <c r="B1030" s="1" t="n">
        <v>45463</v>
      </c>
      <c r="C1030" s="1" t="n">
        <v>45842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26297-2024</t>
        </is>
      </c>
      <c r="B1031" s="1" t="n">
        <v>45468</v>
      </c>
      <c r="C1031" s="1" t="n">
        <v>45842</v>
      </c>
      <c r="D1031" t="inlineStr">
        <is>
          <t>VÄRMLANDS LÄN</t>
        </is>
      </c>
      <c r="E1031" t="inlineStr">
        <is>
          <t>HAGFORS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26408-2024</t>
        </is>
      </c>
      <c r="B1032" s="1" t="n">
        <v>45469</v>
      </c>
      <c r="C1032" s="1" t="n">
        <v>45842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26514-2024</t>
        </is>
      </c>
      <c r="B1033" s="1" t="n">
        <v>45469</v>
      </c>
      <c r="C1033" s="1" t="n">
        <v>45842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26504-2024</t>
        </is>
      </c>
      <c r="B1034" s="1" t="n">
        <v>45469</v>
      </c>
      <c r="C1034" s="1" t="n">
        <v>45842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26615-2024</t>
        </is>
      </c>
      <c r="B1035" s="1" t="n">
        <v>45469</v>
      </c>
      <c r="C1035" s="1" t="n">
        <v>45842</v>
      </c>
      <c r="D1035" t="inlineStr">
        <is>
          <t>VÄRMLANDS LÄN</t>
        </is>
      </c>
      <c r="E1035" t="inlineStr">
        <is>
          <t>HAGFORS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26348-2024</t>
        </is>
      </c>
      <c r="B1036" s="1" t="n">
        <v>45469</v>
      </c>
      <c r="C1036" s="1" t="n">
        <v>45842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9.300000000000001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26629-2024</t>
        </is>
      </c>
      <c r="B1037" s="1" t="n">
        <v>45469</v>
      </c>
      <c r="C1037" s="1" t="n">
        <v>45842</v>
      </c>
      <c r="D1037" t="inlineStr">
        <is>
          <t>VÄRMLANDS LÄN</t>
        </is>
      </c>
      <c r="E1037" t="inlineStr">
        <is>
          <t>HAGFORS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26628-2024</t>
        </is>
      </c>
      <c r="B1038" s="1" t="n">
        <v>45469</v>
      </c>
      <c r="C1038" s="1" t="n">
        <v>45842</v>
      </c>
      <c r="D1038" t="inlineStr">
        <is>
          <t>VÄRMLANDS LÄN</t>
        </is>
      </c>
      <c r="E1038" t="inlineStr">
        <is>
          <t>HAGFORS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26728-2024</t>
        </is>
      </c>
      <c r="B1039" s="1" t="n">
        <v>45470</v>
      </c>
      <c r="C1039" s="1" t="n">
        <v>45842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26859-2024</t>
        </is>
      </c>
      <c r="B1040" s="1" t="n">
        <v>45470</v>
      </c>
      <c r="C1040" s="1" t="n">
        <v>45842</v>
      </c>
      <c r="D1040" t="inlineStr">
        <is>
          <t>VÄRMLANDS LÄN</t>
        </is>
      </c>
      <c r="E1040" t="inlineStr">
        <is>
          <t>HAGFORS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27106-2024</t>
        </is>
      </c>
      <c r="B1041" s="1" t="n">
        <v>45471</v>
      </c>
      <c r="C1041" s="1" t="n">
        <v>45842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9.199999999999999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27371-2024</t>
        </is>
      </c>
      <c r="B1042" s="1" t="n">
        <v>45473</v>
      </c>
      <c r="C1042" s="1" t="n">
        <v>45842</v>
      </c>
      <c r="D1042" t="inlineStr">
        <is>
          <t>VÄRMLANDS LÄN</t>
        </is>
      </c>
      <c r="E1042" t="inlineStr">
        <is>
          <t>HAGFORS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27481-2024</t>
        </is>
      </c>
      <c r="B1043" s="1" t="n">
        <v>45474</v>
      </c>
      <c r="C1043" s="1" t="n">
        <v>45842</v>
      </c>
      <c r="D1043" t="inlineStr">
        <is>
          <t>VÄRMLANDS LÄN</t>
        </is>
      </c>
      <c r="E1043" t="inlineStr">
        <is>
          <t>HAGFORS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27826-2024</t>
        </is>
      </c>
      <c r="B1044" s="1" t="n">
        <v>45475</v>
      </c>
      <c r="C1044" s="1" t="n">
        <v>45842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27750-2024</t>
        </is>
      </c>
      <c r="B1045" s="1" t="n">
        <v>45475</v>
      </c>
      <c r="C1045" s="1" t="n">
        <v>45842</v>
      </c>
      <c r="D1045" t="inlineStr">
        <is>
          <t>VÄRMLANDS LÄN</t>
        </is>
      </c>
      <c r="E1045" t="inlineStr">
        <is>
          <t>HAGFORS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27756-2024</t>
        </is>
      </c>
      <c r="B1046" s="1" t="n">
        <v>45475</v>
      </c>
      <c r="C1046" s="1" t="n">
        <v>45842</v>
      </c>
      <c r="D1046" t="inlineStr">
        <is>
          <t>VÄRMLANDS LÄN</t>
        </is>
      </c>
      <c r="E1046" t="inlineStr">
        <is>
          <t>HAGFORS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27739-2024</t>
        </is>
      </c>
      <c r="B1047" s="1" t="n">
        <v>45475</v>
      </c>
      <c r="C1047" s="1" t="n">
        <v>45842</v>
      </c>
      <c r="D1047" t="inlineStr">
        <is>
          <t>VÄRMLANDS LÄN</t>
        </is>
      </c>
      <c r="E1047" t="inlineStr">
        <is>
          <t>HAGFORS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27827-2024</t>
        </is>
      </c>
      <c r="B1048" s="1" t="n">
        <v>45475</v>
      </c>
      <c r="C1048" s="1" t="n">
        <v>45842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28099-2024</t>
        </is>
      </c>
      <c r="B1049" s="1" t="n">
        <v>45476</v>
      </c>
      <c r="C1049" s="1" t="n">
        <v>45842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28137-2024</t>
        </is>
      </c>
      <c r="B1050" s="1" t="n">
        <v>45476</v>
      </c>
      <c r="C1050" s="1" t="n">
        <v>45842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28044-2024</t>
        </is>
      </c>
      <c r="B1051" s="1" t="n">
        <v>45476</v>
      </c>
      <c r="C1051" s="1" t="n">
        <v>45842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28087-2024</t>
        </is>
      </c>
      <c r="B1052" s="1" t="n">
        <v>45476</v>
      </c>
      <c r="C1052" s="1" t="n">
        <v>45842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28331-2024</t>
        </is>
      </c>
      <c r="B1053" s="1" t="n">
        <v>45477</v>
      </c>
      <c r="C1053" s="1" t="n">
        <v>45842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28396-2024</t>
        </is>
      </c>
      <c r="B1054" s="1" t="n">
        <v>45477</v>
      </c>
      <c r="C1054" s="1" t="n">
        <v>45842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28560-2024</t>
        </is>
      </c>
      <c r="B1055" s="1" t="n">
        <v>45478</v>
      </c>
      <c r="C1055" s="1" t="n">
        <v>45842</v>
      </c>
      <c r="D1055" t="inlineStr">
        <is>
          <t>VÄRMLANDS LÄN</t>
        </is>
      </c>
      <c r="E1055" t="inlineStr">
        <is>
          <t>HAGFORS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28738-2024</t>
        </is>
      </c>
      <c r="B1056" s="1" t="n">
        <v>45478</v>
      </c>
      <c r="C1056" s="1" t="n">
        <v>45842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28775-2024</t>
        </is>
      </c>
      <c r="B1057" s="1" t="n">
        <v>45478</v>
      </c>
      <c r="C1057" s="1" t="n">
        <v>45842</v>
      </c>
      <c r="D1057" t="inlineStr">
        <is>
          <t>VÄRMLANDS LÄN</t>
        </is>
      </c>
      <c r="E1057" t="inlineStr">
        <is>
          <t>HAGFORS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29371-2024</t>
        </is>
      </c>
      <c r="B1058" s="1" t="n">
        <v>45483</v>
      </c>
      <c r="C1058" s="1" t="n">
        <v>45842</v>
      </c>
      <c r="D1058" t="inlineStr">
        <is>
          <t>VÄRMLANDS LÄN</t>
        </is>
      </c>
      <c r="E1058" t="inlineStr">
        <is>
          <t>HAGFORS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29389-2024</t>
        </is>
      </c>
      <c r="B1059" s="1" t="n">
        <v>45483</v>
      </c>
      <c r="C1059" s="1" t="n">
        <v>45842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20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29492-2024</t>
        </is>
      </c>
      <c r="B1060" s="1" t="n">
        <v>45484</v>
      </c>
      <c r="C1060" s="1" t="n">
        <v>45842</v>
      </c>
      <c r="D1060" t="inlineStr">
        <is>
          <t>VÄRMLANDS LÄN</t>
        </is>
      </c>
      <c r="E1060" t="inlineStr">
        <is>
          <t>HAGFORS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29827-2024</t>
        </is>
      </c>
      <c r="B1061" s="1" t="n">
        <v>45485</v>
      </c>
      <c r="C1061" s="1" t="n">
        <v>45842</v>
      </c>
      <c r="D1061" t="inlineStr">
        <is>
          <t>VÄRMLANDS LÄN</t>
        </is>
      </c>
      <c r="E1061" t="inlineStr">
        <is>
          <t>HAGFORS</t>
        </is>
      </c>
      <c r="F1061" t="inlineStr">
        <is>
          <t>Bergvik skog väst AB</t>
        </is>
      </c>
      <c r="G1061" t="n">
        <v>13.4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29726-2024</t>
        </is>
      </c>
      <c r="B1062" s="1" t="n">
        <v>45485</v>
      </c>
      <c r="C1062" s="1" t="n">
        <v>45842</v>
      </c>
      <c r="D1062" t="inlineStr">
        <is>
          <t>VÄRMLANDS LÄN</t>
        </is>
      </c>
      <c r="E1062" t="inlineStr">
        <is>
          <t>HAGFORS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30158-2024</t>
        </is>
      </c>
      <c r="B1063" s="1" t="n">
        <v>45489</v>
      </c>
      <c r="C1063" s="1" t="n">
        <v>45842</v>
      </c>
      <c r="D1063" t="inlineStr">
        <is>
          <t>VÄRMLANDS LÄN</t>
        </is>
      </c>
      <c r="E1063" t="inlineStr">
        <is>
          <t>HAGFORS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30535-2024</t>
        </is>
      </c>
      <c r="B1064" s="1" t="n">
        <v>45492</v>
      </c>
      <c r="C1064" s="1" t="n">
        <v>45842</v>
      </c>
      <c r="D1064" t="inlineStr">
        <is>
          <t>VÄRMLANDS LÄN</t>
        </is>
      </c>
      <c r="E1064" t="inlineStr">
        <is>
          <t>HAGFORS</t>
        </is>
      </c>
      <c r="F1064" t="inlineStr">
        <is>
          <t>Bergvik skog väst AB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30520-2024</t>
        </is>
      </c>
      <c r="B1065" s="1" t="n">
        <v>45492</v>
      </c>
      <c r="C1065" s="1" t="n">
        <v>45842</v>
      </c>
      <c r="D1065" t="inlineStr">
        <is>
          <t>VÄRMLANDS LÄN</t>
        </is>
      </c>
      <c r="E1065" t="inlineStr">
        <is>
          <t>HAGFORS</t>
        </is>
      </c>
      <c r="F1065" t="inlineStr">
        <is>
          <t>Kyrkan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30512-2024</t>
        </is>
      </c>
      <c r="B1066" s="1" t="n">
        <v>45492</v>
      </c>
      <c r="C1066" s="1" t="n">
        <v>45842</v>
      </c>
      <c r="D1066" t="inlineStr">
        <is>
          <t>VÄRMLANDS LÄN</t>
        </is>
      </c>
      <c r="E1066" t="inlineStr">
        <is>
          <t>HAGFORS</t>
        </is>
      </c>
      <c r="F1066" t="inlineStr">
        <is>
          <t>Kyrkan</t>
        </is>
      </c>
      <c r="G1066" t="n">
        <v>9.300000000000001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30694-2024</t>
        </is>
      </c>
      <c r="B1067" s="1" t="n">
        <v>45496</v>
      </c>
      <c r="C1067" s="1" t="n">
        <v>45842</v>
      </c>
      <c r="D1067" t="inlineStr">
        <is>
          <t>VÄRMLANDS LÄN</t>
        </is>
      </c>
      <c r="E1067" t="inlineStr">
        <is>
          <t>HAGFORS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30731-2024</t>
        </is>
      </c>
      <c r="B1068" s="1" t="n">
        <v>45496</v>
      </c>
      <c r="C1068" s="1" t="n">
        <v>45842</v>
      </c>
      <c r="D1068" t="inlineStr">
        <is>
          <t>VÄRMLANDS LÄN</t>
        </is>
      </c>
      <c r="E1068" t="inlineStr">
        <is>
          <t>HAGFORS</t>
        </is>
      </c>
      <c r="G1068" t="n">
        <v>9.4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30693-2024</t>
        </is>
      </c>
      <c r="B1069" s="1" t="n">
        <v>45496</v>
      </c>
      <c r="C1069" s="1" t="n">
        <v>45842</v>
      </c>
      <c r="D1069" t="inlineStr">
        <is>
          <t>VÄRMLANDS LÄN</t>
        </is>
      </c>
      <c r="E1069" t="inlineStr">
        <is>
          <t>HAGFORS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30955-2024</t>
        </is>
      </c>
      <c r="B1070" s="1" t="n">
        <v>45499</v>
      </c>
      <c r="C1070" s="1" t="n">
        <v>45842</v>
      </c>
      <c r="D1070" t="inlineStr">
        <is>
          <t>VÄRMLANDS LÄN</t>
        </is>
      </c>
      <c r="E1070" t="inlineStr">
        <is>
          <t>HAGFORS</t>
        </is>
      </c>
      <c r="F1070" t="inlineStr">
        <is>
          <t>Bergvik skog väst AB</t>
        </is>
      </c>
      <c r="G1070" t="n">
        <v>21.1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31087-2024</t>
        </is>
      </c>
      <c r="B1071" s="1" t="n">
        <v>45502</v>
      </c>
      <c r="C1071" s="1" t="n">
        <v>45842</v>
      </c>
      <c r="D1071" t="inlineStr">
        <is>
          <t>VÄRMLANDS LÄN</t>
        </is>
      </c>
      <c r="E1071" t="inlineStr">
        <is>
          <t>HAGFORS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31657-2024</t>
        </is>
      </c>
      <c r="B1072" s="1" t="n">
        <v>45506</v>
      </c>
      <c r="C1072" s="1" t="n">
        <v>45842</v>
      </c>
      <c r="D1072" t="inlineStr">
        <is>
          <t>VÄRMLANDS LÄN</t>
        </is>
      </c>
      <c r="E1072" t="inlineStr">
        <is>
          <t>HAGFORS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31813-2024</t>
        </is>
      </c>
      <c r="B1073" s="1" t="n">
        <v>45509</v>
      </c>
      <c r="C1073" s="1" t="n">
        <v>45842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31815-2024</t>
        </is>
      </c>
      <c r="B1074" s="1" t="n">
        <v>45509</v>
      </c>
      <c r="C1074" s="1" t="n">
        <v>45842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31824-2024</t>
        </is>
      </c>
      <c r="B1075" s="1" t="n">
        <v>45509</v>
      </c>
      <c r="C1075" s="1" t="n">
        <v>45842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31812-2024</t>
        </is>
      </c>
      <c r="B1076" s="1" t="n">
        <v>45509</v>
      </c>
      <c r="C1076" s="1" t="n">
        <v>45842</v>
      </c>
      <c r="D1076" t="inlineStr">
        <is>
          <t>VÄRMLANDS LÄN</t>
        </is>
      </c>
      <c r="E1076" t="inlineStr">
        <is>
          <t>HAGFORS</t>
        </is>
      </c>
      <c r="F1076" t="inlineStr">
        <is>
          <t>Kommuner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31810-2024</t>
        </is>
      </c>
      <c r="B1077" s="1" t="n">
        <v>45509</v>
      </c>
      <c r="C1077" s="1" t="n">
        <v>45842</v>
      </c>
      <c r="D1077" t="inlineStr">
        <is>
          <t>VÄRMLANDS LÄN</t>
        </is>
      </c>
      <c r="E1077" t="inlineStr">
        <is>
          <t>HAGFORS</t>
        </is>
      </c>
      <c r="F1077" t="inlineStr">
        <is>
          <t>Kommuner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32033-2024</t>
        </is>
      </c>
      <c r="B1078" s="1" t="n">
        <v>45510</v>
      </c>
      <c r="C1078" s="1" t="n">
        <v>45842</v>
      </c>
      <c r="D1078" t="inlineStr">
        <is>
          <t>VÄRMLANDS LÄN</t>
        </is>
      </c>
      <c r="E1078" t="inlineStr">
        <is>
          <t>HAGFORS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32031-2024</t>
        </is>
      </c>
      <c r="B1079" s="1" t="n">
        <v>45510</v>
      </c>
      <c r="C1079" s="1" t="n">
        <v>45842</v>
      </c>
      <c r="D1079" t="inlineStr">
        <is>
          <t>VÄRMLANDS LÄN</t>
        </is>
      </c>
      <c r="E1079" t="inlineStr">
        <is>
          <t>HAGFORS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31908-2024</t>
        </is>
      </c>
      <c r="B1080" s="1" t="n">
        <v>45510</v>
      </c>
      <c r="C1080" s="1" t="n">
        <v>45842</v>
      </c>
      <c r="D1080" t="inlineStr">
        <is>
          <t>VÄRMLANDS LÄN</t>
        </is>
      </c>
      <c r="E1080" t="inlineStr">
        <is>
          <t>HAGFORS</t>
        </is>
      </c>
      <c r="F1080" t="inlineStr">
        <is>
          <t>Kyrkan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32090-2024</t>
        </is>
      </c>
      <c r="B1081" s="1" t="n">
        <v>45511</v>
      </c>
      <c r="C1081" s="1" t="n">
        <v>45842</v>
      </c>
      <c r="D1081" t="inlineStr">
        <is>
          <t>VÄRMLANDS LÄN</t>
        </is>
      </c>
      <c r="E1081" t="inlineStr">
        <is>
          <t>HAGFORS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33181-2024</t>
        </is>
      </c>
      <c r="B1082" s="1" t="n">
        <v>45518</v>
      </c>
      <c r="C1082" s="1" t="n">
        <v>45842</v>
      </c>
      <c r="D1082" t="inlineStr">
        <is>
          <t>VÄRMLANDS LÄN</t>
        </is>
      </c>
      <c r="E1082" t="inlineStr">
        <is>
          <t>HAGFORS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33152-2024</t>
        </is>
      </c>
      <c r="B1083" s="1" t="n">
        <v>45518</v>
      </c>
      <c r="C1083" s="1" t="n">
        <v>45842</v>
      </c>
      <c r="D1083" t="inlineStr">
        <is>
          <t>VÄRMLANDS LÄN</t>
        </is>
      </c>
      <c r="E1083" t="inlineStr">
        <is>
          <t>HAGFORS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33146-2024</t>
        </is>
      </c>
      <c r="B1084" s="1" t="n">
        <v>45518</v>
      </c>
      <c r="C1084" s="1" t="n">
        <v>45842</v>
      </c>
      <c r="D1084" t="inlineStr">
        <is>
          <t>VÄRMLANDS LÄN</t>
        </is>
      </c>
      <c r="E1084" t="inlineStr">
        <is>
          <t>HAGFORS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33378-2024</t>
        </is>
      </c>
      <c r="B1085" s="1" t="n">
        <v>45519</v>
      </c>
      <c r="C1085" s="1" t="n">
        <v>45842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33399-2024</t>
        </is>
      </c>
      <c r="B1086" s="1" t="n">
        <v>45519</v>
      </c>
      <c r="C1086" s="1" t="n">
        <v>45842</v>
      </c>
      <c r="D1086" t="inlineStr">
        <is>
          <t>VÄRMLANDS LÄN</t>
        </is>
      </c>
      <c r="E1086" t="inlineStr">
        <is>
          <t>HAGFORS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33405-2024</t>
        </is>
      </c>
      <c r="B1087" s="1" t="n">
        <v>45519</v>
      </c>
      <c r="C1087" s="1" t="n">
        <v>45842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33457-2024</t>
        </is>
      </c>
      <c r="B1088" s="1" t="n">
        <v>45519</v>
      </c>
      <c r="C1088" s="1" t="n">
        <v>45842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33452-2024</t>
        </is>
      </c>
      <c r="B1089" s="1" t="n">
        <v>45519</v>
      </c>
      <c r="C1089" s="1" t="n">
        <v>45842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33525-2024</t>
        </is>
      </c>
      <c r="B1090" s="1" t="n">
        <v>45519</v>
      </c>
      <c r="C1090" s="1" t="n">
        <v>45842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33545-2024</t>
        </is>
      </c>
      <c r="B1091" s="1" t="n">
        <v>45519</v>
      </c>
      <c r="C1091" s="1" t="n">
        <v>45842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34210-2024</t>
        </is>
      </c>
      <c r="B1092" s="1" t="n">
        <v>45524</v>
      </c>
      <c r="C1092" s="1" t="n">
        <v>45842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34239-2024</t>
        </is>
      </c>
      <c r="B1093" s="1" t="n">
        <v>45524</v>
      </c>
      <c r="C1093" s="1" t="n">
        <v>45842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34267-2024</t>
        </is>
      </c>
      <c r="B1094" s="1" t="n">
        <v>45524</v>
      </c>
      <c r="C1094" s="1" t="n">
        <v>45842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34308-2024</t>
        </is>
      </c>
      <c r="B1095" s="1" t="n">
        <v>45524</v>
      </c>
      <c r="C1095" s="1" t="n">
        <v>45842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34540-2024</t>
        </is>
      </c>
      <c r="B1096" s="1" t="n">
        <v>45525</v>
      </c>
      <c r="C1096" s="1" t="n">
        <v>45842</v>
      </c>
      <c r="D1096" t="inlineStr">
        <is>
          <t>VÄRMLANDS LÄN</t>
        </is>
      </c>
      <c r="E1096" t="inlineStr">
        <is>
          <t>HAGFORS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34541-2024</t>
        </is>
      </c>
      <c r="B1097" s="1" t="n">
        <v>45525</v>
      </c>
      <c r="C1097" s="1" t="n">
        <v>45842</v>
      </c>
      <c r="D1097" t="inlineStr">
        <is>
          <t>VÄRMLANDS LÄN</t>
        </is>
      </c>
      <c r="E1097" t="inlineStr">
        <is>
          <t>HAGFORS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34636-2024</t>
        </is>
      </c>
      <c r="B1098" s="1" t="n">
        <v>45526</v>
      </c>
      <c r="C1098" s="1" t="n">
        <v>45842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34683-2024</t>
        </is>
      </c>
      <c r="B1099" s="1" t="n">
        <v>45526</v>
      </c>
      <c r="C1099" s="1" t="n">
        <v>45842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34670-2024</t>
        </is>
      </c>
      <c r="B1100" s="1" t="n">
        <v>45526</v>
      </c>
      <c r="C1100" s="1" t="n">
        <v>45842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34780-2024</t>
        </is>
      </c>
      <c r="B1101" s="1" t="n">
        <v>45526</v>
      </c>
      <c r="C1101" s="1" t="n">
        <v>45842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35088-2024</t>
        </is>
      </c>
      <c r="B1102" s="1" t="n">
        <v>45527</v>
      </c>
      <c r="C1102" s="1" t="n">
        <v>45842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35002-2024</t>
        </is>
      </c>
      <c r="B1103" s="1" t="n">
        <v>45527</v>
      </c>
      <c r="C1103" s="1" t="n">
        <v>45842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34937-2024</t>
        </is>
      </c>
      <c r="B1104" s="1" t="n">
        <v>45527</v>
      </c>
      <c r="C1104" s="1" t="n">
        <v>45842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14.5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34901-2024</t>
        </is>
      </c>
      <c r="B1105" s="1" t="n">
        <v>45527</v>
      </c>
      <c r="C1105" s="1" t="n">
        <v>45842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35021-2024</t>
        </is>
      </c>
      <c r="B1106" s="1" t="n">
        <v>45527</v>
      </c>
      <c r="C1106" s="1" t="n">
        <v>45842</v>
      </c>
      <c r="D1106" t="inlineStr">
        <is>
          <t>VÄRMLANDS LÄN</t>
        </is>
      </c>
      <c r="E1106" t="inlineStr">
        <is>
          <t>HAGFORS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34895-2024</t>
        </is>
      </c>
      <c r="B1107" s="1" t="n">
        <v>45527</v>
      </c>
      <c r="C1107" s="1" t="n">
        <v>45842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35275-2024</t>
        </is>
      </c>
      <c r="B1108" s="1" t="n">
        <v>45530</v>
      </c>
      <c r="C1108" s="1" t="n">
        <v>45842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35775-2024</t>
        </is>
      </c>
      <c r="B1109" s="1" t="n">
        <v>45532</v>
      </c>
      <c r="C1109" s="1" t="n">
        <v>45842</v>
      </c>
      <c r="D1109" t="inlineStr">
        <is>
          <t>VÄRMLANDS LÄN</t>
        </is>
      </c>
      <c r="E1109" t="inlineStr">
        <is>
          <t>HAGFORS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35920-2024</t>
        </is>
      </c>
      <c r="B1110" s="1" t="n">
        <v>45533</v>
      </c>
      <c r="C1110" s="1" t="n">
        <v>45842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35994-2024</t>
        </is>
      </c>
      <c r="B1111" s="1" t="n">
        <v>45533</v>
      </c>
      <c r="C1111" s="1" t="n">
        <v>45842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35981-2024</t>
        </is>
      </c>
      <c r="B1112" s="1" t="n">
        <v>45533</v>
      </c>
      <c r="C1112" s="1" t="n">
        <v>45842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36143-2024</t>
        </is>
      </c>
      <c r="B1113" s="1" t="n">
        <v>45534</v>
      </c>
      <c r="C1113" s="1" t="n">
        <v>45842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36243-2024</t>
        </is>
      </c>
      <c r="B1114" s="1" t="n">
        <v>45534</v>
      </c>
      <c r="C1114" s="1" t="n">
        <v>45842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22.1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36146-2024</t>
        </is>
      </c>
      <c r="B1115" s="1" t="n">
        <v>45534</v>
      </c>
      <c r="C1115" s="1" t="n">
        <v>45842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36294-2024</t>
        </is>
      </c>
      <c r="B1116" s="1" t="n">
        <v>45534</v>
      </c>
      <c r="C1116" s="1" t="n">
        <v>45842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36206-2024</t>
        </is>
      </c>
      <c r="B1117" s="1" t="n">
        <v>45534</v>
      </c>
      <c r="C1117" s="1" t="n">
        <v>45842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36288-2024</t>
        </is>
      </c>
      <c r="B1118" s="1" t="n">
        <v>45534</v>
      </c>
      <c r="C1118" s="1" t="n">
        <v>45842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36228-2024</t>
        </is>
      </c>
      <c r="B1119" s="1" t="n">
        <v>45534</v>
      </c>
      <c r="C1119" s="1" t="n">
        <v>45842</v>
      </c>
      <c r="D1119" t="inlineStr">
        <is>
          <t>VÄRMLANDS LÄN</t>
        </is>
      </c>
      <c r="E1119" t="inlineStr">
        <is>
          <t>HAGFORS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36492-2024</t>
        </is>
      </c>
      <c r="B1120" s="1" t="n">
        <v>45537</v>
      </c>
      <c r="C1120" s="1" t="n">
        <v>45842</v>
      </c>
      <c r="D1120" t="inlineStr">
        <is>
          <t>VÄRMLANDS LÄN</t>
        </is>
      </c>
      <c r="E1120" t="inlineStr">
        <is>
          <t>HAGFORS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36485-2024</t>
        </is>
      </c>
      <c r="B1121" s="1" t="n">
        <v>45537</v>
      </c>
      <c r="C1121" s="1" t="n">
        <v>45842</v>
      </c>
      <c r="D1121" t="inlineStr">
        <is>
          <t>VÄRMLANDS LÄN</t>
        </is>
      </c>
      <c r="E1121" t="inlineStr">
        <is>
          <t>HAGFORS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37138-2024</t>
        </is>
      </c>
      <c r="B1122" s="1" t="n">
        <v>45539</v>
      </c>
      <c r="C1122" s="1" t="n">
        <v>45842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37164-2024</t>
        </is>
      </c>
      <c r="B1123" s="1" t="n">
        <v>45539</v>
      </c>
      <c r="C1123" s="1" t="n">
        <v>45842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15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37189-2024</t>
        </is>
      </c>
      <c r="B1124" s="1" t="n">
        <v>45539</v>
      </c>
      <c r="C1124" s="1" t="n">
        <v>45842</v>
      </c>
      <c r="D1124" t="inlineStr">
        <is>
          <t>VÄRMLANDS LÄN</t>
        </is>
      </c>
      <c r="E1124" t="inlineStr">
        <is>
          <t>HAGFORS</t>
        </is>
      </c>
      <c r="G1124" t="n">
        <v>8.300000000000001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37711-2024</t>
        </is>
      </c>
      <c r="B1125" s="1" t="n">
        <v>45541</v>
      </c>
      <c r="C1125" s="1" t="n">
        <v>45842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24.3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38239-2024</t>
        </is>
      </c>
      <c r="B1126" s="1" t="n">
        <v>45545</v>
      </c>
      <c r="C1126" s="1" t="n">
        <v>45842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38210-2024</t>
        </is>
      </c>
      <c r="B1127" s="1" t="n">
        <v>45545</v>
      </c>
      <c r="C1127" s="1" t="n">
        <v>45842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38267-2024</t>
        </is>
      </c>
      <c r="B1128" s="1" t="n">
        <v>45545</v>
      </c>
      <c r="C1128" s="1" t="n">
        <v>45842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38236-2024</t>
        </is>
      </c>
      <c r="B1129" s="1" t="n">
        <v>45545</v>
      </c>
      <c r="C1129" s="1" t="n">
        <v>45842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38542-2024</t>
        </is>
      </c>
      <c r="B1130" s="1" t="n">
        <v>45546</v>
      </c>
      <c r="C1130" s="1" t="n">
        <v>45842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38474-2024</t>
        </is>
      </c>
      <c r="B1131" s="1" t="n">
        <v>45546</v>
      </c>
      <c r="C1131" s="1" t="n">
        <v>45842</v>
      </c>
      <c r="D1131" t="inlineStr">
        <is>
          <t>VÄRMLANDS LÄN</t>
        </is>
      </c>
      <c r="E1131" t="inlineStr">
        <is>
          <t>HAGFORS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38500-2024</t>
        </is>
      </c>
      <c r="B1132" s="1" t="n">
        <v>45546</v>
      </c>
      <c r="C1132" s="1" t="n">
        <v>45842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38738-2024</t>
        </is>
      </c>
      <c r="B1133" s="1" t="n">
        <v>45547</v>
      </c>
      <c r="C1133" s="1" t="n">
        <v>45842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38754-2024</t>
        </is>
      </c>
      <c r="B1134" s="1" t="n">
        <v>45547</v>
      </c>
      <c r="C1134" s="1" t="n">
        <v>45842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38806-2024</t>
        </is>
      </c>
      <c r="B1135" s="1" t="n">
        <v>45547</v>
      </c>
      <c r="C1135" s="1" t="n">
        <v>45842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38887-2024</t>
        </is>
      </c>
      <c r="B1136" s="1" t="n">
        <v>45547</v>
      </c>
      <c r="C1136" s="1" t="n">
        <v>45842</v>
      </c>
      <c r="D1136" t="inlineStr">
        <is>
          <t>VÄRMLANDS LÄN</t>
        </is>
      </c>
      <c r="E1136" t="inlineStr">
        <is>
          <t>HAGFORS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39362-2024</t>
        </is>
      </c>
      <c r="B1137" s="1" t="n">
        <v>45551</v>
      </c>
      <c r="C1137" s="1" t="n">
        <v>45842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39709-2024</t>
        </is>
      </c>
      <c r="B1138" s="1" t="n">
        <v>45552</v>
      </c>
      <c r="C1138" s="1" t="n">
        <v>45842</v>
      </c>
      <c r="D1138" t="inlineStr">
        <is>
          <t>VÄRMLANDS LÄN</t>
        </is>
      </c>
      <c r="E1138" t="inlineStr">
        <is>
          <t>HAGFORS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39612-2024</t>
        </is>
      </c>
      <c r="B1139" s="1" t="n">
        <v>45552</v>
      </c>
      <c r="C1139" s="1" t="n">
        <v>45842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40209-2024</t>
        </is>
      </c>
      <c r="B1140" s="1" t="n">
        <v>45554</v>
      </c>
      <c r="C1140" s="1" t="n">
        <v>45842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16.9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40194-2024</t>
        </is>
      </c>
      <c r="B1141" s="1" t="n">
        <v>45554</v>
      </c>
      <c r="C1141" s="1" t="n">
        <v>45842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40959-2024</t>
        </is>
      </c>
      <c r="B1142" s="1" t="n">
        <v>45558</v>
      </c>
      <c r="C1142" s="1" t="n">
        <v>45842</v>
      </c>
      <c r="D1142" t="inlineStr">
        <is>
          <t>VÄRMLANDS LÄN</t>
        </is>
      </c>
      <c r="E1142" t="inlineStr">
        <is>
          <t>HAGFORS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40789-2024</t>
        </is>
      </c>
      <c r="B1143" s="1" t="n">
        <v>45558</v>
      </c>
      <c r="C1143" s="1" t="n">
        <v>45842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41092-2024</t>
        </is>
      </c>
      <c r="B1144" s="1" t="n">
        <v>45559</v>
      </c>
      <c r="C1144" s="1" t="n">
        <v>45842</v>
      </c>
      <c r="D1144" t="inlineStr">
        <is>
          <t>VÄRMLANDS LÄN</t>
        </is>
      </c>
      <c r="E1144" t="inlineStr">
        <is>
          <t>HAGFORS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41336-2024</t>
        </is>
      </c>
      <c r="B1145" s="1" t="n">
        <v>45559</v>
      </c>
      <c r="C1145" s="1" t="n">
        <v>45842</v>
      </c>
      <c r="D1145" t="inlineStr">
        <is>
          <t>VÄRMLANDS LÄN</t>
        </is>
      </c>
      <c r="E1145" t="inlineStr">
        <is>
          <t>HAGFORS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41548-2024</t>
        </is>
      </c>
      <c r="B1146" s="1" t="n">
        <v>45560</v>
      </c>
      <c r="C1146" s="1" t="n">
        <v>45842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15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41405-2024</t>
        </is>
      </c>
      <c r="B1147" s="1" t="n">
        <v>45560</v>
      </c>
      <c r="C1147" s="1" t="n">
        <v>45842</v>
      </c>
      <c r="D1147" t="inlineStr">
        <is>
          <t>VÄRMLANDS LÄN</t>
        </is>
      </c>
      <c r="E1147" t="inlineStr">
        <is>
          <t>HAGFORS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41629-2024</t>
        </is>
      </c>
      <c r="B1148" s="1" t="n">
        <v>45560</v>
      </c>
      <c r="C1148" s="1" t="n">
        <v>45842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41721-2024</t>
        </is>
      </c>
      <c r="B1149" s="1" t="n">
        <v>45560</v>
      </c>
      <c r="C1149" s="1" t="n">
        <v>45842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9.300000000000001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41502-2024</t>
        </is>
      </c>
      <c r="B1150" s="1" t="n">
        <v>45560</v>
      </c>
      <c r="C1150" s="1" t="n">
        <v>45842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42169-2024</t>
        </is>
      </c>
      <c r="B1151" s="1" t="n">
        <v>45562</v>
      </c>
      <c r="C1151" s="1" t="n">
        <v>45842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42173-2024</t>
        </is>
      </c>
      <c r="B1152" s="1" t="n">
        <v>45562</v>
      </c>
      <c r="C1152" s="1" t="n">
        <v>45842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42269-2024</t>
        </is>
      </c>
      <c r="B1153" s="1" t="n">
        <v>45562</v>
      </c>
      <c r="C1153" s="1" t="n">
        <v>45842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42121-2024</t>
        </is>
      </c>
      <c r="B1154" s="1" t="n">
        <v>45562</v>
      </c>
      <c r="C1154" s="1" t="n">
        <v>45842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42170-2024</t>
        </is>
      </c>
      <c r="B1155" s="1" t="n">
        <v>45562</v>
      </c>
      <c r="C1155" s="1" t="n">
        <v>45842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42178-2024</t>
        </is>
      </c>
      <c r="B1156" s="1" t="n">
        <v>45562</v>
      </c>
      <c r="C1156" s="1" t="n">
        <v>45842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42150-2024</t>
        </is>
      </c>
      <c r="B1157" s="1" t="n">
        <v>45562</v>
      </c>
      <c r="C1157" s="1" t="n">
        <v>45842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42163-2024</t>
        </is>
      </c>
      <c r="B1158" s="1" t="n">
        <v>45562</v>
      </c>
      <c r="C1158" s="1" t="n">
        <v>45842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42171-2024</t>
        </is>
      </c>
      <c r="B1159" s="1" t="n">
        <v>45562</v>
      </c>
      <c r="C1159" s="1" t="n">
        <v>45842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42175-2024</t>
        </is>
      </c>
      <c r="B1160" s="1" t="n">
        <v>45562</v>
      </c>
      <c r="C1160" s="1" t="n">
        <v>45842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42219-2024</t>
        </is>
      </c>
      <c r="B1161" s="1" t="n">
        <v>45562</v>
      </c>
      <c r="C1161" s="1" t="n">
        <v>45842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42235-2024</t>
        </is>
      </c>
      <c r="B1162" s="1" t="n">
        <v>45562</v>
      </c>
      <c r="C1162" s="1" t="n">
        <v>45842</v>
      </c>
      <c r="D1162" t="inlineStr">
        <is>
          <t>VÄRMLANDS LÄN</t>
        </is>
      </c>
      <c r="E1162" t="inlineStr">
        <is>
          <t>HAGFORS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42243-2024</t>
        </is>
      </c>
      <c r="B1163" s="1" t="n">
        <v>45562</v>
      </c>
      <c r="C1163" s="1" t="n">
        <v>45842</v>
      </c>
      <c r="D1163" t="inlineStr">
        <is>
          <t>VÄRMLANDS LÄN</t>
        </is>
      </c>
      <c r="E1163" t="inlineStr">
        <is>
          <t>HAGFORS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42168-2024</t>
        </is>
      </c>
      <c r="B1164" s="1" t="n">
        <v>45562</v>
      </c>
      <c r="C1164" s="1" t="n">
        <v>45842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42172-2024</t>
        </is>
      </c>
      <c r="B1165" s="1" t="n">
        <v>45562</v>
      </c>
      <c r="C1165" s="1" t="n">
        <v>45842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42180-2024</t>
        </is>
      </c>
      <c r="B1166" s="1" t="n">
        <v>45562</v>
      </c>
      <c r="C1166" s="1" t="n">
        <v>45842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42801-2024</t>
        </is>
      </c>
      <c r="B1167" s="1" t="n">
        <v>45565</v>
      </c>
      <c r="C1167" s="1" t="n">
        <v>45842</v>
      </c>
      <c r="D1167" t="inlineStr">
        <is>
          <t>VÄRMLANDS LÄN</t>
        </is>
      </c>
      <c r="E1167" t="inlineStr">
        <is>
          <t>HAGFORS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42469-2024</t>
        </is>
      </c>
      <c r="B1168" s="1" t="n">
        <v>45565</v>
      </c>
      <c r="C1168" s="1" t="n">
        <v>45842</v>
      </c>
      <c r="D1168" t="inlineStr">
        <is>
          <t>VÄRMLANDS LÄN</t>
        </is>
      </c>
      <c r="E1168" t="inlineStr">
        <is>
          <t>HAGFORS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43223-2024</t>
        </is>
      </c>
      <c r="B1169" s="1" t="n">
        <v>45567</v>
      </c>
      <c r="C1169" s="1" t="n">
        <v>45842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43595-2024</t>
        </is>
      </c>
      <c r="B1170" s="1" t="n">
        <v>45569</v>
      </c>
      <c r="C1170" s="1" t="n">
        <v>45842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43558-2024</t>
        </is>
      </c>
      <c r="B1171" s="1" t="n">
        <v>45569</v>
      </c>
      <c r="C1171" s="1" t="n">
        <v>45842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43543-2024</t>
        </is>
      </c>
      <c r="B1172" s="1" t="n">
        <v>45569</v>
      </c>
      <c r="C1172" s="1" t="n">
        <v>45842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43998-2024</t>
        </is>
      </c>
      <c r="B1173" s="1" t="n">
        <v>45572</v>
      </c>
      <c r="C1173" s="1" t="n">
        <v>45842</v>
      </c>
      <c r="D1173" t="inlineStr">
        <is>
          <t>VÄRMLANDS LÄN</t>
        </is>
      </c>
      <c r="E1173" t="inlineStr">
        <is>
          <t>HAGFORS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44182-2024</t>
        </is>
      </c>
      <c r="B1174" s="1" t="n">
        <v>45572</v>
      </c>
      <c r="C1174" s="1" t="n">
        <v>45842</v>
      </c>
      <c r="D1174" t="inlineStr">
        <is>
          <t>VÄRMLANDS LÄN</t>
        </is>
      </c>
      <c r="E1174" t="inlineStr">
        <is>
          <t>HAGFORS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45116-2024</t>
        </is>
      </c>
      <c r="B1175" s="1" t="n">
        <v>45575</v>
      </c>
      <c r="C1175" s="1" t="n">
        <v>45842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8.1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44975-2024</t>
        </is>
      </c>
      <c r="B1176" s="1" t="n">
        <v>45575</v>
      </c>
      <c r="C1176" s="1" t="n">
        <v>45842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45026-2024</t>
        </is>
      </c>
      <c r="B1177" s="1" t="n">
        <v>45575</v>
      </c>
      <c r="C1177" s="1" t="n">
        <v>45842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44906-2024</t>
        </is>
      </c>
      <c r="B1178" s="1" t="n">
        <v>45575</v>
      </c>
      <c r="C1178" s="1" t="n">
        <v>45842</v>
      </c>
      <c r="D1178" t="inlineStr">
        <is>
          <t>VÄRMLANDS LÄN</t>
        </is>
      </c>
      <c r="E1178" t="inlineStr">
        <is>
          <t>HAGFORS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44895-2024</t>
        </is>
      </c>
      <c r="B1179" s="1" t="n">
        <v>45575</v>
      </c>
      <c r="C1179" s="1" t="n">
        <v>45842</v>
      </c>
      <c r="D1179" t="inlineStr">
        <is>
          <t>VÄRMLANDS LÄN</t>
        </is>
      </c>
      <c r="E1179" t="inlineStr">
        <is>
          <t>HAGFORS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45238-2024</t>
        </is>
      </c>
      <c r="B1180" s="1" t="n">
        <v>45575</v>
      </c>
      <c r="C1180" s="1" t="n">
        <v>45842</v>
      </c>
      <c r="D1180" t="inlineStr">
        <is>
          <t>VÄRMLANDS LÄN</t>
        </is>
      </c>
      <c r="E1180" t="inlineStr">
        <is>
          <t>HAGFORS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45044-2024</t>
        </is>
      </c>
      <c r="B1181" s="1" t="n">
        <v>45575</v>
      </c>
      <c r="C1181" s="1" t="n">
        <v>45842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8.6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46117-2024</t>
        </is>
      </c>
      <c r="B1182" s="1" t="n">
        <v>45581</v>
      </c>
      <c r="C1182" s="1" t="n">
        <v>45842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46196-2024</t>
        </is>
      </c>
      <c r="B1183" s="1" t="n">
        <v>45581</v>
      </c>
      <c r="C1183" s="1" t="n">
        <v>45842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46190-2024</t>
        </is>
      </c>
      <c r="B1184" s="1" t="n">
        <v>45581</v>
      </c>
      <c r="C1184" s="1" t="n">
        <v>45842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46426-2024</t>
        </is>
      </c>
      <c r="B1185" s="1" t="n">
        <v>45582</v>
      </c>
      <c r="C1185" s="1" t="n">
        <v>45842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46425-2024</t>
        </is>
      </c>
      <c r="B1186" s="1" t="n">
        <v>45582</v>
      </c>
      <c r="C1186" s="1" t="n">
        <v>45842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15.8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47082-2024</t>
        </is>
      </c>
      <c r="B1187" s="1" t="n">
        <v>45586</v>
      </c>
      <c r="C1187" s="1" t="n">
        <v>45842</v>
      </c>
      <c r="D1187" t="inlineStr">
        <is>
          <t>VÄRMLANDS LÄN</t>
        </is>
      </c>
      <c r="E1187" t="inlineStr">
        <is>
          <t>HAGFORS</t>
        </is>
      </c>
      <c r="G1187" t="n">
        <v>23.1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47102-2024</t>
        </is>
      </c>
      <c r="B1188" s="1" t="n">
        <v>45586</v>
      </c>
      <c r="C1188" s="1" t="n">
        <v>45842</v>
      </c>
      <c r="D1188" t="inlineStr">
        <is>
          <t>VÄRMLANDS LÄN</t>
        </is>
      </c>
      <c r="E1188" t="inlineStr">
        <is>
          <t>HAGFORS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47156-2024</t>
        </is>
      </c>
      <c r="B1189" s="1" t="n">
        <v>45586</v>
      </c>
      <c r="C1189" s="1" t="n">
        <v>45842</v>
      </c>
      <c r="D1189" t="inlineStr">
        <is>
          <t>VÄRMLANDS LÄN</t>
        </is>
      </c>
      <c r="E1189" t="inlineStr">
        <is>
          <t>HAGFORS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47227-2024</t>
        </is>
      </c>
      <c r="B1190" s="1" t="n">
        <v>45586</v>
      </c>
      <c r="C1190" s="1" t="n">
        <v>45842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12.3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47226-2024</t>
        </is>
      </c>
      <c r="B1191" s="1" t="n">
        <v>45586</v>
      </c>
      <c r="C1191" s="1" t="n">
        <v>45842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12.3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47476-2024</t>
        </is>
      </c>
      <c r="B1192" s="1" t="n">
        <v>45587</v>
      </c>
      <c r="C1192" s="1" t="n">
        <v>45842</v>
      </c>
      <c r="D1192" t="inlineStr">
        <is>
          <t>VÄRMLANDS LÄN</t>
        </is>
      </c>
      <c r="E1192" t="inlineStr">
        <is>
          <t>HAGFORS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47463-2024</t>
        </is>
      </c>
      <c r="B1193" s="1" t="n">
        <v>45587</v>
      </c>
      <c r="C1193" s="1" t="n">
        <v>45842</v>
      </c>
      <c r="D1193" t="inlineStr">
        <is>
          <t>VÄRMLANDS LÄN</t>
        </is>
      </c>
      <c r="E1193" t="inlineStr">
        <is>
          <t>HAGFORS</t>
        </is>
      </c>
      <c r="G1193" t="n">
        <v>8.699999999999999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47443-2024</t>
        </is>
      </c>
      <c r="B1194" s="1" t="n">
        <v>45587</v>
      </c>
      <c r="C1194" s="1" t="n">
        <v>45842</v>
      </c>
      <c r="D1194" t="inlineStr">
        <is>
          <t>VÄRMLANDS LÄN</t>
        </is>
      </c>
      <c r="E1194" t="inlineStr">
        <is>
          <t>HAGFORS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47435-2024</t>
        </is>
      </c>
      <c r="B1195" s="1" t="n">
        <v>45587</v>
      </c>
      <c r="C1195" s="1" t="n">
        <v>45842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47418-2024</t>
        </is>
      </c>
      <c r="B1196" s="1" t="n">
        <v>45587</v>
      </c>
      <c r="C1196" s="1" t="n">
        <v>45842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47409-2024</t>
        </is>
      </c>
      <c r="B1197" s="1" t="n">
        <v>45587</v>
      </c>
      <c r="C1197" s="1" t="n">
        <v>45842</v>
      </c>
      <c r="D1197" t="inlineStr">
        <is>
          <t>VÄRMLANDS LÄN</t>
        </is>
      </c>
      <c r="E1197" t="inlineStr">
        <is>
          <t>HAGFORS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47506-2024</t>
        </is>
      </c>
      <c r="B1198" s="1" t="n">
        <v>45587</v>
      </c>
      <c r="C1198" s="1" t="n">
        <v>45842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47510-2024</t>
        </is>
      </c>
      <c r="B1199" s="1" t="n">
        <v>45587</v>
      </c>
      <c r="C1199" s="1" t="n">
        <v>45842</v>
      </c>
      <c r="D1199" t="inlineStr">
        <is>
          <t>VÄRMLANDS LÄN</t>
        </is>
      </c>
      <c r="E1199" t="inlineStr">
        <is>
          <t>HAGFORS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47425-2024</t>
        </is>
      </c>
      <c r="B1200" s="1" t="n">
        <v>45587</v>
      </c>
      <c r="C1200" s="1" t="n">
        <v>45842</v>
      </c>
      <c r="D1200" t="inlineStr">
        <is>
          <t>VÄRMLANDS LÄN</t>
        </is>
      </c>
      <c r="E1200" t="inlineStr">
        <is>
          <t>HAGFORS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47410-2024</t>
        </is>
      </c>
      <c r="B1201" s="1" t="n">
        <v>45587</v>
      </c>
      <c r="C1201" s="1" t="n">
        <v>45842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47694-2024</t>
        </is>
      </c>
      <c r="B1202" s="1" t="n">
        <v>45588</v>
      </c>
      <c r="C1202" s="1" t="n">
        <v>45842</v>
      </c>
      <c r="D1202" t="inlineStr">
        <is>
          <t>VÄRMLANDS LÄN</t>
        </is>
      </c>
      <c r="E1202" t="inlineStr">
        <is>
          <t>HAGFORS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48068-2024</t>
        </is>
      </c>
      <c r="B1203" s="1" t="n">
        <v>45589</v>
      </c>
      <c r="C1203" s="1" t="n">
        <v>45842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47961-2024</t>
        </is>
      </c>
      <c r="B1204" s="1" t="n">
        <v>45589</v>
      </c>
      <c r="C1204" s="1" t="n">
        <v>45842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18.9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48024-2024</t>
        </is>
      </c>
      <c r="B1205" s="1" t="n">
        <v>45589</v>
      </c>
      <c r="C1205" s="1" t="n">
        <v>45842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48276-2024</t>
        </is>
      </c>
      <c r="B1206" s="1" t="n">
        <v>45590</v>
      </c>
      <c r="C1206" s="1" t="n">
        <v>45842</v>
      </c>
      <c r="D1206" t="inlineStr">
        <is>
          <t>VÄRMLANDS LÄN</t>
        </is>
      </c>
      <c r="E1206" t="inlineStr">
        <is>
          <t>HAGFORS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48541-2024</t>
        </is>
      </c>
      <c r="B1207" s="1" t="n">
        <v>45593</v>
      </c>
      <c r="C1207" s="1" t="n">
        <v>45842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4.6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48872-2024</t>
        </is>
      </c>
      <c r="B1208" s="1" t="n">
        <v>45594</v>
      </c>
      <c r="C1208" s="1" t="n">
        <v>45842</v>
      </c>
      <c r="D1208" t="inlineStr">
        <is>
          <t>VÄRMLANDS LÄN</t>
        </is>
      </c>
      <c r="E1208" t="inlineStr">
        <is>
          <t>HAGFORS</t>
        </is>
      </c>
      <c r="F1208" t="inlineStr">
        <is>
          <t>Kyrkan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HYPERLINK("https://klasma.github.io/Logging_1783/knärot/A 48872-2024 karta knärot.png", "A 48872-2024")</f>
        <v/>
      </c>
      <c r="V1208">
        <f>HYPERLINK("https://klasma.github.io/Logging_1783/klagomål/A 48872-2024 FSC-klagomål.docx", "A 48872-2024")</f>
        <v/>
      </c>
      <c r="W1208">
        <f>HYPERLINK("https://klasma.github.io/Logging_1783/klagomålsmail/A 48872-2024 FSC-klagomål mail.docx", "A 48872-2024")</f>
        <v/>
      </c>
      <c r="X1208">
        <f>HYPERLINK("https://klasma.github.io/Logging_1783/tillsyn/A 48872-2024 tillsynsbegäran.docx", "A 48872-2024")</f>
        <v/>
      </c>
      <c r="Y1208">
        <f>HYPERLINK("https://klasma.github.io/Logging_1783/tillsynsmail/A 48872-2024 tillsynsbegäran mail.docx", "A 48872-2024")</f>
        <v/>
      </c>
    </row>
    <row r="1209" ht="15" customHeight="1">
      <c r="A1209" t="inlineStr">
        <is>
          <t>A 48957-2024</t>
        </is>
      </c>
      <c r="B1209" s="1" t="n">
        <v>45594</v>
      </c>
      <c r="C1209" s="1" t="n">
        <v>45842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8.300000000000001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49767-2024</t>
        </is>
      </c>
      <c r="B1210" s="1" t="n">
        <v>45597</v>
      </c>
      <c r="C1210" s="1" t="n">
        <v>45842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6.4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49839-2024</t>
        </is>
      </c>
      <c r="B1211" s="1" t="n">
        <v>45597</v>
      </c>
      <c r="C1211" s="1" t="n">
        <v>45842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49901-2024</t>
        </is>
      </c>
      <c r="B1212" s="1" t="n">
        <v>45597</v>
      </c>
      <c r="C1212" s="1" t="n">
        <v>45842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50137-2024</t>
        </is>
      </c>
      <c r="B1213" s="1" t="n">
        <v>45600</v>
      </c>
      <c r="C1213" s="1" t="n">
        <v>45842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50331-2024</t>
        </is>
      </c>
      <c r="B1214" s="1" t="n">
        <v>45600</v>
      </c>
      <c r="C1214" s="1" t="n">
        <v>45842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50332-2024</t>
        </is>
      </c>
      <c r="B1215" s="1" t="n">
        <v>45600</v>
      </c>
      <c r="C1215" s="1" t="n">
        <v>45842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50330-2024</t>
        </is>
      </c>
      <c r="B1216" s="1" t="n">
        <v>45600</v>
      </c>
      <c r="C1216" s="1" t="n">
        <v>45842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50399-2024</t>
        </is>
      </c>
      <c r="B1217" s="1" t="n">
        <v>45601</v>
      </c>
      <c r="C1217" s="1" t="n">
        <v>45842</v>
      </c>
      <c r="D1217" t="inlineStr">
        <is>
          <t>VÄRMLANDS LÄN</t>
        </is>
      </c>
      <c r="E1217" t="inlineStr">
        <is>
          <t>HAGFORS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50948-2024</t>
        </is>
      </c>
      <c r="B1218" s="1" t="n">
        <v>45602</v>
      </c>
      <c r="C1218" s="1" t="n">
        <v>45842</v>
      </c>
      <c r="D1218" t="inlineStr">
        <is>
          <t>VÄRMLANDS LÄN</t>
        </is>
      </c>
      <c r="E1218" t="inlineStr">
        <is>
          <t>HAGFORS</t>
        </is>
      </c>
      <c r="G1218" t="n">
        <v>7.7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51171-2024</t>
        </is>
      </c>
      <c r="B1219" s="1" t="n">
        <v>45603</v>
      </c>
      <c r="C1219" s="1" t="n">
        <v>45842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51102-2024</t>
        </is>
      </c>
      <c r="B1220" s="1" t="n">
        <v>45603</v>
      </c>
      <c r="C1220" s="1" t="n">
        <v>45842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51968-2024</t>
        </is>
      </c>
      <c r="B1221" s="1" t="n">
        <v>45607</v>
      </c>
      <c r="C1221" s="1" t="n">
        <v>45842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26.6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51908-2024</t>
        </is>
      </c>
      <c r="B1222" s="1" t="n">
        <v>45607</v>
      </c>
      <c r="C1222" s="1" t="n">
        <v>45842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52383-2024</t>
        </is>
      </c>
      <c r="B1223" s="1" t="n">
        <v>45608</v>
      </c>
      <c r="C1223" s="1" t="n">
        <v>45842</v>
      </c>
      <c r="D1223" t="inlineStr">
        <is>
          <t>VÄRMLANDS LÄN</t>
        </is>
      </c>
      <c r="E1223" t="inlineStr">
        <is>
          <t>HAGFORS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52078-2024</t>
        </is>
      </c>
      <c r="B1224" s="1" t="n">
        <v>45608</v>
      </c>
      <c r="C1224" s="1" t="n">
        <v>45842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52083-2024</t>
        </is>
      </c>
      <c r="B1225" s="1" t="n">
        <v>45608</v>
      </c>
      <c r="C1225" s="1" t="n">
        <v>45842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52392-2024</t>
        </is>
      </c>
      <c r="B1226" s="1" t="n">
        <v>45608</v>
      </c>
      <c r="C1226" s="1" t="n">
        <v>45842</v>
      </c>
      <c r="D1226" t="inlineStr">
        <is>
          <t>VÄRMLANDS LÄN</t>
        </is>
      </c>
      <c r="E1226" t="inlineStr">
        <is>
          <t>HAGFORS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52492-2024</t>
        </is>
      </c>
      <c r="B1227" s="1" t="n">
        <v>45609</v>
      </c>
      <c r="C1227" s="1" t="n">
        <v>45842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52491-2024</t>
        </is>
      </c>
      <c r="B1228" s="1" t="n">
        <v>45609</v>
      </c>
      <c r="C1228" s="1" t="n">
        <v>45842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9.9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52494-2024</t>
        </is>
      </c>
      <c r="B1229" s="1" t="n">
        <v>45609</v>
      </c>
      <c r="C1229" s="1" t="n">
        <v>45842</v>
      </c>
      <c r="D1229" t="inlineStr">
        <is>
          <t>VÄRMLANDS LÄN</t>
        </is>
      </c>
      <c r="E1229" t="inlineStr">
        <is>
          <t>HAGFORS</t>
        </is>
      </c>
      <c r="F1229" t="inlineStr">
        <is>
          <t>Bergvik skog väst AB</t>
        </is>
      </c>
      <c r="G1229" t="n">
        <v>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52969-2024</t>
        </is>
      </c>
      <c r="B1230" s="1" t="n">
        <v>45611</v>
      </c>
      <c r="C1230" s="1" t="n">
        <v>45842</v>
      </c>
      <c r="D1230" t="inlineStr">
        <is>
          <t>VÄRMLANDS LÄN</t>
        </is>
      </c>
      <c r="E1230" t="inlineStr">
        <is>
          <t>HAGFORS</t>
        </is>
      </c>
      <c r="F1230" t="inlineStr">
        <is>
          <t>Bergvik skog väst AB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53443-2024</t>
        </is>
      </c>
      <c r="B1231" s="1" t="n">
        <v>45614</v>
      </c>
      <c r="C1231" s="1" t="n">
        <v>45842</v>
      </c>
      <c r="D1231" t="inlineStr">
        <is>
          <t>VÄRMLANDS LÄN</t>
        </is>
      </c>
      <c r="E1231" t="inlineStr">
        <is>
          <t>HAGFORS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53499-2024</t>
        </is>
      </c>
      <c r="B1232" s="1" t="n">
        <v>45614</v>
      </c>
      <c r="C1232" s="1" t="n">
        <v>45842</v>
      </c>
      <c r="D1232" t="inlineStr">
        <is>
          <t>VÄRMLANDS LÄN</t>
        </is>
      </c>
      <c r="E1232" t="inlineStr">
        <is>
          <t>HAGFORS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53741-2024</t>
        </is>
      </c>
      <c r="B1233" s="1" t="n">
        <v>45615</v>
      </c>
      <c r="C1233" s="1" t="n">
        <v>45842</v>
      </c>
      <c r="D1233" t="inlineStr">
        <is>
          <t>VÄRMLANDS LÄN</t>
        </is>
      </c>
      <c r="E1233" t="inlineStr">
        <is>
          <t>HAGFORS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53813-2024</t>
        </is>
      </c>
      <c r="B1234" s="1" t="n">
        <v>45615</v>
      </c>
      <c r="C1234" s="1" t="n">
        <v>45842</v>
      </c>
      <c r="D1234" t="inlineStr">
        <is>
          <t>VÄRMLANDS LÄN</t>
        </is>
      </c>
      <c r="E1234" t="inlineStr">
        <is>
          <t>HAGFORS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54008-2024</t>
        </is>
      </c>
      <c r="B1235" s="1" t="n">
        <v>45615</v>
      </c>
      <c r="C1235" s="1" t="n">
        <v>45842</v>
      </c>
      <c r="D1235" t="inlineStr">
        <is>
          <t>VÄRMLANDS LÄN</t>
        </is>
      </c>
      <c r="E1235" t="inlineStr">
        <is>
          <t>HAGFORS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54012-2024</t>
        </is>
      </c>
      <c r="B1236" s="1" t="n">
        <v>45615</v>
      </c>
      <c r="C1236" s="1" t="n">
        <v>45842</v>
      </c>
      <c r="D1236" t="inlineStr">
        <is>
          <t>VÄRMLANDS LÄN</t>
        </is>
      </c>
      <c r="E1236" t="inlineStr">
        <is>
          <t>HAGFORS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54005-2024</t>
        </is>
      </c>
      <c r="B1237" s="1" t="n">
        <v>45615</v>
      </c>
      <c r="C1237" s="1" t="n">
        <v>45842</v>
      </c>
      <c r="D1237" t="inlineStr">
        <is>
          <t>VÄRMLANDS LÄN</t>
        </is>
      </c>
      <c r="E1237" t="inlineStr">
        <is>
          <t>HAGFORS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54013-2024</t>
        </is>
      </c>
      <c r="B1238" s="1" t="n">
        <v>45615</v>
      </c>
      <c r="C1238" s="1" t="n">
        <v>45842</v>
      </c>
      <c r="D1238" t="inlineStr">
        <is>
          <t>VÄRMLANDS LÄN</t>
        </is>
      </c>
      <c r="E1238" t="inlineStr">
        <is>
          <t>HAGFORS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54283-2024</t>
        </is>
      </c>
      <c r="B1239" s="1" t="n">
        <v>45616</v>
      </c>
      <c r="C1239" s="1" t="n">
        <v>45842</v>
      </c>
      <c r="D1239" t="inlineStr">
        <is>
          <t>VÄRMLANDS LÄN</t>
        </is>
      </c>
      <c r="E1239" t="inlineStr">
        <is>
          <t>HAGFORS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54304-2024</t>
        </is>
      </c>
      <c r="B1240" s="1" t="n">
        <v>45617</v>
      </c>
      <c r="C1240" s="1" t="n">
        <v>45842</v>
      </c>
      <c r="D1240" t="inlineStr">
        <is>
          <t>VÄRMLANDS LÄN</t>
        </is>
      </c>
      <c r="E1240" t="inlineStr">
        <is>
          <t>HAGFORS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54318-2024</t>
        </is>
      </c>
      <c r="B1241" s="1" t="n">
        <v>45617</v>
      </c>
      <c r="C1241" s="1" t="n">
        <v>45842</v>
      </c>
      <c r="D1241" t="inlineStr">
        <is>
          <t>VÄRMLANDS LÄN</t>
        </is>
      </c>
      <c r="E1241" t="inlineStr">
        <is>
          <t>HAGFORS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54929-2024</t>
        </is>
      </c>
      <c r="B1242" s="1" t="n">
        <v>45618</v>
      </c>
      <c r="C1242" s="1" t="n">
        <v>45842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54928-2024</t>
        </is>
      </c>
      <c r="B1243" s="1" t="n">
        <v>45618</v>
      </c>
      <c r="C1243" s="1" t="n">
        <v>45842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54904-2024</t>
        </is>
      </c>
      <c r="B1244" s="1" t="n">
        <v>45618</v>
      </c>
      <c r="C1244" s="1" t="n">
        <v>45842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54907-2024</t>
        </is>
      </c>
      <c r="B1245" s="1" t="n">
        <v>45618</v>
      </c>
      <c r="C1245" s="1" t="n">
        <v>45842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54888-2024</t>
        </is>
      </c>
      <c r="B1246" s="1" t="n">
        <v>45618</v>
      </c>
      <c r="C1246" s="1" t="n">
        <v>45842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54856-2024</t>
        </is>
      </c>
      <c r="B1247" s="1" t="n">
        <v>45618</v>
      </c>
      <c r="C1247" s="1" t="n">
        <v>45842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54746-2024</t>
        </is>
      </c>
      <c r="B1248" s="1" t="n">
        <v>45618</v>
      </c>
      <c r="C1248" s="1" t="n">
        <v>45842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54886-2024</t>
        </is>
      </c>
      <c r="B1249" s="1" t="n">
        <v>45618</v>
      </c>
      <c r="C1249" s="1" t="n">
        <v>45842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54830-2024</t>
        </is>
      </c>
      <c r="B1250" s="1" t="n">
        <v>45618</v>
      </c>
      <c r="C1250" s="1" t="n">
        <v>45842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54794-2024</t>
        </is>
      </c>
      <c r="B1251" s="1" t="n">
        <v>45618</v>
      </c>
      <c r="C1251" s="1" t="n">
        <v>45842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54744-2024</t>
        </is>
      </c>
      <c r="B1252" s="1" t="n">
        <v>45618</v>
      </c>
      <c r="C1252" s="1" t="n">
        <v>45842</v>
      </c>
      <c r="D1252" t="inlineStr">
        <is>
          <t>VÄRMLANDS LÄN</t>
        </is>
      </c>
      <c r="E1252" t="inlineStr">
        <is>
          <t>HAGFORS</t>
        </is>
      </c>
      <c r="F1252" t="inlineStr">
        <is>
          <t>Kyrkan</t>
        </is>
      </c>
      <c r="G1252" t="n">
        <v>8.800000000000001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54980-2024</t>
        </is>
      </c>
      <c r="B1253" s="1" t="n">
        <v>45620</v>
      </c>
      <c r="C1253" s="1" t="n">
        <v>45842</v>
      </c>
      <c r="D1253" t="inlineStr">
        <is>
          <t>VÄRMLANDS LÄN</t>
        </is>
      </c>
      <c r="E1253" t="inlineStr">
        <is>
          <t>HAGFORS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55244-2024</t>
        </is>
      </c>
      <c r="B1254" s="1" t="n">
        <v>45621</v>
      </c>
      <c r="C1254" s="1" t="n">
        <v>45842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7.3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55262-2024</t>
        </is>
      </c>
      <c r="B1255" s="1" t="n">
        <v>45621</v>
      </c>
      <c r="C1255" s="1" t="n">
        <v>45842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55346-2024</t>
        </is>
      </c>
      <c r="B1256" s="1" t="n">
        <v>45621</v>
      </c>
      <c r="C1256" s="1" t="n">
        <v>45842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55049-2024</t>
        </is>
      </c>
      <c r="B1257" s="1" t="n">
        <v>45621</v>
      </c>
      <c r="C1257" s="1" t="n">
        <v>45842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55137-2024</t>
        </is>
      </c>
      <c r="B1258" s="1" t="n">
        <v>45621</v>
      </c>
      <c r="C1258" s="1" t="n">
        <v>45842</v>
      </c>
      <c r="D1258" t="inlineStr">
        <is>
          <t>VÄRMLANDS LÄN</t>
        </is>
      </c>
      <c r="E1258" t="inlineStr">
        <is>
          <t>HAGFORS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55223-2024</t>
        </is>
      </c>
      <c r="B1259" s="1" t="n">
        <v>45621</v>
      </c>
      <c r="C1259" s="1" t="n">
        <v>45842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55685-2024</t>
        </is>
      </c>
      <c r="B1260" s="1" t="n">
        <v>45622</v>
      </c>
      <c r="C1260" s="1" t="n">
        <v>45842</v>
      </c>
      <c r="D1260" t="inlineStr">
        <is>
          <t>VÄRMLANDS LÄN</t>
        </is>
      </c>
      <c r="E1260" t="inlineStr">
        <is>
          <t>HAGFORS</t>
        </is>
      </c>
      <c r="F1260" t="inlineStr">
        <is>
          <t>Kyrkan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55758-2024</t>
        </is>
      </c>
      <c r="B1261" s="1" t="n">
        <v>45623</v>
      </c>
      <c r="C1261" s="1" t="n">
        <v>45842</v>
      </c>
      <c r="D1261" t="inlineStr">
        <is>
          <t>VÄRMLANDS LÄN</t>
        </is>
      </c>
      <c r="E1261" t="inlineStr">
        <is>
          <t>HAGFORS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55950-2024</t>
        </is>
      </c>
      <c r="B1262" s="1" t="n">
        <v>45623</v>
      </c>
      <c r="C1262" s="1" t="n">
        <v>45842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56165-2024</t>
        </is>
      </c>
      <c r="B1263" s="1" t="n">
        <v>45624</v>
      </c>
      <c r="C1263" s="1" t="n">
        <v>45842</v>
      </c>
      <c r="D1263" t="inlineStr">
        <is>
          <t>VÄRMLANDS LÄN</t>
        </is>
      </c>
      <c r="E1263" t="inlineStr">
        <is>
          <t>HAGFORS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56410-2024</t>
        </is>
      </c>
      <c r="B1264" s="1" t="n">
        <v>45625</v>
      </c>
      <c r="C1264" s="1" t="n">
        <v>45842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56461-2024</t>
        </is>
      </c>
      <c r="B1265" s="1" t="n">
        <v>45625</v>
      </c>
      <c r="C1265" s="1" t="n">
        <v>45842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11.8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56466-2024</t>
        </is>
      </c>
      <c r="B1266" s="1" t="n">
        <v>45625</v>
      </c>
      <c r="C1266" s="1" t="n">
        <v>45842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56567-2024</t>
        </is>
      </c>
      <c r="B1267" s="1" t="n">
        <v>45625</v>
      </c>
      <c r="C1267" s="1" t="n">
        <v>45842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7.5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56747-2024</t>
        </is>
      </c>
      <c r="B1268" s="1" t="n">
        <v>45628</v>
      </c>
      <c r="C1268" s="1" t="n">
        <v>45842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56725-2024</t>
        </is>
      </c>
      <c r="B1269" s="1" t="n">
        <v>45628</v>
      </c>
      <c r="C1269" s="1" t="n">
        <v>45842</v>
      </c>
      <c r="D1269" t="inlineStr">
        <is>
          <t>VÄRMLANDS LÄN</t>
        </is>
      </c>
      <c r="E1269" t="inlineStr">
        <is>
          <t>HAGFORS</t>
        </is>
      </c>
      <c r="F1269" t="inlineStr">
        <is>
          <t>Bergvik skog väst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56729-2024</t>
        </is>
      </c>
      <c r="B1270" s="1" t="n">
        <v>45628</v>
      </c>
      <c r="C1270" s="1" t="n">
        <v>45842</v>
      </c>
      <c r="D1270" t="inlineStr">
        <is>
          <t>VÄRMLANDS LÄN</t>
        </is>
      </c>
      <c r="E1270" t="inlineStr">
        <is>
          <t>HAGFORS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56758-2024</t>
        </is>
      </c>
      <c r="B1271" s="1" t="n">
        <v>45628</v>
      </c>
      <c r="C1271" s="1" t="n">
        <v>45842</v>
      </c>
      <c r="D1271" t="inlineStr">
        <is>
          <t>VÄRMLANDS LÄN</t>
        </is>
      </c>
      <c r="E1271" t="inlineStr">
        <is>
          <t>HAGFORS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56757-2024</t>
        </is>
      </c>
      <c r="B1272" s="1" t="n">
        <v>45628</v>
      </c>
      <c r="C1272" s="1" t="n">
        <v>45842</v>
      </c>
      <c r="D1272" t="inlineStr">
        <is>
          <t>VÄRMLANDS LÄN</t>
        </is>
      </c>
      <c r="E1272" t="inlineStr">
        <is>
          <t>HAGFORS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56946-2024</t>
        </is>
      </c>
      <c r="B1273" s="1" t="n">
        <v>45628</v>
      </c>
      <c r="C1273" s="1" t="n">
        <v>45842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57040-2024</t>
        </is>
      </c>
      <c r="B1274" s="1" t="n">
        <v>45629</v>
      </c>
      <c r="C1274" s="1" t="n">
        <v>45842</v>
      </c>
      <c r="D1274" t="inlineStr">
        <is>
          <t>VÄRMLANDS LÄN</t>
        </is>
      </c>
      <c r="E1274" t="inlineStr">
        <is>
          <t>HAGFORS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57038-2024</t>
        </is>
      </c>
      <c r="B1275" s="1" t="n">
        <v>45629</v>
      </c>
      <c r="C1275" s="1" t="n">
        <v>45842</v>
      </c>
      <c r="D1275" t="inlineStr">
        <is>
          <t>VÄRMLANDS LÄN</t>
        </is>
      </c>
      <c r="E1275" t="inlineStr">
        <is>
          <t>HAGFORS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57162-2024</t>
        </is>
      </c>
      <c r="B1276" s="1" t="n">
        <v>45629</v>
      </c>
      <c r="C1276" s="1" t="n">
        <v>45842</v>
      </c>
      <c r="D1276" t="inlineStr">
        <is>
          <t>VÄRMLANDS LÄN</t>
        </is>
      </c>
      <c r="E1276" t="inlineStr">
        <is>
          <t>HAGFORS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57219-2024</t>
        </is>
      </c>
      <c r="B1277" s="1" t="n">
        <v>45629</v>
      </c>
      <c r="C1277" s="1" t="n">
        <v>45842</v>
      </c>
      <c r="D1277" t="inlineStr">
        <is>
          <t>VÄRMLANDS LÄN</t>
        </is>
      </c>
      <c r="E1277" t="inlineStr">
        <is>
          <t>HAGFORS</t>
        </is>
      </c>
      <c r="G1277" t="n">
        <v>13.5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57223-2024</t>
        </is>
      </c>
      <c r="B1278" s="1" t="n">
        <v>45629</v>
      </c>
      <c r="C1278" s="1" t="n">
        <v>45842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57159-2024</t>
        </is>
      </c>
      <c r="B1279" s="1" t="n">
        <v>45629</v>
      </c>
      <c r="C1279" s="1" t="n">
        <v>45842</v>
      </c>
      <c r="D1279" t="inlineStr">
        <is>
          <t>VÄRMLANDS LÄN</t>
        </is>
      </c>
      <c r="E1279" t="inlineStr">
        <is>
          <t>HAGFORS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57320-2024</t>
        </is>
      </c>
      <c r="B1280" s="1" t="n">
        <v>45629</v>
      </c>
      <c r="C1280" s="1" t="n">
        <v>45842</v>
      </c>
      <c r="D1280" t="inlineStr">
        <is>
          <t>VÄRMLANDS LÄN</t>
        </is>
      </c>
      <c r="E1280" t="inlineStr">
        <is>
          <t>HAGFORS</t>
        </is>
      </c>
      <c r="F1280" t="inlineStr">
        <is>
          <t>Bergvik skog väst AB</t>
        </is>
      </c>
      <c r="G1280" t="n">
        <v>16.6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57593-2024</t>
        </is>
      </c>
      <c r="B1281" s="1" t="n">
        <v>45630</v>
      </c>
      <c r="C1281" s="1" t="n">
        <v>45842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57788-2024</t>
        </is>
      </c>
      <c r="B1282" s="1" t="n">
        <v>45631</v>
      </c>
      <c r="C1282" s="1" t="n">
        <v>45842</v>
      </c>
      <c r="D1282" t="inlineStr">
        <is>
          <t>VÄRMLANDS LÄN</t>
        </is>
      </c>
      <c r="E1282" t="inlineStr">
        <is>
          <t>HAGFORS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58084-2024</t>
        </is>
      </c>
      <c r="B1283" s="1" t="n">
        <v>45632</v>
      </c>
      <c r="C1283" s="1" t="n">
        <v>45842</v>
      </c>
      <c r="D1283" t="inlineStr">
        <is>
          <t>VÄRMLANDS LÄN</t>
        </is>
      </c>
      <c r="E1283" t="inlineStr">
        <is>
          <t>HAGFORS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58081-2024</t>
        </is>
      </c>
      <c r="B1284" s="1" t="n">
        <v>45632</v>
      </c>
      <c r="C1284" s="1" t="n">
        <v>45842</v>
      </c>
      <c r="D1284" t="inlineStr">
        <is>
          <t>VÄRMLANDS LÄN</t>
        </is>
      </c>
      <c r="E1284" t="inlineStr">
        <is>
          <t>HAGFORS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58139-2024</t>
        </is>
      </c>
      <c r="B1285" s="1" t="n">
        <v>45632</v>
      </c>
      <c r="C1285" s="1" t="n">
        <v>45842</v>
      </c>
      <c r="D1285" t="inlineStr">
        <is>
          <t>VÄRMLANDS LÄN</t>
        </is>
      </c>
      <c r="E1285" t="inlineStr">
        <is>
          <t>HAGFORS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58124-2024</t>
        </is>
      </c>
      <c r="B1286" s="1" t="n">
        <v>45632</v>
      </c>
      <c r="C1286" s="1" t="n">
        <v>45842</v>
      </c>
      <c r="D1286" t="inlineStr">
        <is>
          <t>VÄRMLANDS LÄN</t>
        </is>
      </c>
      <c r="E1286" t="inlineStr">
        <is>
          <t>HAGFORS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58132-2024</t>
        </is>
      </c>
      <c r="B1287" s="1" t="n">
        <v>45632</v>
      </c>
      <c r="C1287" s="1" t="n">
        <v>45842</v>
      </c>
      <c r="D1287" t="inlineStr">
        <is>
          <t>VÄRMLANDS LÄN</t>
        </is>
      </c>
      <c r="E1287" t="inlineStr">
        <is>
          <t>HAGFORS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59172-2024</t>
        </is>
      </c>
      <c r="B1288" s="1" t="n">
        <v>45637</v>
      </c>
      <c r="C1288" s="1" t="n">
        <v>45842</v>
      </c>
      <c r="D1288" t="inlineStr">
        <is>
          <t>VÄRMLANDS LÄN</t>
        </is>
      </c>
      <c r="E1288" t="inlineStr">
        <is>
          <t>HAGFORS</t>
        </is>
      </c>
      <c r="F1288" t="inlineStr">
        <is>
          <t>Bergvik skog väst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59247-2024</t>
        </is>
      </c>
      <c r="B1289" s="1" t="n">
        <v>45637</v>
      </c>
      <c r="C1289" s="1" t="n">
        <v>45842</v>
      </c>
      <c r="D1289" t="inlineStr">
        <is>
          <t>VÄRMLANDS LÄN</t>
        </is>
      </c>
      <c r="E1289" t="inlineStr">
        <is>
          <t>HAGFORS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59329-2024</t>
        </is>
      </c>
      <c r="B1290" s="1" t="n">
        <v>45637</v>
      </c>
      <c r="C1290" s="1" t="n">
        <v>45842</v>
      </c>
      <c r="D1290" t="inlineStr">
        <is>
          <t>VÄRMLANDS LÄN</t>
        </is>
      </c>
      <c r="E1290" t="inlineStr">
        <is>
          <t>HAGFORS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59328-2024</t>
        </is>
      </c>
      <c r="B1291" s="1" t="n">
        <v>45637</v>
      </c>
      <c r="C1291" s="1" t="n">
        <v>45842</v>
      </c>
      <c r="D1291" t="inlineStr">
        <is>
          <t>VÄRMLANDS LÄN</t>
        </is>
      </c>
      <c r="E1291" t="inlineStr">
        <is>
          <t>HAGFORS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59331-2024</t>
        </is>
      </c>
      <c r="B1292" s="1" t="n">
        <v>45637</v>
      </c>
      <c r="C1292" s="1" t="n">
        <v>45842</v>
      </c>
      <c r="D1292" t="inlineStr">
        <is>
          <t>VÄRMLANDS LÄN</t>
        </is>
      </c>
      <c r="E1292" t="inlineStr">
        <is>
          <t>HAGFORS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59552-2024</t>
        </is>
      </c>
      <c r="B1293" s="1" t="n">
        <v>45638</v>
      </c>
      <c r="C1293" s="1" t="n">
        <v>45842</v>
      </c>
      <c r="D1293" t="inlineStr">
        <is>
          <t>VÄRMLANDS LÄN</t>
        </is>
      </c>
      <c r="E1293" t="inlineStr">
        <is>
          <t>HAGFORS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59481-2024</t>
        </is>
      </c>
      <c r="B1294" s="1" t="n">
        <v>45638</v>
      </c>
      <c r="C1294" s="1" t="n">
        <v>45842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59449-2024</t>
        </is>
      </c>
      <c r="B1295" s="1" t="n">
        <v>45638</v>
      </c>
      <c r="C1295" s="1" t="n">
        <v>45842</v>
      </c>
      <c r="D1295" t="inlineStr">
        <is>
          <t>VÄRMLANDS LÄN</t>
        </is>
      </c>
      <c r="E1295" t="inlineStr">
        <is>
          <t>HAGFORS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59814-2024</t>
        </is>
      </c>
      <c r="B1296" s="1" t="n">
        <v>45639</v>
      </c>
      <c r="C1296" s="1" t="n">
        <v>45842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60083-2024</t>
        </is>
      </c>
      <c r="B1297" s="1" t="n">
        <v>45639</v>
      </c>
      <c r="C1297" s="1" t="n">
        <v>45842</v>
      </c>
      <c r="D1297" t="inlineStr">
        <is>
          <t>VÄRMLANDS LÄN</t>
        </is>
      </c>
      <c r="E1297" t="inlineStr">
        <is>
          <t>HAGFORS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60142-2024</t>
        </is>
      </c>
      <c r="B1298" s="1" t="n">
        <v>45639</v>
      </c>
      <c r="C1298" s="1" t="n">
        <v>45842</v>
      </c>
      <c r="D1298" t="inlineStr">
        <is>
          <t>VÄRMLANDS LÄN</t>
        </is>
      </c>
      <c r="E1298" t="inlineStr">
        <is>
          <t>HAGFORS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59666-2024</t>
        </is>
      </c>
      <c r="B1299" s="1" t="n">
        <v>45639</v>
      </c>
      <c r="C1299" s="1" t="n">
        <v>45842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60623-2024</t>
        </is>
      </c>
      <c r="B1300" s="1" t="n">
        <v>45644</v>
      </c>
      <c r="C1300" s="1" t="n">
        <v>45842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60582-2024</t>
        </is>
      </c>
      <c r="B1301" s="1" t="n">
        <v>45644</v>
      </c>
      <c r="C1301" s="1" t="n">
        <v>45842</v>
      </c>
      <c r="D1301" t="inlineStr">
        <is>
          <t>VÄRMLANDS LÄN</t>
        </is>
      </c>
      <c r="E1301" t="inlineStr">
        <is>
          <t>HAGFORS</t>
        </is>
      </c>
      <c r="F1301" t="inlineStr">
        <is>
          <t>Kyrkan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60628-2024</t>
        </is>
      </c>
      <c r="B1302" s="1" t="n">
        <v>45644</v>
      </c>
      <c r="C1302" s="1" t="n">
        <v>45842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60974-2024</t>
        </is>
      </c>
      <c r="B1303" s="1" t="n">
        <v>45645</v>
      </c>
      <c r="C1303" s="1" t="n">
        <v>45842</v>
      </c>
      <c r="D1303" t="inlineStr">
        <is>
          <t>VÄRMLANDS LÄN</t>
        </is>
      </c>
      <c r="E1303" t="inlineStr">
        <is>
          <t>HAGFORS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60991-2024</t>
        </is>
      </c>
      <c r="B1304" s="1" t="n">
        <v>45645</v>
      </c>
      <c r="C1304" s="1" t="n">
        <v>45842</v>
      </c>
      <c r="D1304" t="inlineStr">
        <is>
          <t>VÄRMLANDS LÄN</t>
        </is>
      </c>
      <c r="E1304" t="inlineStr">
        <is>
          <t>HAGFORS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61093-2024</t>
        </is>
      </c>
      <c r="B1305" s="1" t="n">
        <v>45645</v>
      </c>
      <c r="C1305" s="1" t="n">
        <v>45842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61180-2024</t>
        </is>
      </c>
      <c r="B1306" s="1" t="n">
        <v>45645</v>
      </c>
      <c r="C1306" s="1" t="n">
        <v>45842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61232-2024</t>
        </is>
      </c>
      <c r="B1307" s="1" t="n">
        <v>45645</v>
      </c>
      <c r="C1307" s="1" t="n">
        <v>45842</v>
      </c>
      <c r="D1307" t="inlineStr">
        <is>
          <t>VÄRMLANDS LÄN</t>
        </is>
      </c>
      <c r="E1307" t="inlineStr">
        <is>
          <t>HAGFORS</t>
        </is>
      </c>
      <c r="F1307" t="inlineStr">
        <is>
          <t>Bergvik skog väst AB</t>
        </is>
      </c>
      <c r="G1307" t="n">
        <v>6.4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61169-2024</t>
        </is>
      </c>
      <c r="B1308" s="1" t="n">
        <v>45645</v>
      </c>
      <c r="C1308" s="1" t="n">
        <v>45842</v>
      </c>
      <c r="D1308" t="inlineStr">
        <is>
          <t>VÄRMLANDS LÄN</t>
        </is>
      </c>
      <c r="E1308" t="inlineStr">
        <is>
          <t>HAGFORS</t>
        </is>
      </c>
      <c r="F1308" t="inlineStr">
        <is>
          <t>Bergvik skog väst AB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61981-2024</t>
        </is>
      </c>
      <c r="B1309" s="1" t="n">
        <v>45653</v>
      </c>
      <c r="C1309" s="1" t="n">
        <v>45842</v>
      </c>
      <c r="D1309" t="inlineStr">
        <is>
          <t>VÄRMLANDS LÄN</t>
        </is>
      </c>
      <c r="E1309" t="inlineStr">
        <is>
          <t>HAGFORS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61978-2024</t>
        </is>
      </c>
      <c r="B1310" s="1" t="n">
        <v>45653</v>
      </c>
      <c r="C1310" s="1" t="n">
        <v>45842</v>
      </c>
      <c r="D1310" t="inlineStr">
        <is>
          <t>VÄRMLANDS LÄN</t>
        </is>
      </c>
      <c r="E1310" t="inlineStr">
        <is>
          <t>HAGFORS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57-2025</t>
        </is>
      </c>
      <c r="B1311" s="1" t="n">
        <v>45659</v>
      </c>
      <c r="C1311" s="1" t="n">
        <v>45842</v>
      </c>
      <c r="D1311" t="inlineStr">
        <is>
          <t>VÄRMLANDS LÄN</t>
        </is>
      </c>
      <c r="E1311" t="inlineStr">
        <is>
          <t>HAGFORS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54-2025</t>
        </is>
      </c>
      <c r="B1312" s="1" t="n">
        <v>45659</v>
      </c>
      <c r="C1312" s="1" t="n">
        <v>45842</v>
      </c>
      <c r="D1312" t="inlineStr">
        <is>
          <t>VÄRMLANDS LÄN</t>
        </is>
      </c>
      <c r="E1312" t="inlineStr">
        <is>
          <t>HAGFORS</t>
        </is>
      </c>
      <c r="G1312" t="n">
        <v>8.5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233-2025</t>
        </is>
      </c>
      <c r="B1313" s="1" t="n">
        <v>45660</v>
      </c>
      <c r="C1313" s="1" t="n">
        <v>45842</v>
      </c>
      <c r="D1313" t="inlineStr">
        <is>
          <t>VÄRMLANDS LÄN</t>
        </is>
      </c>
      <c r="E1313" t="inlineStr">
        <is>
          <t>HAGFORS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501-2025</t>
        </is>
      </c>
      <c r="B1314" s="1" t="n">
        <v>45664</v>
      </c>
      <c r="C1314" s="1" t="n">
        <v>45842</v>
      </c>
      <c r="D1314" t="inlineStr">
        <is>
          <t>VÄRMLANDS LÄN</t>
        </is>
      </c>
      <c r="E1314" t="inlineStr">
        <is>
          <t>HAGFORS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1710-2025</t>
        </is>
      </c>
      <c r="B1315" s="1" t="n">
        <v>45671</v>
      </c>
      <c r="C1315" s="1" t="n">
        <v>45842</v>
      </c>
      <c r="D1315" t="inlineStr">
        <is>
          <t>VÄRMLANDS LÄN</t>
        </is>
      </c>
      <c r="E1315" t="inlineStr">
        <is>
          <t>HAGFORS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2158-2025</t>
        </is>
      </c>
      <c r="B1316" s="1" t="n">
        <v>45672</v>
      </c>
      <c r="C1316" s="1" t="n">
        <v>45842</v>
      </c>
      <c r="D1316" t="inlineStr">
        <is>
          <t>VÄRMLANDS LÄN</t>
        </is>
      </c>
      <c r="E1316" t="inlineStr">
        <is>
          <t>HAGFORS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2072-2025</t>
        </is>
      </c>
      <c r="B1317" s="1" t="n">
        <v>45672</v>
      </c>
      <c r="C1317" s="1" t="n">
        <v>45842</v>
      </c>
      <c r="D1317" t="inlineStr">
        <is>
          <t>VÄRMLANDS LÄN</t>
        </is>
      </c>
      <c r="E1317" t="inlineStr">
        <is>
          <t>HAGFORS</t>
        </is>
      </c>
      <c r="F1317" t="inlineStr">
        <is>
          <t>Bergvik skog väst AB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2085-2025</t>
        </is>
      </c>
      <c r="B1318" s="1" t="n">
        <v>45672</v>
      </c>
      <c r="C1318" s="1" t="n">
        <v>45842</v>
      </c>
      <c r="D1318" t="inlineStr">
        <is>
          <t>VÄRMLANDS LÄN</t>
        </is>
      </c>
      <c r="E1318" t="inlineStr">
        <is>
          <t>HAGFORS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2073-2025</t>
        </is>
      </c>
      <c r="B1319" s="1" t="n">
        <v>45672</v>
      </c>
      <c r="C1319" s="1" t="n">
        <v>45842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6.9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2065-2025</t>
        </is>
      </c>
      <c r="B1320" s="1" t="n">
        <v>45672</v>
      </c>
      <c r="C1320" s="1" t="n">
        <v>45842</v>
      </c>
      <c r="D1320" t="inlineStr">
        <is>
          <t>VÄRMLANDS LÄN</t>
        </is>
      </c>
      <c r="E1320" t="inlineStr">
        <is>
          <t>HAGFORS</t>
        </is>
      </c>
      <c r="G1320" t="n">
        <v>5.7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2317-2025</t>
        </is>
      </c>
      <c r="B1321" s="1" t="n">
        <v>45673</v>
      </c>
      <c r="C1321" s="1" t="n">
        <v>45842</v>
      </c>
      <c r="D1321" t="inlineStr">
        <is>
          <t>VÄRMLANDS LÄN</t>
        </is>
      </c>
      <c r="E1321" t="inlineStr">
        <is>
          <t>HAGFORS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2371-2025</t>
        </is>
      </c>
      <c r="B1322" s="1" t="n">
        <v>45673</v>
      </c>
      <c r="C1322" s="1" t="n">
        <v>45842</v>
      </c>
      <c r="D1322" t="inlineStr">
        <is>
          <t>VÄRMLANDS LÄN</t>
        </is>
      </c>
      <c r="E1322" t="inlineStr">
        <is>
          <t>HAGFORS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3064-2025</t>
        </is>
      </c>
      <c r="B1323" s="1" t="n">
        <v>45678</v>
      </c>
      <c r="C1323" s="1" t="n">
        <v>45842</v>
      </c>
      <c r="D1323" t="inlineStr">
        <is>
          <t>VÄRMLANDS LÄN</t>
        </is>
      </c>
      <c r="E1323" t="inlineStr">
        <is>
          <t>HAGFORS</t>
        </is>
      </c>
      <c r="G1323" t="n">
        <v>16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2971-2025</t>
        </is>
      </c>
      <c r="B1324" s="1" t="n">
        <v>45678</v>
      </c>
      <c r="C1324" s="1" t="n">
        <v>45842</v>
      </c>
      <c r="D1324" t="inlineStr">
        <is>
          <t>VÄRMLANDS LÄN</t>
        </is>
      </c>
      <c r="E1324" t="inlineStr">
        <is>
          <t>HAGFORS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3162-2025</t>
        </is>
      </c>
      <c r="B1325" s="1" t="n">
        <v>45679</v>
      </c>
      <c r="C1325" s="1" t="n">
        <v>45842</v>
      </c>
      <c r="D1325" t="inlineStr">
        <is>
          <t>VÄRMLANDS LÄN</t>
        </is>
      </c>
      <c r="E1325" t="inlineStr">
        <is>
          <t>HAGFORS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3376-2025</t>
        </is>
      </c>
      <c r="B1326" s="1" t="n">
        <v>45680</v>
      </c>
      <c r="C1326" s="1" t="n">
        <v>45842</v>
      </c>
      <c r="D1326" t="inlineStr">
        <is>
          <t>VÄRMLANDS LÄN</t>
        </is>
      </c>
      <c r="E1326" t="inlineStr">
        <is>
          <t>HAGFORS</t>
        </is>
      </c>
      <c r="F1326" t="inlineStr">
        <is>
          <t>Bergvik skog väst AB</t>
        </is>
      </c>
      <c r="G1326" t="n">
        <v>13.7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3669-2025</t>
        </is>
      </c>
      <c r="B1327" s="1" t="n">
        <v>45681</v>
      </c>
      <c r="C1327" s="1" t="n">
        <v>45842</v>
      </c>
      <c r="D1327" t="inlineStr">
        <is>
          <t>VÄRMLANDS LÄN</t>
        </is>
      </c>
      <c r="E1327" t="inlineStr">
        <is>
          <t>HAGFORS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3963-2025</t>
        </is>
      </c>
      <c r="B1328" s="1" t="n">
        <v>45684</v>
      </c>
      <c r="C1328" s="1" t="n">
        <v>45842</v>
      </c>
      <c r="D1328" t="inlineStr">
        <is>
          <t>VÄRMLANDS LÄN</t>
        </is>
      </c>
      <c r="E1328" t="inlineStr">
        <is>
          <t>HAGFORS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4012-2025</t>
        </is>
      </c>
      <c r="B1329" s="1" t="n">
        <v>45684</v>
      </c>
      <c r="C1329" s="1" t="n">
        <v>45842</v>
      </c>
      <c r="D1329" t="inlineStr">
        <is>
          <t>VÄRMLANDS LÄN</t>
        </is>
      </c>
      <c r="E1329" t="inlineStr">
        <is>
          <t>HAGFORS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4028-2025</t>
        </is>
      </c>
      <c r="B1330" s="1" t="n">
        <v>45684</v>
      </c>
      <c r="C1330" s="1" t="n">
        <v>45842</v>
      </c>
      <c r="D1330" t="inlineStr">
        <is>
          <t>VÄRMLANDS LÄN</t>
        </is>
      </c>
      <c r="E1330" t="inlineStr">
        <is>
          <t>HAGFORS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3980-2025</t>
        </is>
      </c>
      <c r="B1331" s="1" t="n">
        <v>45684</v>
      </c>
      <c r="C1331" s="1" t="n">
        <v>45842</v>
      </c>
      <c r="D1331" t="inlineStr">
        <is>
          <t>VÄRMLANDS LÄN</t>
        </is>
      </c>
      <c r="E1331" t="inlineStr">
        <is>
          <t>HAGFORS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3996-2025</t>
        </is>
      </c>
      <c r="B1332" s="1" t="n">
        <v>45684</v>
      </c>
      <c r="C1332" s="1" t="n">
        <v>45842</v>
      </c>
      <c r="D1332" t="inlineStr">
        <is>
          <t>VÄRMLANDS LÄN</t>
        </is>
      </c>
      <c r="E1332" t="inlineStr">
        <is>
          <t>HAGFORS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4501-2025</t>
        </is>
      </c>
      <c r="B1333" s="1" t="n">
        <v>45686</v>
      </c>
      <c r="C1333" s="1" t="n">
        <v>45842</v>
      </c>
      <c r="D1333" t="inlineStr">
        <is>
          <t>VÄRMLANDS LÄN</t>
        </is>
      </c>
      <c r="E1333" t="inlineStr">
        <is>
          <t>HAGFORS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5338-2025</t>
        </is>
      </c>
      <c r="B1334" s="1" t="n">
        <v>45692</v>
      </c>
      <c r="C1334" s="1" t="n">
        <v>45842</v>
      </c>
      <c r="D1334" t="inlineStr">
        <is>
          <t>VÄRMLANDS LÄN</t>
        </is>
      </c>
      <c r="E1334" t="inlineStr">
        <is>
          <t>HAGFORS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5636-2025</t>
        </is>
      </c>
      <c r="B1335" s="1" t="n">
        <v>45693</v>
      </c>
      <c r="C1335" s="1" t="n">
        <v>45842</v>
      </c>
      <c r="D1335" t="inlineStr">
        <is>
          <t>VÄRMLANDS LÄN</t>
        </is>
      </c>
      <c r="E1335" t="inlineStr">
        <is>
          <t>HAGFORS</t>
        </is>
      </c>
      <c r="F1335" t="inlineStr">
        <is>
          <t>Bergvik skog väst AB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5853-2025</t>
        </is>
      </c>
      <c r="B1336" s="1" t="n">
        <v>45695</v>
      </c>
      <c r="C1336" s="1" t="n">
        <v>45842</v>
      </c>
      <c r="D1336" t="inlineStr">
        <is>
          <t>VÄRMLANDS LÄN</t>
        </is>
      </c>
      <c r="E1336" t="inlineStr">
        <is>
          <t>HAGFORS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5975-2025</t>
        </is>
      </c>
      <c r="B1337" s="1" t="n">
        <v>45695</v>
      </c>
      <c r="C1337" s="1" t="n">
        <v>45842</v>
      </c>
      <c r="D1337" t="inlineStr">
        <is>
          <t>VÄRMLANDS LÄN</t>
        </is>
      </c>
      <c r="E1337" t="inlineStr">
        <is>
          <t>HAGFORS</t>
        </is>
      </c>
      <c r="G1337" t="n">
        <v>9.5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6478-2025</t>
        </is>
      </c>
      <c r="B1338" s="1" t="n">
        <v>45699</v>
      </c>
      <c r="C1338" s="1" t="n">
        <v>45842</v>
      </c>
      <c r="D1338" t="inlineStr">
        <is>
          <t>VÄRMLANDS LÄN</t>
        </is>
      </c>
      <c r="E1338" t="inlineStr">
        <is>
          <t>HAGFORS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6696-2025</t>
        </is>
      </c>
      <c r="B1339" s="1" t="n">
        <v>45700</v>
      </c>
      <c r="C1339" s="1" t="n">
        <v>45842</v>
      </c>
      <c r="D1339" t="inlineStr">
        <is>
          <t>VÄRMLANDS LÄN</t>
        </is>
      </c>
      <c r="E1339" t="inlineStr">
        <is>
          <t>HAGFORS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7209-2025</t>
        </is>
      </c>
      <c r="B1340" s="1" t="n">
        <v>45702</v>
      </c>
      <c r="C1340" s="1" t="n">
        <v>45842</v>
      </c>
      <c r="D1340" t="inlineStr">
        <is>
          <t>VÄRMLANDS LÄN</t>
        </is>
      </c>
      <c r="E1340" t="inlineStr">
        <is>
          <t>HAGFORS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7156-2025</t>
        </is>
      </c>
      <c r="B1341" s="1" t="n">
        <v>45702</v>
      </c>
      <c r="C1341" s="1" t="n">
        <v>45842</v>
      </c>
      <c r="D1341" t="inlineStr">
        <is>
          <t>VÄRMLANDS LÄN</t>
        </is>
      </c>
      <c r="E1341" t="inlineStr">
        <is>
          <t>HAGFORS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7148-2025</t>
        </is>
      </c>
      <c r="B1342" s="1" t="n">
        <v>45702</v>
      </c>
      <c r="C1342" s="1" t="n">
        <v>45842</v>
      </c>
      <c r="D1342" t="inlineStr">
        <is>
          <t>VÄRMLANDS LÄN</t>
        </is>
      </c>
      <c r="E1342" t="inlineStr">
        <is>
          <t>HAGFORS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7332-2025</t>
        </is>
      </c>
      <c r="B1343" s="1" t="n">
        <v>45703</v>
      </c>
      <c r="C1343" s="1" t="n">
        <v>45842</v>
      </c>
      <c r="D1343" t="inlineStr">
        <is>
          <t>VÄRMLANDS LÄN</t>
        </is>
      </c>
      <c r="E1343" t="inlineStr">
        <is>
          <t>HAGFORS</t>
        </is>
      </c>
      <c r="F1343" t="inlineStr">
        <is>
          <t>Kyrkan</t>
        </is>
      </c>
      <c r="G1343" t="n">
        <v>15.9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7406-2025</t>
        </is>
      </c>
      <c r="B1344" s="1" t="n">
        <v>45705</v>
      </c>
      <c r="C1344" s="1" t="n">
        <v>45842</v>
      </c>
      <c r="D1344" t="inlineStr">
        <is>
          <t>VÄRMLANDS LÄN</t>
        </is>
      </c>
      <c r="E1344" t="inlineStr">
        <is>
          <t>HAGFORS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8005-2025</t>
        </is>
      </c>
      <c r="B1345" s="1" t="n">
        <v>45707</v>
      </c>
      <c r="C1345" s="1" t="n">
        <v>45842</v>
      </c>
      <c r="D1345" t="inlineStr">
        <is>
          <t>VÄRMLANDS LÄN</t>
        </is>
      </c>
      <c r="E1345" t="inlineStr">
        <is>
          <t>HAGFORS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8842-2025</t>
        </is>
      </c>
      <c r="B1346" s="1" t="n">
        <v>45713</v>
      </c>
      <c r="C1346" s="1" t="n">
        <v>45842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8922-2025</t>
        </is>
      </c>
      <c r="B1347" s="1" t="n">
        <v>45713</v>
      </c>
      <c r="C1347" s="1" t="n">
        <v>45842</v>
      </c>
      <c r="D1347" t="inlineStr">
        <is>
          <t>VÄRMLANDS LÄN</t>
        </is>
      </c>
      <c r="E1347" t="inlineStr">
        <is>
          <t>HAGFORS</t>
        </is>
      </c>
      <c r="F1347" t="inlineStr">
        <is>
          <t>Bergvik skog väst AB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9288-2025</t>
        </is>
      </c>
      <c r="B1348" s="1" t="n">
        <v>45714</v>
      </c>
      <c r="C1348" s="1" t="n">
        <v>45842</v>
      </c>
      <c r="D1348" t="inlineStr">
        <is>
          <t>VÄRMLANDS LÄN</t>
        </is>
      </c>
      <c r="E1348" t="inlineStr">
        <is>
          <t>HAGFORS</t>
        </is>
      </c>
      <c r="F1348" t="inlineStr">
        <is>
          <t>Bergvik skog väst AB</t>
        </is>
      </c>
      <c r="G1348" t="n">
        <v>9.800000000000001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9474-2025</t>
        </is>
      </c>
      <c r="B1349" s="1" t="n">
        <v>45715</v>
      </c>
      <c r="C1349" s="1" t="n">
        <v>45842</v>
      </c>
      <c r="D1349" t="inlineStr">
        <is>
          <t>VÄRMLANDS LÄN</t>
        </is>
      </c>
      <c r="E1349" t="inlineStr">
        <is>
          <t>HAGFORS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9597-2025</t>
        </is>
      </c>
      <c r="B1350" s="1" t="n">
        <v>45715</v>
      </c>
      <c r="C1350" s="1" t="n">
        <v>45842</v>
      </c>
      <c r="D1350" t="inlineStr">
        <is>
          <t>VÄRMLANDS LÄN</t>
        </is>
      </c>
      <c r="E1350" t="inlineStr">
        <is>
          <t>HAGFORS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9763-2025</t>
        </is>
      </c>
      <c r="B1351" s="1" t="n">
        <v>45716</v>
      </c>
      <c r="C1351" s="1" t="n">
        <v>45842</v>
      </c>
      <c r="D1351" t="inlineStr">
        <is>
          <t>VÄRMLANDS LÄN</t>
        </is>
      </c>
      <c r="E1351" t="inlineStr">
        <is>
          <t>HAGFORS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10382-2025</t>
        </is>
      </c>
      <c r="B1352" s="1" t="n">
        <v>45720</v>
      </c>
      <c r="C1352" s="1" t="n">
        <v>45842</v>
      </c>
      <c r="D1352" t="inlineStr">
        <is>
          <t>VÄRMLANDS LÄN</t>
        </is>
      </c>
      <c r="E1352" t="inlineStr">
        <is>
          <t>HAGFORS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10348-2025</t>
        </is>
      </c>
      <c r="B1353" s="1" t="n">
        <v>45720</v>
      </c>
      <c r="C1353" s="1" t="n">
        <v>45842</v>
      </c>
      <c r="D1353" t="inlineStr">
        <is>
          <t>VÄRMLANDS LÄN</t>
        </is>
      </c>
      <c r="E1353" t="inlineStr">
        <is>
          <t>HAGFORS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10297-2025</t>
        </is>
      </c>
      <c r="B1354" s="1" t="n">
        <v>45720</v>
      </c>
      <c r="C1354" s="1" t="n">
        <v>45842</v>
      </c>
      <c r="D1354" t="inlineStr">
        <is>
          <t>VÄRMLANDS LÄN</t>
        </is>
      </c>
      <c r="E1354" t="inlineStr">
        <is>
          <t>HAGFORS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10759-2025</t>
        </is>
      </c>
      <c r="B1355" s="1" t="n">
        <v>45722</v>
      </c>
      <c r="C1355" s="1" t="n">
        <v>45842</v>
      </c>
      <c r="D1355" t="inlineStr">
        <is>
          <t>VÄRMLANDS LÄN</t>
        </is>
      </c>
      <c r="E1355" t="inlineStr">
        <is>
          <t>HAGFORS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11160-2025</t>
        </is>
      </c>
      <c r="B1356" s="1" t="n">
        <v>45723</v>
      </c>
      <c r="C1356" s="1" t="n">
        <v>45842</v>
      </c>
      <c r="D1356" t="inlineStr">
        <is>
          <t>VÄRMLANDS LÄN</t>
        </is>
      </c>
      <c r="E1356" t="inlineStr">
        <is>
          <t>HAGFORS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11180-2025</t>
        </is>
      </c>
      <c r="B1357" s="1" t="n">
        <v>45725</v>
      </c>
      <c r="C1357" s="1" t="n">
        <v>45842</v>
      </c>
      <c r="D1357" t="inlineStr">
        <is>
          <t>VÄRMLANDS LÄN</t>
        </is>
      </c>
      <c r="E1357" t="inlineStr">
        <is>
          <t>HAGFORS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11448-2025</t>
        </is>
      </c>
      <c r="B1358" s="1" t="n">
        <v>45726</v>
      </c>
      <c r="C1358" s="1" t="n">
        <v>45842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11419-2025</t>
        </is>
      </c>
      <c r="B1359" s="1" t="n">
        <v>45726</v>
      </c>
      <c r="C1359" s="1" t="n">
        <v>45842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9.800000000000001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11360-2025</t>
        </is>
      </c>
      <c r="B1360" s="1" t="n">
        <v>45726</v>
      </c>
      <c r="C1360" s="1" t="n">
        <v>45842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13.3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11326-2025</t>
        </is>
      </c>
      <c r="B1361" s="1" t="n">
        <v>45726</v>
      </c>
      <c r="C1361" s="1" t="n">
        <v>45842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11367-2025</t>
        </is>
      </c>
      <c r="B1362" s="1" t="n">
        <v>45726</v>
      </c>
      <c r="C1362" s="1" t="n">
        <v>45842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11900-2025</t>
        </is>
      </c>
      <c r="B1363" s="1" t="n">
        <v>45728</v>
      </c>
      <c r="C1363" s="1" t="n">
        <v>45842</v>
      </c>
      <c r="D1363" t="inlineStr">
        <is>
          <t>VÄRMLANDS LÄN</t>
        </is>
      </c>
      <c r="E1363" t="inlineStr">
        <is>
          <t>HAGFORS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12197-2025</t>
        </is>
      </c>
      <c r="B1364" s="1" t="n">
        <v>45729</v>
      </c>
      <c r="C1364" s="1" t="n">
        <v>45842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12306-2025</t>
        </is>
      </c>
      <c r="B1365" s="1" t="n">
        <v>45729</v>
      </c>
      <c r="C1365" s="1" t="n">
        <v>45842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11.8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12291-2025</t>
        </is>
      </c>
      <c r="B1366" s="1" t="n">
        <v>45729</v>
      </c>
      <c r="C1366" s="1" t="n">
        <v>45842</v>
      </c>
      <c r="D1366" t="inlineStr">
        <is>
          <t>VÄRMLANDS LÄN</t>
        </is>
      </c>
      <c r="E1366" t="inlineStr">
        <is>
          <t>HAGFORS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12321-2025</t>
        </is>
      </c>
      <c r="B1367" s="1" t="n">
        <v>45730</v>
      </c>
      <c r="C1367" s="1" t="n">
        <v>45842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12778-2025</t>
        </is>
      </c>
      <c r="B1368" s="1" t="n">
        <v>45733</v>
      </c>
      <c r="C1368" s="1" t="n">
        <v>45842</v>
      </c>
      <c r="D1368" t="inlineStr">
        <is>
          <t>VÄRMLANDS LÄN</t>
        </is>
      </c>
      <c r="E1368" t="inlineStr">
        <is>
          <t>HAGFORS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13340-2025</t>
        </is>
      </c>
      <c r="B1369" s="1" t="n">
        <v>45735</v>
      </c>
      <c r="C1369" s="1" t="n">
        <v>45842</v>
      </c>
      <c r="D1369" t="inlineStr">
        <is>
          <t>VÄRMLANDS LÄN</t>
        </is>
      </c>
      <c r="E1369" t="inlineStr">
        <is>
          <t>HAGFORS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13524-2025</t>
        </is>
      </c>
      <c r="B1370" s="1" t="n">
        <v>45736</v>
      </c>
      <c r="C1370" s="1" t="n">
        <v>45842</v>
      </c>
      <c r="D1370" t="inlineStr">
        <is>
          <t>VÄRMLANDS LÄN</t>
        </is>
      </c>
      <c r="E1370" t="inlineStr">
        <is>
          <t>HAGFORS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13511-2025</t>
        </is>
      </c>
      <c r="B1371" s="1" t="n">
        <v>45736</v>
      </c>
      <c r="C1371" s="1" t="n">
        <v>45842</v>
      </c>
      <c r="D1371" t="inlineStr">
        <is>
          <t>VÄRMLANDS LÄN</t>
        </is>
      </c>
      <c r="E1371" t="inlineStr">
        <is>
          <t>HAGFORS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13512-2025</t>
        </is>
      </c>
      <c r="B1372" s="1" t="n">
        <v>45736</v>
      </c>
      <c r="C1372" s="1" t="n">
        <v>45842</v>
      </c>
      <c r="D1372" t="inlineStr">
        <is>
          <t>VÄRMLANDS LÄN</t>
        </is>
      </c>
      <c r="E1372" t="inlineStr">
        <is>
          <t>HAGFORS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13992-2025</t>
        </is>
      </c>
      <c r="B1373" s="1" t="n">
        <v>45739</v>
      </c>
      <c r="C1373" s="1" t="n">
        <v>45842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9.4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13990-2025</t>
        </is>
      </c>
      <c r="B1374" s="1" t="n">
        <v>45739</v>
      </c>
      <c r="C1374" s="1" t="n">
        <v>45842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14370-2025</t>
        </is>
      </c>
      <c r="B1375" s="1" t="n">
        <v>45741</v>
      </c>
      <c r="C1375" s="1" t="n">
        <v>45842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14436-2025</t>
        </is>
      </c>
      <c r="B1376" s="1" t="n">
        <v>45741</v>
      </c>
      <c r="C1376" s="1" t="n">
        <v>45842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14435-2025</t>
        </is>
      </c>
      <c r="B1377" s="1" t="n">
        <v>45741</v>
      </c>
      <c r="C1377" s="1" t="n">
        <v>45842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14464-2025</t>
        </is>
      </c>
      <c r="B1378" s="1" t="n">
        <v>45741</v>
      </c>
      <c r="C1378" s="1" t="n">
        <v>45842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14399-2025</t>
        </is>
      </c>
      <c r="B1379" s="1" t="n">
        <v>45741</v>
      </c>
      <c r="C1379" s="1" t="n">
        <v>45842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14850-2025</t>
        </is>
      </c>
      <c r="B1380" s="1" t="n">
        <v>45743</v>
      </c>
      <c r="C1380" s="1" t="n">
        <v>45842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15219-2025</t>
        </is>
      </c>
      <c r="B1381" s="1" t="n">
        <v>45744</v>
      </c>
      <c r="C1381" s="1" t="n">
        <v>45842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15.8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15223-2025</t>
        </is>
      </c>
      <c r="B1382" s="1" t="n">
        <v>45744</v>
      </c>
      <c r="C1382" s="1" t="n">
        <v>45842</v>
      </c>
      <c r="D1382" t="inlineStr">
        <is>
          <t>VÄRMLANDS LÄN</t>
        </is>
      </c>
      <c r="E1382" t="inlineStr">
        <is>
          <t>HAGFORS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15306-2025</t>
        </is>
      </c>
      <c r="B1383" s="1" t="n">
        <v>45746</v>
      </c>
      <c r="C1383" s="1" t="n">
        <v>45842</v>
      </c>
      <c r="D1383" t="inlineStr">
        <is>
          <t>VÄRMLANDS LÄN</t>
        </is>
      </c>
      <c r="E1383" t="inlineStr">
        <is>
          <t>HAGFORS</t>
        </is>
      </c>
      <c r="G1383" t="n">
        <v>9.4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15553-2025</t>
        </is>
      </c>
      <c r="B1384" s="1" t="n">
        <v>45747</v>
      </c>
      <c r="C1384" s="1" t="n">
        <v>45842</v>
      </c>
      <c r="D1384" t="inlineStr">
        <is>
          <t>VÄRMLANDS LÄN</t>
        </is>
      </c>
      <c r="E1384" t="inlineStr">
        <is>
          <t>HAGFORS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15495-2025</t>
        </is>
      </c>
      <c r="B1385" s="1" t="n">
        <v>45747</v>
      </c>
      <c r="C1385" s="1" t="n">
        <v>45842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15445-2025</t>
        </is>
      </c>
      <c r="B1386" s="1" t="n">
        <v>45747</v>
      </c>
      <c r="C1386" s="1" t="n">
        <v>45842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15637-2025</t>
        </is>
      </c>
      <c r="B1387" s="1" t="n">
        <v>45748</v>
      </c>
      <c r="C1387" s="1" t="n">
        <v>45842</v>
      </c>
      <c r="D1387" t="inlineStr">
        <is>
          <t>VÄRMLANDS LÄN</t>
        </is>
      </c>
      <c r="E1387" t="inlineStr">
        <is>
          <t>HAGFORS</t>
        </is>
      </c>
      <c r="F1387" t="inlineStr">
        <is>
          <t>Kyrkan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15603-2025</t>
        </is>
      </c>
      <c r="B1388" s="1" t="n">
        <v>45748</v>
      </c>
      <c r="C1388" s="1" t="n">
        <v>45842</v>
      </c>
      <c r="D1388" t="inlineStr">
        <is>
          <t>VÄRMLANDS LÄN</t>
        </is>
      </c>
      <c r="E1388" t="inlineStr">
        <is>
          <t>HAGFORS</t>
        </is>
      </c>
      <c r="F1388" t="inlineStr">
        <is>
          <t>Kyrkan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16153-2025</t>
        </is>
      </c>
      <c r="B1389" s="1" t="n">
        <v>45750</v>
      </c>
      <c r="C1389" s="1" t="n">
        <v>45842</v>
      </c>
      <c r="D1389" t="inlineStr">
        <is>
          <t>VÄRMLANDS LÄN</t>
        </is>
      </c>
      <c r="E1389" t="inlineStr">
        <is>
          <t>HAGFORS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16475-2025</t>
        </is>
      </c>
      <c r="B1390" s="1" t="n">
        <v>45751</v>
      </c>
      <c r="C1390" s="1" t="n">
        <v>45842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16346-2025</t>
        </is>
      </c>
      <c r="B1391" s="1" t="n">
        <v>45751</v>
      </c>
      <c r="C1391" s="1" t="n">
        <v>45842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16340-2025</t>
        </is>
      </c>
      <c r="B1392" s="1" t="n">
        <v>45751</v>
      </c>
      <c r="C1392" s="1" t="n">
        <v>45842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16798-2025</t>
        </is>
      </c>
      <c r="B1393" s="1" t="n">
        <v>45754</v>
      </c>
      <c r="C1393" s="1" t="n">
        <v>45842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16770-2025</t>
        </is>
      </c>
      <c r="B1394" s="1" t="n">
        <v>45754</v>
      </c>
      <c r="C1394" s="1" t="n">
        <v>45842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16814-2025</t>
        </is>
      </c>
      <c r="B1395" s="1" t="n">
        <v>45754</v>
      </c>
      <c r="C1395" s="1" t="n">
        <v>45842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16818-2025</t>
        </is>
      </c>
      <c r="B1396" s="1" t="n">
        <v>45754</v>
      </c>
      <c r="C1396" s="1" t="n">
        <v>45842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16840-2025</t>
        </is>
      </c>
      <c r="B1397" s="1" t="n">
        <v>45754</v>
      </c>
      <c r="C1397" s="1" t="n">
        <v>45842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16803-2025</t>
        </is>
      </c>
      <c r="B1398" s="1" t="n">
        <v>45754</v>
      </c>
      <c r="C1398" s="1" t="n">
        <v>45842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16755-2025</t>
        </is>
      </c>
      <c r="B1399" s="1" t="n">
        <v>45754</v>
      </c>
      <c r="C1399" s="1" t="n">
        <v>45842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7.7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17733-2025</t>
        </is>
      </c>
      <c r="B1400" s="1" t="n">
        <v>45758</v>
      </c>
      <c r="C1400" s="1" t="n">
        <v>45842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17696-2025</t>
        </is>
      </c>
      <c r="B1401" s="1" t="n">
        <v>45758</v>
      </c>
      <c r="C1401" s="1" t="n">
        <v>45842</v>
      </c>
      <c r="D1401" t="inlineStr">
        <is>
          <t>VÄRMLANDS LÄN</t>
        </is>
      </c>
      <c r="E1401" t="inlineStr">
        <is>
          <t>HAGFORS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17884-2025</t>
        </is>
      </c>
      <c r="B1402" s="1" t="n">
        <v>45758</v>
      </c>
      <c r="C1402" s="1" t="n">
        <v>45842</v>
      </c>
      <c r="D1402" t="inlineStr">
        <is>
          <t>VÄRMLANDS LÄN</t>
        </is>
      </c>
      <c r="E1402" t="inlineStr">
        <is>
          <t>HAGFORS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17659-2025</t>
        </is>
      </c>
      <c r="B1403" s="1" t="n">
        <v>45758</v>
      </c>
      <c r="C1403" s="1" t="n">
        <v>45842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17882-2025</t>
        </is>
      </c>
      <c r="B1404" s="1" t="n">
        <v>45758</v>
      </c>
      <c r="C1404" s="1" t="n">
        <v>45842</v>
      </c>
      <c r="D1404" t="inlineStr">
        <is>
          <t>VÄRMLANDS LÄN</t>
        </is>
      </c>
      <c r="E1404" t="inlineStr">
        <is>
          <t>HAGFORS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17662-2025</t>
        </is>
      </c>
      <c r="B1405" s="1" t="n">
        <v>45758</v>
      </c>
      <c r="C1405" s="1" t="n">
        <v>45842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18221-2025</t>
        </is>
      </c>
      <c r="B1406" s="1" t="n">
        <v>45761</v>
      </c>
      <c r="C1406" s="1" t="n">
        <v>45842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18160-2025</t>
        </is>
      </c>
      <c r="B1407" s="1" t="n">
        <v>45761</v>
      </c>
      <c r="C1407" s="1" t="n">
        <v>45842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11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18224-2025</t>
        </is>
      </c>
      <c r="B1408" s="1" t="n">
        <v>45761</v>
      </c>
      <c r="C1408" s="1" t="n">
        <v>45842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18041-2025</t>
        </is>
      </c>
      <c r="B1409" s="1" t="n">
        <v>45761</v>
      </c>
      <c r="C1409" s="1" t="n">
        <v>45842</v>
      </c>
      <c r="D1409" t="inlineStr">
        <is>
          <t>VÄRMLANDS LÄN</t>
        </is>
      </c>
      <c r="E1409" t="inlineStr">
        <is>
          <t>HAGFORS</t>
        </is>
      </c>
      <c r="F1409" t="inlineStr">
        <is>
          <t>Bergvik skog väst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18575-2025</t>
        </is>
      </c>
      <c r="B1410" s="1" t="n">
        <v>45763</v>
      </c>
      <c r="C1410" s="1" t="n">
        <v>45842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18585-2025</t>
        </is>
      </c>
      <c r="B1411" s="1" t="n">
        <v>45763</v>
      </c>
      <c r="C1411" s="1" t="n">
        <v>45842</v>
      </c>
      <c r="D1411" t="inlineStr">
        <is>
          <t>VÄRMLANDS LÄN</t>
        </is>
      </c>
      <c r="E1411" t="inlineStr">
        <is>
          <t>HAGFORS</t>
        </is>
      </c>
      <c r="F1411" t="inlineStr">
        <is>
          <t>Kyrkan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18628-2025</t>
        </is>
      </c>
      <c r="B1412" s="1" t="n">
        <v>45763</v>
      </c>
      <c r="C1412" s="1" t="n">
        <v>45842</v>
      </c>
      <c r="D1412" t="inlineStr">
        <is>
          <t>VÄRMLANDS LÄN</t>
        </is>
      </c>
      <c r="E1412" t="inlineStr">
        <is>
          <t>HAGFORS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18630-2025</t>
        </is>
      </c>
      <c r="B1413" s="1" t="n">
        <v>45763</v>
      </c>
      <c r="C1413" s="1" t="n">
        <v>45842</v>
      </c>
      <c r="D1413" t="inlineStr">
        <is>
          <t>VÄRMLANDS LÄN</t>
        </is>
      </c>
      <c r="E1413" t="inlineStr">
        <is>
          <t>HAGFORS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18629-2025</t>
        </is>
      </c>
      <c r="B1414" s="1" t="n">
        <v>45763</v>
      </c>
      <c r="C1414" s="1" t="n">
        <v>45842</v>
      </c>
      <c r="D1414" t="inlineStr">
        <is>
          <t>VÄRMLANDS LÄN</t>
        </is>
      </c>
      <c r="E1414" t="inlineStr">
        <is>
          <t>HAGFORS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18907-2025</t>
        </is>
      </c>
      <c r="B1415" s="1" t="n">
        <v>45764</v>
      </c>
      <c r="C1415" s="1" t="n">
        <v>45842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18934-2025</t>
        </is>
      </c>
      <c r="B1416" s="1" t="n">
        <v>45764</v>
      </c>
      <c r="C1416" s="1" t="n">
        <v>45842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18853-2025</t>
        </is>
      </c>
      <c r="B1417" s="1" t="n">
        <v>45764</v>
      </c>
      <c r="C1417" s="1" t="n">
        <v>45842</v>
      </c>
      <c r="D1417" t="inlineStr">
        <is>
          <t>VÄRMLANDS LÄN</t>
        </is>
      </c>
      <c r="E1417" t="inlineStr">
        <is>
          <t>HAGFORS</t>
        </is>
      </c>
      <c r="F1417" t="inlineStr">
        <is>
          <t>Bergvik skog väst AB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18935-2025</t>
        </is>
      </c>
      <c r="B1418" s="1" t="n">
        <v>45764</v>
      </c>
      <c r="C1418" s="1" t="n">
        <v>45842</v>
      </c>
      <c r="D1418" t="inlineStr">
        <is>
          <t>VÄRMLANDS LÄN</t>
        </is>
      </c>
      <c r="E1418" t="inlineStr">
        <is>
          <t>HAGFORS</t>
        </is>
      </c>
      <c r="F1418" t="inlineStr">
        <is>
          <t>Bergvik skog väst AB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19072-2025</t>
        </is>
      </c>
      <c r="B1419" s="1" t="n">
        <v>45765</v>
      </c>
      <c r="C1419" s="1" t="n">
        <v>45842</v>
      </c>
      <c r="D1419" t="inlineStr">
        <is>
          <t>VÄRMLANDS LÄN</t>
        </is>
      </c>
      <c r="E1419" t="inlineStr">
        <is>
          <t>HAGFORS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19388-2025</t>
        </is>
      </c>
      <c r="B1420" s="1" t="n">
        <v>45769</v>
      </c>
      <c r="C1420" s="1" t="n">
        <v>45842</v>
      </c>
      <c r="D1420" t="inlineStr">
        <is>
          <t>VÄRMLANDS LÄN</t>
        </is>
      </c>
      <c r="E1420" t="inlineStr">
        <is>
          <t>HAGFORS</t>
        </is>
      </c>
      <c r="G1420" t="n">
        <v>7.8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19391-2025</t>
        </is>
      </c>
      <c r="B1421" s="1" t="n">
        <v>45769</v>
      </c>
      <c r="C1421" s="1" t="n">
        <v>45842</v>
      </c>
      <c r="D1421" t="inlineStr">
        <is>
          <t>VÄRMLANDS LÄN</t>
        </is>
      </c>
      <c r="E1421" t="inlineStr">
        <is>
          <t>HAGFORS</t>
        </is>
      </c>
      <c r="G1421" t="n">
        <v>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19515-2025</t>
        </is>
      </c>
      <c r="B1422" s="1" t="n">
        <v>45770</v>
      </c>
      <c r="C1422" s="1" t="n">
        <v>45842</v>
      </c>
      <c r="D1422" t="inlineStr">
        <is>
          <t>VÄRMLANDS LÄN</t>
        </is>
      </c>
      <c r="E1422" t="inlineStr">
        <is>
          <t>HAGFORS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19521-2025</t>
        </is>
      </c>
      <c r="B1423" s="1" t="n">
        <v>45770</v>
      </c>
      <c r="C1423" s="1" t="n">
        <v>45842</v>
      </c>
      <c r="D1423" t="inlineStr">
        <is>
          <t>VÄRMLANDS LÄN</t>
        </is>
      </c>
      <c r="E1423" t="inlineStr">
        <is>
          <t>HAGFORS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20081-2025</t>
        </is>
      </c>
      <c r="B1424" s="1" t="n">
        <v>45772</v>
      </c>
      <c r="C1424" s="1" t="n">
        <v>45842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20119-2025</t>
        </is>
      </c>
      <c r="B1425" s="1" t="n">
        <v>45772</v>
      </c>
      <c r="C1425" s="1" t="n">
        <v>45842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20156-2025</t>
        </is>
      </c>
      <c r="B1426" s="1" t="n">
        <v>45772</v>
      </c>
      <c r="C1426" s="1" t="n">
        <v>45842</v>
      </c>
      <c r="D1426" t="inlineStr">
        <is>
          <t>VÄRMLANDS LÄN</t>
        </is>
      </c>
      <c r="E1426" t="inlineStr">
        <is>
          <t>HAGFORS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20086-2025</t>
        </is>
      </c>
      <c r="B1427" s="1" t="n">
        <v>45772</v>
      </c>
      <c r="C1427" s="1" t="n">
        <v>45842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20092-2025</t>
        </is>
      </c>
      <c r="B1428" s="1" t="n">
        <v>45772</v>
      </c>
      <c r="C1428" s="1" t="n">
        <v>45842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20042-2025</t>
        </is>
      </c>
      <c r="B1429" s="1" t="n">
        <v>45772</v>
      </c>
      <c r="C1429" s="1" t="n">
        <v>45842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20487-2025</t>
        </is>
      </c>
      <c r="B1430" s="1" t="n">
        <v>45775</v>
      </c>
      <c r="C1430" s="1" t="n">
        <v>45842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20313-2025</t>
        </is>
      </c>
      <c r="B1431" s="1" t="n">
        <v>45775</v>
      </c>
      <c r="C1431" s="1" t="n">
        <v>45842</v>
      </c>
      <c r="D1431" t="inlineStr">
        <is>
          <t>VÄRMLANDS LÄN</t>
        </is>
      </c>
      <c r="E1431" t="inlineStr">
        <is>
          <t>HAGFORS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20369-2025</t>
        </is>
      </c>
      <c r="B1432" s="1" t="n">
        <v>45775</v>
      </c>
      <c r="C1432" s="1" t="n">
        <v>45842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8.1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20323-2025</t>
        </is>
      </c>
      <c r="B1433" s="1" t="n">
        <v>45775</v>
      </c>
      <c r="C1433" s="1" t="n">
        <v>45842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20688-2025</t>
        </is>
      </c>
      <c r="B1434" s="1" t="n">
        <v>45776</v>
      </c>
      <c r="C1434" s="1" t="n">
        <v>45842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20624-2025</t>
        </is>
      </c>
      <c r="B1435" s="1" t="n">
        <v>45776</v>
      </c>
      <c r="C1435" s="1" t="n">
        <v>45842</v>
      </c>
      <c r="D1435" t="inlineStr">
        <is>
          <t>VÄRMLANDS LÄN</t>
        </is>
      </c>
      <c r="E1435" t="inlineStr">
        <is>
          <t>HAGFORS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20746-2025</t>
        </is>
      </c>
      <c r="B1436" s="1" t="n">
        <v>45776</v>
      </c>
      <c r="C1436" s="1" t="n">
        <v>45842</v>
      </c>
      <c r="D1436" t="inlineStr">
        <is>
          <t>VÄRMLANDS LÄN</t>
        </is>
      </c>
      <c r="E1436" t="inlineStr">
        <is>
          <t>HAGFORS</t>
        </is>
      </c>
      <c r="F1436" t="inlineStr">
        <is>
          <t>Bergvik skog väst AB</t>
        </is>
      </c>
      <c r="G1436" t="n">
        <v>10.4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20862-2025</t>
        </is>
      </c>
      <c r="B1437" s="1" t="n">
        <v>45777</v>
      </c>
      <c r="C1437" s="1" t="n">
        <v>45842</v>
      </c>
      <c r="D1437" t="inlineStr">
        <is>
          <t>VÄRMLANDS LÄN</t>
        </is>
      </c>
      <c r="E1437" t="inlineStr">
        <is>
          <t>HAGFORS</t>
        </is>
      </c>
      <c r="F1437" t="inlineStr">
        <is>
          <t>Bergvik skog väst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21067-2025</t>
        </is>
      </c>
      <c r="B1438" s="1" t="n">
        <v>45777</v>
      </c>
      <c r="C1438" s="1" t="n">
        <v>45842</v>
      </c>
      <c r="D1438" t="inlineStr">
        <is>
          <t>VÄRMLANDS LÄN</t>
        </is>
      </c>
      <c r="E1438" t="inlineStr">
        <is>
          <t>HAGFORS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21724-2025</t>
        </is>
      </c>
      <c r="B1439" s="1" t="n">
        <v>45783</v>
      </c>
      <c r="C1439" s="1" t="n">
        <v>45842</v>
      </c>
      <c r="D1439" t="inlineStr">
        <is>
          <t>VÄRMLANDS LÄN</t>
        </is>
      </c>
      <c r="E1439" t="inlineStr">
        <is>
          <t>HAGFORS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21729-2025</t>
        </is>
      </c>
      <c r="B1440" s="1" t="n">
        <v>45783</v>
      </c>
      <c r="C1440" s="1" t="n">
        <v>45842</v>
      </c>
      <c r="D1440" t="inlineStr">
        <is>
          <t>VÄRMLANDS LÄN</t>
        </is>
      </c>
      <c r="E1440" t="inlineStr">
        <is>
          <t>HAGFORS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21690-2025</t>
        </is>
      </c>
      <c r="B1441" s="1" t="n">
        <v>45783</v>
      </c>
      <c r="C1441" s="1" t="n">
        <v>45842</v>
      </c>
      <c r="D1441" t="inlineStr">
        <is>
          <t>VÄRMLANDS LÄN</t>
        </is>
      </c>
      <c r="E1441" t="inlineStr">
        <is>
          <t>HAGFORS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21723-2025</t>
        </is>
      </c>
      <c r="B1442" s="1" t="n">
        <v>45783</v>
      </c>
      <c r="C1442" s="1" t="n">
        <v>45842</v>
      </c>
      <c r="D1442" t="inlineStr">
        <is>
          <t>VÄRMLANDS LÄN</t>
        </is>
      </c>
      <c r="E1442" t="inlineStr">
        <is>
          <t>HAGFORS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21954-2025</t>
        </is>
      </c>
      <c r="B1443" s="1" t="n">
        <v>45784</v>
      </c>
      <c r="C1443" s="1" t="n">
        <v>45842</v>
      </c>
      <c r="D1443" t="inlineStr">
        <is>
          <t>VÄRMLANDS LÄN</t>
        </is>
      </c>
      <c r="E1443" t="inlineStr">
        <is>
          <t>HAGFORS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21956-2025</t>
        </is>
      </c>
      <c r="B1444" s="1" t="n">
        <v>45784</v>
      </c>
      <c r="C1444" s="1" t="n">
        <v>45842</v>
      </c>
      <c r="D1444" t="inlineStr">
        <is>
          <t>VÄRMLANDS LÄN</t>
        </is>
      </c>
      <c r="E1444" t="inlineStr">
        <is>
          <t>HAGFORS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22091-2025</t>
        </is>
      </c>
      <c r="B1445" s="1" t="n">
        <v>45785</v>
      </c>
      <c r="C1445" s="1" t="n">
        <v>45842</v>
      </c>
      <c r="D1445" t="inlineStr">
        <is>
          <t>VÄRMLANDS LÄN</t>
        </is>
      </c>
      <c r="E1445" t="inlineStr">
        <is>
          <t>HAGFORS</t>
        </is>
      </c>
      <c r="F1445" t="inlineStr">
        <is>
          <t>Kyrkan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22231-2025</t>
        </is>
      </c>
      <c r="B1446" s="1" t="n">
        <v>45785</v>
      </c>
      <c r="C1446" s="1" t="n">
        <v>45842</v>
      </c>
      <c r="D1446" t="inlineStr">
        <is>
          <t>VÄRMLANDS LÄN</t>
        </is>
      </c>
      <c r="E1446" t="inlineStr">
        <is>
          <t>HAGFORS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22461-2025</t>
        </is>
      </c>
      <c r="B1447" s="1" t="n">
        <v>45786</v>
      </c>
      <c r="C1447" s="1" t="n">
        <v>45842</v>
      </c>
      <c r="D1447" t="inlineStr">
        <is>
          <t>VÄRMLANDS LÄN</t>
        </is>
      </c>
      <c r="E1447" t="inlineStr">
        <is>
          <t>HAGFORS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22484-2025</t>
        </is>
      </c>
      <c r="B1448" s="1" t="n">
        <v>45786</v>
      </c>
      <c r="C1448" s="1" t="n">
        <v>45842</v>
      </c>
      <c r="D1448" t="inlineStr">
        <is>
          <t>VÄRMLANDS LÄN</t>
        </is>
      </c>
      <c r="E1448" t="inlineStr">
        <is>
          <t>HAGFORS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22346-2025</t>
        </is>
      </c>
      <c r="B1449" s="1" t="n">
        <v>45786</v>
      </c>
      <c r="C1449" s="1" t="n">
        <v>45842</v>
      </c>
      <c r="D1449" t="inlineStr">
        <is>
          <t>VÄRMLANDS LÄN</t>
        </is>
      </c>
      <c r="E1449" t="inlineStr">
        <is>
          <t>HAGFORS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22472-2025</t>
        </is>
      </c>
      <c r="B1450" s="1" t="n">
        <v>45786</v>
      </c>
      <c r="C1450" s="1" t="n">
        <v>45842</v>
      </c>
      <c r="D1450" t="inlineStr">
        <is>
          <t>VÄRMLANDS LÄN</t>
        </is>
      </c>
      <c r="E1450" t="inlineStr">
        <is>
          <t>HAGFORS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22648-2025</t>
        </is>
      </c>
      <c r="B1451" s="1" t="n">
        <v>45789</v>
      </c>
      <c r="C1451" s="1" t="n">
        <v>45842</v>
      </c>
      <c r="D1451" t="inlineStr">
        <is>
          <t>VÄRMLANDS LÄN</t>
        </is>
      </c>
      <c r="E1451" t="inlineStr">
        <is>
          <t>HAGFORS</t>
        </is>
      </c>
      <c r="G1451" t="n">
        <v>12.3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22799-2025</t>
        </is>
      </c>
      <c r="B1452" s="1" t="n">
        <v>45789</v>
      </c>
      <c r="C1452" s="1" t="n">
        <v>45842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22917-2025</t>
        </is>
      </c>
      <c r="B1453" s="1" t="n">
        <v>45790</v>
      </c>
      <c r="C1453" s="1" t="n">
        <v>45842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22964-2025</t>
        </is>
      </c>
      <c r="B1454" s="1" t="n">
        <v>45790</v>
      </c>
      <c r="C1454" s="1" t="n">
        <v>45842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23065-2025</t>
        </is>
      </c>
      <c r="B1455" s="1" t="n">
        <v>45790</v>
      </c>
      <c r="C1455" s="1" t="n">
        <v>45842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8.5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23179-2025</t>
        </is>
      </c>
      <c r="B1456" s="1" t="n">
        <v>45791</v>
      </c>
      <c r="C1456" s="1" t="n">
        <v>45842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23236-2025</t>
        </is>
      </c>
      <c r="B1457" s="1" t="n">
        <v>45791</v>
      </c>
      <c r="C1457" s="1" t="n">
        <v>45842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11.2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23268-2025</t>
        </is>
      </c>
      <c r="B1458" s="1" t="n">
        <v>45791</v>
      </c>
      <c r="C1458" s="1" t="n">
        <v>45842</v>
      </c>
      <c r="D1458" t="inlineStr">
        <is>
          <t>VÄRMLANDS LÄN</t>
        </is>
      </c>
      <c r="E1458" t="inlineStr">
        <is>
          <t>HAGFORS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23118-2025</t>
        </is>
      </c>
      <c r="B1459" s="1" t="n">
        <v>45791</v>
      </c>
      <c r="C1459" s="1" t="n">
        <v>45842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23214-2025</t>
        </is>
      </c>
      <c r="B1460" s="1" t="n">
        <v>45791</v>
      </c>
      <c r="C1460" s="1" t="n">
        <v>45842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23262-2025</t>
        </is>
      </c>
      <c r="B1461" s="1" t="n">
        <v>45791</v>
      </c>
      <c r="C1461" s="1" t="n">
        <v>45842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23276-2025</t>
        </is>
      </c>
      <c r="B1462" s="1" t="n">
        <v>45791</v>
      </c>
      <c r="C1462" s="1" t="n">
        <v>45842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23325-2025</t>
        </is>
      </c>
      <c r="B1463" s="1" t="n">
        <v>45791</v>
      </c>
      <c r="C1463" s="1" t="n">
        <v>45842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23441-2025</t>
        </is>
      </c>
      <c r="B1464" s="1" t="n">
        <v>45792</v>
      </c>
      <c r="C1464" s="1" t="n">
        <v>45842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23443-2025</t>
        </is>
      </c>
      <c r="B1465" s="1" t="n">
        <v>45792</v>
      </c>
      <c r="C1465" s="1" t="n">
        <v>45842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23525-2025</t>
        </is>
      </c>
      <c r="B1466" s="1" t="n">
        <v>45792</v>
      </c>
      <c r="C1466" s="1" t="n">
        <v>45842</v>
      </c>
      <c r="D1466" t="inlineStr">
        <is>
          <t>VÄRMLANDS LÄN</t>
        </is>
      </c>
      <c r="E1466" t="inlineStr">
        <is>
          <t>HAGFORS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23556-2025</t>
        </is>
      </c>
      <c r="B1467" s="1" t="n">
        <v>45792</v>
      </c>
      <c r="C1467" s="1" t="n">
        <v>45842</v>
      </c>
      <c r="D1467" t="inlineStr">
        <is>
          <t>VÄRMLANDS LÄN</t>
        </is>
      </c>
      <c r="E1467" t="inlineStr">
        <is>
          <t>HAGFORS</t>
        </is>
      </c>
      <c r="F1467" t="inlineStr">
        <is>
          <t>Bergvik skog väst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23712-2025</t>
        </is>
      </c>
      <c r="B1468" s="1" t="n">
        <v>45793</v>
      </c>
      <c r="C1468" s="1" t="n">
        <v>45842</v>
      </c>
      <c r="D1468" t="inlineStr">
        <is>
          <t>VÄRMLANDS LÄN</t>
        </is>
      </c>
      <c r="E1468" t="inlineStr">
        <is>
          <t>HAGFORS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23888-2025</t>
        </is>
      </c>
      <c r="B1469" s="1" t="n">
        <v>45793</v>
      </c>
      <c r="C1469" s="1" t="n">
        <v>45842</v>
      </c>
      <c r="D1469" t="inlineStr">
        <is>
          <t>VÄRMLANDS LÄN</t>
        </is>
      </c>
      <c r="E1469" t="inlineStr">
        <is>
          <t>HAGFORS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23674-2025</t>
        </is>
      </c>
      <c r="B1470" s="1" t="n">
        <v>45793</v>
      </c>
      <c r="C1470" s="1" t="n">
        <v>45842</v>
      </c>
      <c r="D1470" t="inlineStr">
        <is>
          <t>VÄRMLANDS LÄN</t>
        </is>
      </c>
      <c r="E1470" t="inlineStr">
        <is>
          <t>HAGFORS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23813-2025</t>
        </is>
      </c>
      <c r="B1471" s="1" t="n">
        <v>45793</v>
      </c>
      <c r="C1471" s="1" t="n">
        <v>45842</v>
      </c>
      <c r="D1471" t="inlineStr">
        <is>
          <t>VÄRMLANDS LÄN</t>
        </is>
      </c>
      <c r="E1471" t="inlineStr">
        <is>
          <t>HAGFORS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24000-2025</t>
        </is>
      </c>
      <c r="B1472" s="1" t="n">
        <v>45796</v>
      </c>
      <c r="C1472" s="1" t="n">
        <v>45842</v>
      </c>
      <c r="D1472" t="inlineStr">
        <is>
          <t>VÄRMLANDS LÄN</t>
        </is>
      </c>
      <c r="E1472" t="inlineStr">
        <is>
          <t>HAGFORS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23951-2025</t>
        </is>
      </c>
      <c r="B1473" s="1" t="n">
        <v>45796</v>
      </c>
      <c r="C1473" s="1" t="n">
        <v>45842</v>
      </c>
      <c r="D1473" t="inlineStr">
        <is>
          <t>VÄRMLANDS LÄN</t>
        </is>
      </c>
      <c r="E1473" t="inlineStr">
        <is>
          <t>HAGFORS</t>
        </is>
      </c>
      <c r="F1473" t="inlineStr">
        <is>
          <t>Bergvik skog väst AB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23970-2025</t>
        </is>
      </c>
      <c r="B1474" s="1" t="n">
        <v>45796</v>
      </c>
      <c r="C1474" s="1" t="n">
        <v>45842</v>
      </c>
      <c r="D1474" t="inlineStr">
        <is>
          <t>VÄRMLANDS LÄN</t>
        </is>
      </c>
      <c r="E1474" t="inlineStr">
        <is>
          <t>HAGFORS</t>
        </is>
      </c>
      <c r="F1474" t="inlineStr">
        <is>
          <t>Bergvik skog väst AB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24434-2025</t>
        </is>
      </c>
      <c r="B1475" s="1" t="n">
        <v>45797</v>
      </c>
      <c r="C1475" s="1" t="n">
        <v>45842</v>
      </c>
      <c r="D1475" t="inlineStr">
        <is>
          <t>VÄRMLANDS LÄN</t>
        </is>
      </c>
      <c r="E1475" t="inlineStr">
        <is>
          <t>HAGFORS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24435-2025</t>
        </is>
      </c>
      <c r="B1476" s="1" t="n">
        <v>45797</v>
      </c>
      <c r="C1476" s="1" t="n">
        <v>45842</v>
      </c>
      <c r="D1476" t="inlineStr">
        <is>
          <t>VÄRMLANDS LÄN</t>
        </is>
      </c>
      <c r="E1476" t="inlineStr">
        <is>
          <t>HAGFORS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24438-2025</t>
        </is>
      </c>
      <c r="B1477" s="1" t="n">
        <v>45797</v>
      </c>
      <c r="C1477" s="1" t="n">
        <v>45842</v>
      </c>
      <c r="D1477" t="inlineStr">
        <is>
          <t>VÄRMLANDS LÄN</t>
        </is>
      </c>
      <c r="E1477" t="inlineStr">
        <is>
          <t>HAGFORS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24632-2025</t>
        </is>
      </c>
      <c r="B1478" s="1" t="n">
        <v>45798</v>
      </c>
      <c r="C1478" s="1" t="n">
        <v>45842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43.9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24598-2025</t>
        </is>
      </c>
      <c r="B1479" s="1" t="n">
        <v>45798</v>
      </c>
      <c r="C1479" s="1" t="n">
        <v>45842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24804-2025</t>
        </is>
      </c>
      <c r="B1480" s="1" t="n">
        <v>45799</v>
      </c>
      <c r="C1480" s="1" t="n">
        <v>45842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26.5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25031-2025</t>
        </is>
      </c>
      <c r="B1481" s="1" t="n">
        <v>45799</v>
      </c>
      <c r="C1481" s="1" t="n">
        <v>45842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24978-2025</t>
        </is>
      </c>
      <c r="B1482" s="1" t="n">
        <v>45799</v>
      </c>
      <c r="C1482" s="1" t="n">
        <v>45842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24793-2025</t>
        </is>
      </c>
      <c r="B1483" s="1" t="n">
        <v>45799</v>
      </c>
      <c r="C1483" s="1" t="n">
        <v>45842</v>
      </c>
      <c r="D1483" t="inlineStr">
        <is>
          <t>VÄRMLANDS LÄN</t>
        </is>
      </c>
      <c r="E1483" t="inlineStr">
        <is>
          <t>HAGFORS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25051-2025</t>
        </is>
      </c>
      <c r="B1484" s="1" t="n">
        <v>45799</v>
      </c>
      <c r="C1484" s="1" t="n">
        <v>45842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21.4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24929-2025</t>
        </is>
      </c>
      <c r="B1485" s="1" t="n">
        <v>45799</v>
      </c>
      <c r="C1485" s="1" t="n">
        <v>45842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24857-2025</t>
        </is>
      </c>
      <c r="B1486" s="1" t="n">
        <v>45799</v>
      </c>
      <c r="C1486" s="1" t="n">
        <v>45842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24977-2025</t>
        </is>
      </c>
      <c r="B1487" s="1" t="n">
        <v>45799</v>
      </c>
      <c r="C1487" s="1" t="n">
        <v>45842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24895-2025</t>
        </is>
      </c>
      <c r="B1488" s="1" t="n">
        <v>45799</v>
      </c>
      <c r="C1488" s="1" t="n">
        <v>45842</v>
      </c>
      <c r="D1488" t="inlineStr">
        <is>
          <t>VÄRMLANDS LÄN</t>
        </is>
      </c>
      <c r="E1488" t="inlineStr">
        <is>
          <t>HAGFORS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25091-2025</t>
        </is>
      </c>
      <c r="B1489" s="1" t="n">
        <v>45800</v>
      </c>
      <c r="C1489" s="1" t="n">
        <v>45842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25194-2025</t>
        </is>
      </c>
      <c r="B1490" s="1" t="n">
        <v>45800</v>
      </c>
      <c r="C1490" s="1" t="n">
        <v>45842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25121-2025</t>
        </is>
      </c>
      <c r="B1491" s="1" t="n">
        <v>45800</v>
      </c>
      <c r="C1491" s="1" t="n">
        <v>45842</v>
      </c>
      <c r="D1491" t="inlineStr">
        <is>
          <t>VÄRMLANDS LÄN</t>
        </is>
      </c>
      <c r="E1491" t="inlineStr">
        <is>
          <t>HAGFORS</t>
        </is>
      </c>
      <c r="F1491" t="inlineStr">
        <is>
          <t>Bergvik skog väst AB</t>
        </is>
      </c>
      <c r="G1491" t="n">
        <v>5.3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25169-2025</t>
        </is>
      </c>
      <c r="B1492" s="1" t="n">
        <v>45800</v>
      </c>
      <c r="C1492" s="1" t="n">
        <v>45842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6.4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25490-2025</t>
        </is>
      </c>
      <c r="B1493" s="1" t="n">
        <v>45803</v>
      </c>
      <c r="C1493" s="1" t="n">
        <v>45842</v>
      </c>
      <c r="D1493" t="inlineStr">
        <is>
          <t>VÄRMLANDS LÄN</t>
        </is>
      </c>
      <c r="E1493" t="inlineStr">
        <is>
          <t>HAGFORS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26456-2025</t>
        </is>
      </c>
      <c r="B1494" s="1" t="n">
        <v>45807</v>
      </c>
      <c r="C1494" s="1" t="n">
        <v>45842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26490-2025</t>
        </is>
      </c>
      <c r="B1495" s="1" t="n">
        <v>45807</v>
      </c>
      <c r="C1495" s="1" t="n">
        <v>45842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26463-2025</t>
        </is>
      </c>
      <c r="B1496" s="1" t="n">
        <v>45807</v>
      </c>
      <c r="C1496" s="1" t="n">
        <v>45842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26617-2025</t>
        </is>
      </c>
      <c r="B1497" s="1" t="n">
        <v>45810</v>
      </c>
      <c r="C1497" s="1" t="n">
        <v>45842</v>
      </c>
      <c r="D1497" t="inlineStr">
        <is>
          <t>VÄRMLANDS LÄN</t>
        </is>
      </c>
      <c r="E1497" t="inlineStr">
        <is>
          <t>HAGFORS</t>
        </is>
      </c>
      <c r="F1497" t="inlineStr">
        <is>
          <t>Bergvik skog väst AB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26637-2025</t>
        </is>
      </c>
      <c r="B1498" s="1" t="n">
        <v>45810</v>
      </c>
      <c r="C1498" s="1" t="n">
        <v>45842</v>
      </c>
      <c r="D1498" t="inlineStr">
        <is>
          <t>VÄRMLANDS LÄN</t>
        </is>
      </c>
      <c r="E1498" t="inlineStr">
        <is>
          <t>HAGFORS</t>
        </is>
      </c>
      <c r="F1498" t="inlineStr">
        <is>
          <t>Bergvik skog väst AB</t>
        </is>
      </c>
      <c r="G1498" t="n">
        <v>5.8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27119-2025</t>
        </is>
      </c>
      <c r="B1499" s="1" t="n">
        <v>45811</v>
      </c>
      <c r="C1499" s="1" t="n">
        <v>45842</v>
      </c>
      <c r="D1499" t="inlineStr">
        <is>
          <t>VÄRMLANDS LÄN</t>
        </is>
      </c>
      <c r="E1499" t="inlineStr">
        <is>
          <t>HAGFORS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27121-2025</t>
        </is>
      </c>
      <c r="B1500" s="1" t="n">
        <v>45811</v>
      </c>
      <c r="C1500" s="1" t="n">
        <v>45842</v>
      </c>
      <c r="D1500" t="inlineStr">
        <is>
          <t>VÄRMLANDS LÄN</t>
        </is>
      </c>
      <c r="E1500" t="inlineStr">
        <is>
          <t>HAGFORS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26976-2025</t>
        </is>
      </c>
      <c r="B1501" s="1" t="n">
        <v>45811</v>
      </c>
      <c r="C1501" s="1" t="n">
        <v>45842</v>
      </c>
      <c r="D1501" t="inlineStr">
        <is>
          <t>VÄRMLANDS LÄN</t>
        </is>
      </c>
      <c r="E1501" t="inlineStr">
        <is>
          <t>HAGFORS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26973-2025</t>
        </is>
      </c>
      <c r="B1502" s="1" t="n">
        <v>45811</v>
      </c>
      <c r="C1502" s="1" t="n">
        <v>45842</v>
      </c>
      <c r="D1502" t="inlineStr">
        <is>
          <t>VÄRMLANDS LÄN</t>
        </is>
      </c>
      <c r="E1502" t="inlineStr">
        <is>
          <t>HAGFORS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26980-2025</t>
        </is>
      </c>
      <c r="B1503" s="1" t="n">
        <v>45811</v>
      </c>
      <c r="C1503" s="1" t="n">
        <v>45842</v>
      </c>
      <c r="D1503" t="inlineStr">
        <is>
          <t>VÄRMLANDS LÄN</t>
        </is>
      </c>
      <c r="E1503" t="inlineStr">
        <is>
          <t>HAGFORS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26982-2025</t>
        </is>
      </c>
      <c r="B1504" s="1" t="n">
        <v>45811</v>
      </c>
      <c r="C1504" s="1" t="n">
        <v>45842</v>
      </c>
      <c r="D1504" t="inlineStr">
        <is>
          <t>VÄRMLANDS LÄN</t>
        </is>
      </c>
      <c r="E1504" t="inlineStr">
        <is>
          <t>HAGFORS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27071-2025</t>
        </is>
      </c>
      <c r="B1505" s="1" t="n">
        <v>45811</v>
      </c>
      <c r="C1505" s="1" t="n">
        <v>45842</v>
      </c>
      <c r="D1505" t="inlineStr">
        <is>
          <t>VÄRMLANDS LÄN</t>
        </is>
      </c>
      <c r="E1505" t="inlineStr">
        <is>
          <t>HAGFORS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27195-2025</t>
        </is>
      </c>
      <c r="B1506" s="1" t="n">
        <v>45812</v>
      </c>
      <c r="C1506" s="1" t="n">
        <v>45842</v>
      </c>
      <c r="D1506" t="inlineStr">
        <is>
          <t>VÄRMLANDS LÄN</t>
        </is>
      </c>
      <c r="E1506" t="inlineStr">
        <is>
          <t>HAGFORS</t>
        </is>
      </c>
      <c r="F1506" t="inlineStr">
        <is>
          <t>Bergvik skog väst AB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27319-2025</t>
        </is>
      </c>
      <c r="B1507" s="1" t="n">
        <v>45812</v>
      </c>
      <c r="C1507" s="1" t="n">
        <v>45842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4.7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27335-2025</t>
        </is>
      </c>
      <c r="B1508" s="1" t="n">
        <v>45812</v>
      </c>
      <c r="C1508" s="1" t="n">
        <v>45842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15.2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27181-2025</t>
        </is>
      </c>
      <c r="B1509" s="1" t="n">
        <v>45812</v>
      </c>
      <c r="C1509" s="1" t="n">
        <v>45842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27185-2025</t>
        </is>
      </c>
      <c r="B1510" s="1" t="n">
        <v>45812</v>
      </c>
      <c r="C1510" s="1" t="n">
        <v>45842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27324-2025</t>
        </is>
      </c>
      <c r="B1511" s="1" t="n">
        <v>45812</v>
      </c>
      <c r="C1511" s="1" t="n">
        <v>45842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27229-2025</t>
        </is>
      </c>
      <c r="B1512" s="1" t="n">
        <v>45812</v>
      </c>
      <c r="C1512" s="1" t="n">
        <v>45842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27263-2025</t>
        </is>
      </c>
      <c r="B1513" s="1" t="n">
        <v>45812</v>
      </c>
      <c r="C1513" s="1" t="n">
        <v>45842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27260-2025</t>
        </is>
      </c>
      <c r="B1514" s="1" t="n">
        <v>45812</v>
      </c>
      <c r="C1514" s="1" t="n">
        <v>45842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27293-2025</t>
        </is>
      </c>
      <c r="B1515" s="1" t="n">
        <v>45812</v>
      </c>
      <c r="C1515" s="1" t="n">
        <v>45842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10.4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27154-2025</t>
        </is>
      </c>
      <c r="B1516" s="1" t="n">
        <v>45812</v>
      </c>
      <c r="C1516" s="1" t="n">
        <v>45842</v>
      </c>
      <c r="D1516" t="inlineStr">
        <is>
          <t>VÄRMLANDS LÄN</t>
        </is>
      </c>
      <c r="E1516" t="inlineStr">
        <is>
          <t>HAGFORS</t>
        </is>
      </c>
      <c r="F1516" t="inlineStr">
        <is>
          <t>Bergvik skog väst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27325-2025</t>
        </is>
      </c>
      <c r="B1517" s="1" t="n">
        <v>45812</v>
      </c>
      <c r="C1517" s="1" t="n">
        <v>45842</v>
      </c>
      <c r="D1517" t="inlineStr">
        <is>
          <t>VÄRMLANDS LÄN</t>
        </is>
      </c>
      <c r="E1517" t="inlineStr">
        <is>
          <t>HAGFORS</t>
        </is>
      </c>
      <c r="F1517" t="inlineStr">
        <is>
          <t>Bergvik skog väst AB</t>
        </is>
      </c>
      <c r="G1517" t="n">
        <v>5.2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28309-2025</t>
        </is>
      </c>
      <c r="B1518" s="1" t="n">
        <v>45818</v>
      </c>
      <c r="C1518" s="1" t="n">
        <v>45842</v>
      </c>
      <c r="D1518" t="inlineStr">
        <is>
          <t>VÄRMLANDS LÄN</t>
        </is>
      </c>
      <c r="E1518" t="inlineStr">
        <is>
          <t>HAGFORS</t>
        </is>
      </c>
      <c r="F1518" t="inlineStr">
        <is>
          <t>Kyrkan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28516-2025</t>
        </is>
      </c>
      <c r="B1519" s="1" t="n">
        <v>45818</v>
      </c>
      <c r="C1519" s="1" t="n">
        <v>45842</v>
      </c>
      <c r="D1519" t="inlineStr">
        <is>
          <t>VÄRMLANDS LÄN</t>
        </is>
      </c>
      <c r="E1519" t="inlineStr">
        <is>
          <t>HAGFORS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28437-2025</t>
        </is>
      </c>
      <c r="B1520" s="1" t="n">
        <v>45819</v>
      </c>
      <c r="C1520" s="1" t="n">
        <v>45842</v>
      </c>
      <c r="D1520" t="inlineStr">
        <is>
          <t>VÄRMLANDS LÄN</t>
        </is>
      </c>
      <c r="E1520" t="inlineStr">
        <is>
          <t>HAGFORS</t>
        </is>
      </c>
      <c r="F1520" t="inlineStr">
        <is>
          <t>Kyrkan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28571-2025</t>
        </is>
      </c>
      <c r="B1521" s="1" t="n">
        <v>45819</v>
      </c>
      <c r="C1521" s="1" t="n">
        <v>45842</v>
      </c>
      <c r="D1521" t="inlineStr">
        <is>
          <t>VÄRMLANDS LÄN</t>
        </is>
      </c>
      <c r="E1521" t="inlineStr">
        <is>
          <t>HAGFORS</t>
        </is>
      </c>
      <c r="G1521" t="n">
        <v>5.4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28723-2025</t>
        </is>
      </c>
      <c r="B1522" s="1" t="n">
        <v>45820</v>
      </c>
      <c r="C1522" s="1" t="n">
        <v>45842</v>
      </c>
      <c r="D1522" t="inlineStr">
        <is>
          <t>VÄRMLANDS LÄN</t>
        </is>
      </c>
      <c r="E1522" t="inlineStr">
        <is>
          <t>HAGFORS</t>
        </is>
      </c>
      <c r="F1522" t="inlineStr">
        <is>
          <t>Kyrkan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29149-2025</t>
        </is>
      </c>
      <c r="B1523" s="1" t="n">
        <v>45821</v>
      </c>
      <c r="C1523" s="1" t="n">
        <v>45842</v>
      </c>
      <c r="D1523" t="inlineStr">
        <is>
          <t>VÄRMLANDS LÄN</t>
        </is>
      </c>
      <c r="E1523" t="inlineStr">
        <is>
          <t>HAGFORS</t>
        </is>
      </c>
      <c r="F1523" t="inlineStr">
        <is>
          <t>Bergvik skog väst AB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29115-2025</t>
        </is>
      </c>
      <c r="B1524" s="1" t="n">
        <v>45821</v>
      </c>
      <c r="C1524" s="1" t="n">
        <v>45842</v>
      </c>
      <c r="D1524" t="inlineStr">
        <is>
          <t>VÄRMLANDS LÄN</t>
        </is>
      </c>
      <c r="E1524" t="inlineStr">
        <is>
          <t>HAGFORS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29032-2025</t>
        </is>
      </c>
      <c r="B1525" s="1" t="n">
        <v>45821</v>
      </c>
      <c r="C1525" s="1" t="n">
        <v>45842</v>
      </c>
      <c r="D1525" t="inlineStr">
        <is>
          <t>VÄRMLANDS LÄN</t>
        </is>
      </c>
      <c r="E1525" t="inlineStr">
        <is>
          <t>HAGFORS</t>
        </is>
      </c>
      <c r="F1525" t="inlineStr">
        <is>
          <t>Bergvik skog väst AB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29114-2025</t>
        </is>
      </c>
      <c r="B1526" s="1" t="n">
        <v>45821</v>
      </c>
      <c r="C1526" s="1" t="n">
        <v>45842</v>
      </c>
      <c r="D1526" t="inlineStr">
        <is>
          <t>VÄRMLANDS LÄN</t>
        </is>
      </c>
      <c r="E1526" t="inlineStr">
        <is>
          <t>HAGFORS</t>
        </is>
      </c>
      <c r="G1526" t="n">
        <v>4.2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29447-2025</t>
        </is>
      </c>
      <c r="B1527" s="1" t="n">
        <v>45824</v>
      </c>
      <c r="C1527" s="1" t="n">
        <v>45842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29412-2025</t>
        </is>
      </c>
      <c r="B1528" s="1" t="n">
        <v>45824</v>
      </c>
      <c r="C1528" s="1" t="n">
        <v>45842</v>
      </c>
      <c r="D1528" t="inlineStr">
        <is>
          <t>VÄRMLANDS LÄN</t>
        </is>
      </c>
      <c r="E1528" t="inlineStr">
        <is>
          <t>HAGFORS</t>
        </is>
      </c>
      <c r="F1528" t="inlineStr">
        <is>
          <t>Bergvik skog väst AB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29269-2025</t>
        </is>
      </c>
      <c r="B1529" s="1" t="n">
        <v>45824</v>
      </c>
      <c r="C1529" s="1" t="n">
        <v>45842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26.5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29746-2025</t>
        </is>
      </c>
      <c r="B1530" s="1" t="n">
        <v>45825</v>
      </c>
      <c r="C1530" s="1" t="n">
        <v>45842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9.4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29778-2025</t>
        </is>
      </c>
      <c r="B1531" s="1" t="n">
        <v>45825</v>
      </c>
      <c r="C1531" s="1" t="n">
        <v>45842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29755-2025</t>
        </is>
      </c>
      <c r="B1532" s="1" t="n">
        <v>45825</v>
      </c>
      <c r="C1532" s="1" t="n">
        <v>45842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29867-2025</t>
        </is>
      </c>
      <c r="B1533" s="1" t="n">
        <v>45826</v>
      </c>
      <c r="C1533" s="1" t="n">
        <v>45842</v>
      </c>
      <c r="D1533" t="inlineStr">
        <is>
          <t>VÄRMLANDS LÄN</t>
        </is>
      </c>
      <c r="E1533" t="inlineStr">
        <is>
          <t>HAGFORS</t>
        </is>
      </c>
      <c r="F1533" t="inlineStr">
        <is>
          <t>Bergvik skog väst AB</t>
        </is>
      </c>
      <c r="G1533" t="n">
        <v>7.7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29949-2025</t>
        </is>
      </c>
      <c r="B1534" s="1" t="n">
        <v>45826</v>
      </c>
      <c r="C1534" s="1" t="n">
        <v>45842</v>
      </c>
      <c r="D1534" t="inlineStr">
        <is>
          <t>VÄRMLANDS LÄN</t>
        </is>
      </c>
      <c r="E1534" t="inlineStr">
        <is>
          <t>HAGFORS</t>
        </is>
      </c>
      <c r="F1534" t="inlineStr">
        <is>
          <t>Bergvik skog väst AB</t>
        </is>
      </c>
      <c r="G1534" t="n">
        <v>15.9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30124-2025</t>
        </is>
      </c>
      <c r="B1535" s="1" t="n">
        <v>45826</v>
      </c>
      <c r="C1535" s="1" t="n">
        <v>45842</v>
      </c>
      <c r="D1535" t="inlineStr">
        <is>
          <t>VÄRMLANDS LÄN</t>
        </is>
      </c>
      <c r="E1535" t="inlineStr">
        <is>
          <t>HAGFORS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29958-2025</t>
        </is>
      </c>
      <c r="B1536" s="1" t="n">
        <v>45826</v>
      </c>
      <c r="C1536" s="1" t="n">
        <v>45842</v>
      </c>
      <c r="D1536" t="inlineStr">
        <is>
          <t>VÄRMLANDS LÄN</t>
        </is>
      </c>
      <c r="E1536" t="inlineStr">
        <is>
          <t>HAGFORS</t>
        </is>
      </c>
      <c r="F1536" t="inlineStr">
        <is>
          <t>Bergvik skog väst AB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29891-2025</t>
        </is>
      </c>
      <c r="B1537" s="1" t="n">
        <v>45826</v>
      </c>
      <c r="C1537" s="1" t="n">
        <v>45842</v>
      </c>
      <c r="D1537" t="inlineStr">
        <is>
          <t>VÄRMLANDS LÄN</t>
        </is>
      </c>
      <c r="E1537" t="inlineStr">
        <is>
          <t>HAGFORS</t>
        </is>
      </c>
      <c r="F1537" t="inlineStr">
        <is>
          <t>Bergvik skog väst AB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30769-2025</t>
        </is>
      </c>
      <c r="B1538" s="1" t="n">
        <v>45831</v>
      </c>
      <c r="C1538" s="1" t="n">
        <v>45842</v>
      </c>
      <c r="D1538" t="inlineStr">
        <is>
          <t>VÄRMLANDS LÄN</t>
        </is>
      </c>
      <c r="E1538" t="inlineStr">
        <is>
          <t>HAGFORS</t>
        </is>
      </c>
      <c r="F1538" t="inlineStr">
        <is>
          <t>Bergvik skog väst AB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30642-2025</t>
        </is>
      </c>
      <c r="B1539" s="1" t="n">
        <v>45831</v>
      </c>
      <c r="C1539" s="1" t="n">
        <v>45842</v>
      </c>
      <c r="D1539" t="inlineStr">
        <is>
          <t>VÄRMLANDS LÄN</t>
        </is>
      </c>
      <c r="E1539" t="inlineStr">
        <is>
          <t>HAGFORS</t>
        </is>
      </c>
      <c r="G1539" t="n">
        <v>3.8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30688-2025</t>
        </is>
      </c>
      <c r="B1540" s="1" t="n">
        <v>45831</v>
      </c>
      <c r="C1540" s="1" t="n">
        <v>45842</v>
      </c>
      <c r="D1540" t="inlineStr">
        <is>
          <t>VÄRMLANDS LÄN</t>
        </is>
      </c>
      <c r="E1540" t="inlineStr">
        <is>
          <t>HAGFORS</t>
        </is>
      </c>
      <c r="F1540" t="inlineStr">
        <is>
          <t>Bergvik skog väst AB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30778-2025</t>
        </is>
      </c>
      <c r="B1541" s="1" t="n">
        <v>45831</v>
      </c>
      <c r="C1541" s="1" t="n">
        <v>45842</v>
      </c>
      <c r="D1541" t="inlineStr">
        <is>
          <t>VÄRMLANDS LÄN</t>
        </is>
      </c>
      <c r="E1541" t="inlineStr">
        <is>
          <t>HAGFORS</t>
        </is>
      </c>
      <c r="F1541" t="inlineStr">
        <is>
          <t>Bergvik skog väst AB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30637-2025</t>
        </is>
      </c>
      <c r="B1542" s="1" t="n">
        <v>45831</v>
      </c>
      <c r="C1542" s="1" t="n">
        <v>45842</v>
      </c>
      <c r="D1542" t="inlineStr">
        <is>
          <t>VÄRMLANDS LÄN</t>
        </is>
      </c>
      <c r="E1542" t="inlineStr">
        <is>
          <t>HAGFORS</t>
        </is>
      </c>
      <c r="G1542" t="n">
        <v>3.8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30682-2025</t>
        </is>
      </c>
      <c r="B1543" s="1" t="n">
        <v>45831</v>
      </c>
      <c r="C1543" s="1" t="n">
        <v>45842</v>
      </c>
      <c r="D1543" t="inlineStr">
        <is>
          <t>VÄRMLANDS LÄN</t>
        </is>
      </c>
      <c r="E1543" t="inlineStr">
        <is>
          <t>HAGFORS</t>
        </is>
      </c>
      <c r="F1543" t="inlineStr">
        <is>
          <t>Bergvik skog väst AB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30635-2025</t>
        </is>
      </c>
      <c r="B1544" s="1" t="n">
        <v>45831</v>
      </c>
      <c r="C1544" s="1" t="n">
        <v>45842</v>
      </c>
      <c r="D1544" t="inlineStr">
        <is>
          <t>VÄRMLANDS LÄN</t>
        </is>
      </c>
      <c r="E1544" t="inlineStr">
        <is>
          <t>HAGFORS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30995-2025</t>
        </is>
      </c>
      <c r="B1545" s="1" t="n">
        <v>45832</v>
      </c>
      <c r="C1545" s="1" t="n">
        <v>45842</v>
      </c>
      <c r="D1545" t="inlineStr">
        <is>
          <t>VÄRMLANDS LÄN</t>
        </is>
      </c>
      <c r="E1545" t="inlineStr">
        <is>
          <t>HAGFORS</t>
        </is>
      </c>
      <c r="F1545" t="inlineStr">
        <is>
          <t>Bergvik skog väst AB</t>
        </is>
      </c>
      <c r="G1545" t="n">
        <v>6.9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31618-2025</t>
        </is>
      </c>
      <c r="B1546" s="1" t="n">
        <v>45833</v>
      </c>
      <c r="C1546" s="1" t="n">
        <v>45842</v>
      </c>
      <c r="D1546" t="inlineStr">
        <is>
          <t>VÄRMLANDS LÄN</t>
        </is>
      </c>
      <c r="E1546" t="inlineStr">
        <is>
          <t>HAGFORS</t>
        </is>
      </c>
      <c r="F1546" t="inlineStr">
        <is>
          <t>Bergvik skog väst AB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31974-2025</t>
        </is>
      </c>
      <c r="B1547" s="1" t="n">
        <v>45835</v>
      </c>
      <c r="C1547" s="1" t="n">
        <v>45842</v>
      </c>
      <c r="D1547" t="inlineStr">
        <is>
          <t>VÄRMLANDS LÄN</t>
        </is>
      </c>
      <c r="E1547" t="inlineStr">
        <is>
          <t>HAGFORS</t>
        </is>
      </c>
      <c r="F1547" t="inlineStr">
        <is>
          <t>Bergvik skog väst AB</t>
        </is>
      </c>
      <c r="G1547" t="n">
        <v>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32235-2025</t>
        </is>
      </c>
      <c r="B1548" s="1" t="n">
        <v>45835</v>
      </c>
      <c r="C1548" s="1" t="n">
        <v>45842</v>
      </c>
      <c r="D1548" t="inlineStr">
        <is>
          <t>VÄRMLANDS LÄN</t>
        </is>
      </c>
      <c r="E1548" t="inlineStr">
        <is>
          <t>HAGFORS</t>
        </is>
      </c>
      <c r="F1548" t="inlineStr">
        <is>
          <t>Bergvik skog väst AB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32174-2025</t>
        </is>
      </c>
      <c r="B1549" s="1" t="n">
        <v>45835</v>
      </c>
      <c r="C1549" s="1" t="n">
        <v>45842</v>
      </c>
      <c r="D1549" t="inlineStr">
        <is>
          <t>VÄRMLANDS LÄN</t>
        </is>
      </c>
      <c r="E1549" t="inlineStr">
        <is>
          <t>HAGFORS</t>
        </is>
      </c>
      <c r="F1549" t="inlineStr">
        <is>
          <t>Bergvik skog väst AB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32185-2025</t>
        </is>
      </c>
      <c r="B1550" s="1" t="n">
        <v>45835</v>
      </c>
      <c r="C1550" s="1" t="n">
        <v>45842</v>
      </c>
      <c r="D1550" t="inlineStr">
        <is>
          <t>VÄRMLANDS LÄN</t>
        </is>
      </c>
      <c r="E1550" t="inlineStr">
        <is>
          <t>HAGFORS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32540-2025</t>
        </is>
      </c>
      <c r="B1551" s="1" t="n">
        <v>45838</v>
      </c>
      <c r="C1551" s="1" t="n">
        <v>45842</v>
      </c>
      <c r="D1551" t="inlineStr">
        <is>
          <t>VÄRMLANDS LÄN</t>
        </is>
      </c>
      <c r="E1551" t="inlineStr">
        <is>
          <t>HAGFORS</t>
        </is>
      </c>
      <c r="F1551" t="inlineStr">
        <is>
          <t>Kyrkan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32688-2025</t>
        </is>
      </c>
      <c r="B1552" s="1" t="n">
        <v>45838</v>
      </c>
      <c r="C1552" s="1" t="n">
        <v>45842</v>
      </c>
      <c r="D1552" t="inlineStr">
        <is>
          <t>VÄRMLANDS LÄN</t>
        </is>
      </c>
      <c r="E1552" t="inlineStr">
        <is>
          <t>HAGFORS</t>
        </is>
      </c>
      <c r="F1552" t="inlineStr">
        <is>
          <t>Kyrkan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32607-2025</t>
        </is>
      </c>
      <c r="B1553" s="1" t="n">
        <v>45838</v>
      </c>
      <c r="C1553" s="1" t="n">
        <v>45842</v>
      </c>
      <c r="D1553" t="inlineStr">
        <is>
          <t>VÄRMLANDS LÄN</t>
        </is>
      </c>
      <c r="E1553" t="inlineStr">
        <is>
          <t>HAGFORS</t>
        </is>
      </c>
      <c r="F1553" t="inlineStr">
        <is>
          <t>Bergvik skog väst AB</t>
        </is>
      </c>
      <c r="G1553" t="n">
        <v>8.800000000000001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32534-2025</t>
        </is>
      </c>
      <c r="B1554" s="1" t="n">
        <v>45838</v>
      </c>
      <c r="C1554" s="1" t="n">
        <v>45842</v>
      </c>
      <c r="D1554" t="inlineStr">
        <is>
          <t>VÄRMLANDS LÄN</t>
        </is>
      </c>
      <c r="E1554" t="inlineStr">
        <is>
          <t>HAGFORS</t>
        </is>
      </c>
      <c r="F1554" t="inlineStr">
        <is>
          <t>Kyrkan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32604-2025</t>
        </is>
      </c>
      <c r="B1555" s="1" t="n">
        <v>45838</v>
      </c>
      <c r="C1555" s="1" t="n">
        <v>45842</v>
      </c>
      <c r="D1555" t="inlineStr">
        <is>
          <t>VÄRMLANDS LÄN</t>
        </is>
      </c>
      <c r="E1555" t="inlineStr">
        <is>
          <t>HAGFORS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32690-2025</t>
        </is>
      </c>
      <c r="B1556" s="1" t="n">
        <v>45839</v>
      </c>
      <c r="C1556" s="1" t="n">
        <v>45842</v>
      </c>
      <c r="D1556" t="inlineStr">
        <is>
          <t>VÄRMLANDS LÄN</t>
        </is>
      </c>
      <c r="E1556" t="inlineStr">
        <is>
          <t>HAGFORS</t>
        </is>
      </c>
      <c r="F1556" t="inlineStr">
        <is>
          <t>Kyrkan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32689-2025</t>
        </is>
      </c>
      <c r="B1557" s="1" t="n">
        <v>45839</v>
      </c>
      <c r="C1557" s="1" t="n">
        <v>45842</v>
      </c>
      <c r="D1557" t="inlineStr">
        <is>
          <t>VÄRMLANDS LÄN</t>
        </is>
      </c>
      <c r="E1557" t="inlineStr">
        <is>
          <t>HAGFORS</t>
        </is>
      </c>
      <c r="F1557" t="inlineStr">
        <is>
          <t>Kyrkan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32890-2025</t>
        </is>
      </c>
      <c r="B1558" s="1" t="n">
        <v>45839</v>
      </c>
      <c r="C1558" s="1" t="n">
        <v>45842</v>
      </c>
      <c r="D1558" t="inlineStr">
        <is>
          <t>VÄRMLANDS LÄN</t>
        </is>
      </c>
      <c r="E1558" t="inlineStr">
        <is>
          <t>HAGFORS</t>
        </is>
      </c>
      <c r="F1558" t="inlineStr">
        <is>
          <t>Bergvik skog väst AB</t>
        </is>
      </c>
      <c r="G1558" t="n">
        <v>6.4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32977-2025</t>
        </is>
      </c>
      <c r="B1559" s="1" t="n">
        <v>45839</v>
      </c>
      <c r="C1559" s="1" t="n">
        <v>45842</v>
      </c>
      <c r="D1559" t="inlineStr">
        <is>
          <t>VÄRMLANDS LÄN</t>
        </is>
      </c>
      <c r="E1559" t="inlineStr">
        <is>
          <t>HAGFORS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33171-2025</t>
        </is>
      </c>
      <c r="B1560" s="1" t="n">
        <v>45840</v>
      </c>
      <c r="C1560" s="1" t="n">
        <v>45842</v>
      </c>
      <c r="D1560" t="inlineStr">
        <is>
          <t>VÄRMLANDS LÄN</t>
        </is>
      </c>
      <c r="E1560" t="inlineStr">
        <is>
          <t>HAGFORS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32992-2025</t>
        </is>
      </c>
      <c r="B1561" s="1" t="n">
        <v>45840</v>
      </c>
      <c r="C1561" s="1" t="n">
        <v>45842</v>
      </c>
      <c r="D1561" t="inlineStr">
        <is>
          <t>VÄRMLANDS LÄN</t>
        </is>
      </c>
      <c r="E1561" t="inlineStr">
        <is>
          <t>HAGFORS</t>
        </is>
      </c>
      <c r="F1561" t="inlineStr">
        <is>
          <t>Bergvik skog väst AB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33187-2025</t>
        </is>
      </c>
      <c r="B1562" s="1" t="n">
        <v>45840</v>
      </c>
      <c r="C1562" s="1" t="n">
        <v>45842</v>
      </c>
      <c r="D1562" t="inlineStr">
        <is>
          <t>VÄRMLANDS LÄN</t>
        </is>
      </c>
      <c r="E1562" t="inlineStr">
        <is>
          <t>HAGFORS</t>
        </is>
      </c>
      <c r="G1562" t="n">
        <v>18.2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33199-2025</t>
        </is>
      </c>
      <c r="B1563" s="1" t="n">
        <v>45840</v>
      </c>
      <c r="C1563" s="1" t="n">
        <v>45842</v>
      </c>
      <c r="D1563" t="inlineStr">
        <is>
          <t>VÄRMLANDS LÄN</t>
        </is>
      </c>
      <c r="E1563" t="inlineStr">
        <is>
          <t>HAGFORS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33147-2025</t>
        </is>
      </c>
      <c r="B1564" s="1" t="n">
        <v>45840</v>
      </c>
      <c r="C1564" s="1" t="n">
        <v>45842</v>
      </c>
      <c r="D1564" t="inlineStr">
        <is>
          <t>VÄRMLANDS LÄN</t>
        </is>
      </c>
      <c r="E1564" t="inlineStr">
        <is>
          <t>HAGFORS</t>
        </is>
      </c>
      <c r="G1564" t="n">
        <v>8.300000000000001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33454-2025</t>
        </is>
      </c>
      <c r="B1565" s="1" t="n">
        <v>45841</v>
      </c>
      <c r="C1565" s="1" t="n">
        <v>45842</v>
      </c>
      <c r="D1565" t="inlineStr">
        <is>
          <t>VÄRMLANDS LÄN</t>
        </is>
      </c>
      <c r="E1565" t="inlineStr">
        <is>
          <t>HAGFORS</t>
        </is>
      </c>
      <c r="F1565" t="inlineStr">
        <is>
          <t>Bergvik skog väst AB</t>
        </is>
      </c>
      <c r="G1565" t="n">
        <v>6.1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33463-2025</t>
        </is>
      </c>
      <c r="B1566" s="1" t="n">
        <v>45841</v>
      </c>
      <c r="C1566" s="1" t="n">
        <v>45842</v>
      </c>
      <c r="D1566" t="inlineStr">
        <is>
          <t>VÄRMLANDS LÄN</t>
        </is>
      </c>
      <c r="E1566" t="inlineStr">
        <is>
          <t>HAGFORS</t>
        </is>
      </c>
      <c r="F1566" t="inlineStr">
        <is>
          <t>Kyrkan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33440-2025</t>
        </is>
      </c>
      <c r="B1567" s="1" t="n">
        <v>45841</v>
      </c>
      <c r="C1567" s="1" t="n">
        <v>45842</v>
      </c>
      <c r="D1567" t="inlineStr">
        <is>
          <t>VÄRMLANDS LÄN</t>
        </is>
      </c>
      <c r="E1567" t="inlineStr">
        <is>
          <t>HAGFORS</t>
        </is>
      </c>
      <c r="F1567" t="inlineStr">
        <is>
          <t>Bergvik skog väst AB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33549-2025</t>
        </is>
      </c>
      <c r="B1568" s="1" t="n">
        <v>45841</v>
      </c>
      <c r="C1568" s="1" t="n">
        <v>45842</v>
      </c>
      <c r="D1568" t="inlineStr">
        <is>
          <t>VÄRMLANDS LÄN</t>
        </is>
      </c>
      <c r="E1568" t="inlineStr">
        <is>
          <t>HAGFORS</t>
        </is>
      </c>
      <c r="F1568" t="inlineStr">
        <is>
          <t>Bergvik skog väst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33364-2025</t>
        </is>
      </c>
      <c r="B1569" s="1" t="n">
        <v>45841</v>
      </c>
      <c r="C1569" s="1" t="n">
        <v>45842</v>
      </c>
      <c r="D1569" t="inlineStr">
        <is>
          <t>VÄRMLANDS LÄN</t>
        </is>
      </c>
      <c r="E1569" t="inlineStr">
        <is>
          <t>HAGFORS</t>
        </is>
      </c>
      <c r="F1569" t="inlineStr">
        <is>
          <t>Bergvik skog väst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33612-2025</t>
        </is>
      </c>
      <c r="B1570" s="1" t="n">
        <v>45841</v>
      </c>
      <c r="C1570" s="1" t="n">
        <v>45842</v>
      </c>
      <c r="D1570" t="inlineStr">
        <is>
          <t>VÄRMLANDS LÄN</t>
        </is>
      </c>
      <c r="E1570" t="inlineStr">
        <is>
          <t>HAGFORS</t>
        </is>
      </c>
      <c r="F1570" t="inlineStr">
        <is>
          <t>Bergvik skog väst AB</t>
        </is>
      </c>
      <c r="G1570" t="n">
        <v>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33611-2025</t>
        </is>
      </c>
      <c r="B1571" s="1" t="n">
        <v>45841</v>
      </c>
      <c r="C1571" s="1" t="n">
        <v>45842</v>
      </c>
      <c r="D1571" t="inlineStr">
        <is>
          <t>VÄRMLANDS LÄN</t>
        </is>
      </c>
      <c r="E1571" t="inlineStr">
        <is>
          <t>HAGFORS</t>
        </is>
      </c>
      <c r="F1571" t="inlineStr">
        <is>
          <t>Bergvik skog väst AB</t>
        </is>
      </c>
      <c r="G1571" t="n">
        <v>6.4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>
      <c r="A1572" t="inlineStr">
        <is>
          <t>A 33718-2025</t>
        </is>
      </c>
      <c r="B1572" s="1" t="n">
        <v>45841</v>
      </c>
      <c r="C1572" s="1" t="n">
        <v>45842</v>
      </c>
      <c r="D1572" t="inlineStr">
        <is>
          <t>VÄRMLANDS LÄN</t>
        </is>
      </c>
      <c r="E1572" t="inlineStr">
        <is>
          <t>HAGFORS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2025-07-04T19:04:48Z</dcterms:created>
  <dcterms:modified xmlns:dcterms="http://purl.org/dc/terms/" xmlns:xsi="http://www.w3.org/2001/XMLSchema-instance" xsi:type="dcterms:W3CDTF">2025-07-04T19:04:50Z</dcterms:modified>
</cp:coreProperties>
</file>