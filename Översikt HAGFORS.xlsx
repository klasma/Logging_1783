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46254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34096-2026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24.7</v>
      </c>
      <c r="J9" t="n">
        <v>0</v>
      </c>
      <c r="K9" t="n">
        <v>0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6</v>
      </c>
      <c r="T9" t="n">
        <v>14</v>
      </c>
      <c r="U9" t="n">
        <v>0</v>
      </c>
      <c r="V9" s="2" t="inlineStr">
        <is>
          <t>Garnlav
Dvärgbägarlav
Kolflarnlav
Vedskivlav
Vedtrappmossa
Violettgrå tagellav</t>
        </is>
      </c>
      <c r="W9">
        <f>HYPERLINK("https://klasma.github.io/Logging_1783/artfynd/A 34096-2026 artfynd.xlsx", "A 34096-2026")</f>
        <v/>
      </c>
      <c r="X9">
        <f>HYPERLINK("https://klasma.github.io/Logging_1783/kartor/A 34096-2026 karta.png", "A 34096-2026")</f>
        <v/>
      </c>
      <c r="Y9">
        <f>HYPERLINK("https://klasma.github.io/Logging_1783/kartor_geotiff/A 34096-2026 georefererad karta.tif", "A 34096-2026")</f>
        <v/>
      </c>
      <c r="AA9">
        <f>HYPERLINK("https://klasma.github.io/Logging_1783/klagomål/A 34096-2026 FSC-klagomål.docx", "A 34096-2026")</f>
        <v/>
      </c>
      <c r="AB9">
        <f>HYPERLINK("https://klasma.github.io/Logging_1783/klagomålsmail/A 34096-2026 FSC-klagomål mail.docx", "A 34096-2026")</f>
        <v/>
      </c>
      <c r="AC9">
        <f>HYPERLINK("https://klasma.github.io/Logging_1783/tillsyn/A 34096-2026 tillsynsbegäran.docx", "A 34096-2026")</f>
        <v/>
      </c>
      <c r="AD9">
        <f>HYPERLINK("https://klasma.github.io/Logging_1783/tillsynsmail/A 34096-2026 tillsynsbegäran mail.docx", "A 34096-2026")</f>
        <v/>
      </c>
    </row>
    <row r="10" ht="15" customHeight="1">
      <c r="A10" t="inlineStr">
        <is>
          <t>A 56054-2025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45973</v>
      </c>
      <c r="E10" s="1" t="n">
        <v>46254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4.8</v>
      </c>
      <c r="J10" t="n">
        <v>1</v>
      </c>
      <c r="K10" t="n">
        <v>3</v>
      </c>
      <c r="L10" t="n">
        <v>1</v>
      </c>
      <c r="M10" t="n">
        <v>2</v>
      </c>
      <c r="N10" t="n">
        <v>0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8</v>
      </c>
      <c r="U10" t="n">
        <v>1</v>
      </c>
      <c r="V10" s="2" t="inlineStr">
        <is>
          <t>Aspgelélav
Knärot
Violettgrå tagellav
Dvärgtufs
Korallblylav
Stuplav</t>
        </is>
      </c>
      <c r="W10">
        <f>HYPERLINK("https://klasma.github.io/Logging_1783/artfynd/A 56054-2025 artfynd.xlsx", "A 56054-2025")</f>
        <v/>
      </c>
      <c r="X10">
        <f>HYPERLINK("https://klasma.github.io/Logging_1783/kartor/A 56054-2025 karta.png", "A 56054-2025")</f>
        <v/>
      </c>
      <c r="Y10">
        <f>HYPERLINK("https://klasma.github.io/Logging_1783/kartor_geotiff/A 56054-2025 georefererad karta.tif", "A 56054-2025")</f>
        <v/>
      </c>
      <c r="Z10">
        <f>HYPERLINK("https://klasma.github.io/Logging_1783/knärot/A 56054-2025 karta knärot.png", "A 56054-2025")</f>
        <v/>
      </c>
      <c r="AA10">
        <f>HYPERLINK("https://klasma.github.io/Logging_1783/klagomål/A 56054-2025 FSC-klagomål.docx", "A 56054-2025")</f>
        <v/>
      </c>
      <c r="AB10">
        <f>HYPERLINK("https://klasma.github.io/Logging_1783/klagomålsmail/A 56054-2025 FSC-klagomål mail.docx", "A 56054-2025")</f>
        <v/>
      </c>
      <c r="AC10">
        <f>HYPERLINK("https://klasma.github.io/Logging_1783/tillsyn/A 56054-2025 tillsynsbegäran.docx", "A 56054-2025")</f>
        <v/>
      </c>
      <c r="AD10">
        <f>HYPERLINK("https://klasma.github.io/Logging_1783/tillsynsmail/A 56054-2025 tillsynsbegäran mail.docx", "A 56054-2025")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46254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46254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46254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46254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46254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46254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46254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35299-2025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45854</v>
      </c>
      <c r="E19" s="1" t="n">
        <v>46254</v>
      </c>
      <c r="F19" t="inlineStr">
        <is>
          <t>VÄRMLANDS LÄN</t>
        </is>
      </c>
      <c r="G19" t="inlineStr">
        <is>
          <t>HAGFORS</t>
        </is>
      </c>
      <c r="H19" t="inlineStr">
        <is>
          <t>Kyrkan</t>
        </is>
      </c>
      <c r="I19" t="n">
        <v>2.5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Lunglav
Vedskivlav
Vedtrappmossa
Skinnlav</t>
        </is>
      </c>
      <c r="W19">
        <f>HYPERLINK("https://klasma.github.io/Logging_1783/artfynd/A 35299-2025 artfynd.xlsx", "A 35299-2025")</f>
        <v/>
      </c>
      <c r="X19">
        <f>HYPERLINK("https://klasma.github.io/Logging_1783/kartor/A 35299-2025 karta.png", "A 35299-2025")</f>
        <v/>
      </c>
      <c r="Y19">
        <f>HYPERLINK("https://klasma.github.io/Logging_1783/kartor_geotiff/A 35299-2025 georefererad karta.tif", "A 35299-2025")</f>
        <v/>
      </c>
      <c r="AA19">
        <f>HYPERLINK("https://klasma.github.io/Logging_1783/klagomål/A 35299-2025 FSC-klagomål.docx", "A 35299-2025")</f>
        <v/>
      </c>
      <c r="AB19">
        <f>HYPERLINK("https://klasma.github.io/Logging_1783/klagomålsmail/A 35299-2025 FSC-klagomål mail.docx", "A 35299-2025")</f>
        <v/>
      </c>
      <c r="AC19">
        <f>HYPERLINK("https://klasma.github.io/Logging_1783/tillsyn/A 35299-2025 tillsynsbegäran.docx", "A 35299-2025")</f>
        <v/>
      </c>
      <c r="AD19">
        <f>HYPERLINK("https://klasma.github.io/Logging_1783/tillsynsmail/A 35299-2025 tillsynsbegäran mail.docx", "A 35299-2025")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46254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46254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46254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59972-2025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45993</v>
      </c>
      <c r="E23" s="1" t="n">
        <v>46254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1.8</v>
      </c>
      <c r="J23" t="n">
        <v>0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Lunglav
Korallblylav</t>
        </is>
      </c>
      <c r="W23">
        <f>HYPERLINK("https://klasma.github.io/Logging_1783/artfynd/A 59972-2025 artfynd.xlsx", "A 59972-2025")</f>
        <v/>
      </c>
      <c r="X23">
        <f>HYPERLINK("https://klasma.github.io/Logging_1783/kartor/A 59972-2025 karta.png", "A 59972-2025")</f>
        <v/>
      </c>
      <c r="Y23">
        <f>HYPERLINK("https://klasma.github.io/Logging_1783/kartor_geotiff/A 59972-2025 georefererad karta.tif", "A 59972-2025")</f>
        <v/>
      </c>
      <c r="AA23">
        <f>HYPERLINK("https://klasma.github.io/Logging_1783/klagomål/A 59972-2025 FSC-klagomål.docx", "A 59972-2025")</f>
        <v/>
      </c>
      <c r="AB23">
        <f>HYPERLINK("https://klasma.github.io/Logging_1783/klagomålsmail/A 59972-2025 FSC-klagomål mail.docx", "A 59972-2025")</f>
        <v/>
      </c>
      <c r="AC23">
        <f>HYPERLINK("https://klasma.github.io/Logging_1783/tillsyn/A 59972-2025 tillsynsbegäran.docx", "A 59972-2025")</f>
        <v/>
      </c>
      <c r="AD23">
        <f>HYPERLINK("https://klasma.github.io/Logging_1783/tillsynsmail/A 59972-2025 tillsynsbegäran mail.docx", "A 59972-2025")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46254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46254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46254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46254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46254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A 10836-2026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46254</v>
      </c>
      <c r="F29" t="inlineStr">
        <is>
          <t>VÄRMLANDS LÄN</t>
        </is>
      </c>
      <c r="G29" t="inlineStr">
        <is>
          <t>HAGFORS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Mattlummer
Ärtsångare</t>
        </is>
      </c>
      <c r="W29">
        <f>HYPERLINK("https://klasma.github.io/Logging_1783/artfynd/A 10836-2026 artfynd.xlsx", "A 10836-2026")</f>
        <v/>
      </c>
      <c r="X29">
        <f>HYPERLINK("https://klasma.github.io/Logging_1783/kartor/A 10836-2026 karta.png", "A 10836-2026")</f>
        <v/>
      </c>
      <c r="Y29">
        <f>HYPERLINK("https://klasma.github.io/Logging_1783/kartor_geotiff/A 10836-2026 georefererad karta.tif", "A 10836-2026")</f>
        <v/>
      </c>
      <c r="AA29">
        <f>HYPERLINK("https://klasma.github.io/Logging_1783/klagomål/A 10836-2026 FSC-klagomål.docx", "A 10836-2026")</f>
        <v/>
      </c>
      <c r="AB29">
        <f>HYPERLINK("https://klasma.github.io/Logging_1783/klagomålsmail/A 10836-2026 FSC-klagomål mail.docx", "A 10836-2026")</f>
        <v/>
      </c>
      <c r="AC29">
        <f>HYPERLINK("https://klasma.github.io/Logging_1783/tillsyn/A 10836-2026 tillsynsbegäran.docx", "A 10836-2026")</f>
        <v/>
      </c>
      <c r="AD29">
        <f>HYPERLINK("https://klasma.github.io/Logging_1783/tillsynsmail/A 10836-2026 tillsynsbegäran mail.docx", "A 10836-2026")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46254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46254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51194-2022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44868</v>
      </c>
      <c r="E34" s="1" t="n">
        <v>46254</v>
      </c>
      <c r="F34" t="inlineStr">
        <is>
          <t>VÄRMLANDS LÄN</t>
        </is>
      </c>
      <c r="G34" t="inlineStr">
        <is>
          <t>HAGFORS</t>
        </is>
      </c>
      <c r="I34" t="n">
        <v>1.6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Garnlav</t>
        </is>
      </c>
      <c r="W34">
        <f>HYPERLINK("https://klasma.github.io/Logging_1783/artfynd/A 51194-2022 artfynd.xlsx", "A 51194-2022")</f>
        <v/>
      </c>
      <c r="X34">
        <f>HYPERLINK("https://klasma.github.io/Logging_1783/kartor/A 51194-2022 karta.png", "A 51194-2022")</f>
        <v/>
      </c>
      <c r="Y34">
        <f>HYPERLINK("https://klasma.github.io/Logging_1783/kartor_geotiff/A 51194-2022 georefererad karta.tif", "A 51194-2022")</f>
        <v/>
      </c>
      <c r="AA34">
        <f>HYPERLINK("https://klasma.github.io/Logging_1783/klagomål/A 51194-2022 FSC-klagomål.docx", "A 51194-2022")</f>
        <v/>
      </c>
      <c r="AB34">
        <f>HYPERLINK("https://klasma.github.io/Logging_1783/klagomålsmail/A 51194-2022 FSC-klagomål mail.docx", "A 51194-2022")</f>
        <v/>
      </c>
      <c r="AC34">
        <f>HYPERLINK("https://klasma.github.io/Logging_1783/tillsyn/A 51194-2022 tillsynsbegäran.docx", "A 51194-2022")</f>
        <v/>
      </c>
      <c r="AD34">
        <f>HYPERLINK("https://klasma.github.io/Logging_1783/tillsynsmail/A 51194-2022 tillsynsbegäran mail.docx", "A 51194-2022")</f>
        <v/>
      </c>
    </row>
    <row r="35" ht="15" customHeight="1">
      <c r="A35" t="inlineStr">
        <is>
          <t>A 44095-2023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46254</v>
      </c>
      <c r="F35" t="inlineStr">
        <is>
          <t>VÄRMLANDS LÄN</t>
        </is>
      </c>
      <c r="G35" t="inlineStr">
        <is>
          <t>HAGFORS</t>
        </is>
      </c>
      <c r="I35" t="n">
        <v>3.6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HYPERLINK("https://klasma.github.io/Logging_1783/artfynd/A 44095-2023 artfynd.xlsx", "A 44095-2023")</f>
        <v/>
      </c>
      <c r="X35">
        <f>HYPERLINK("https://klasma.github.io/Logging_1783/kartor/A 44095-2023 karta.png", "A 44095-2023")</f>
        <v/>
      </c>
      <c r="Y35">
        <f>HYPERLINK("https://klasma.github.io/Logging_1783/kartor_geotiff/A 44095-2023 georefererad karta.tif", "A 44095-2023")</f>
        <v/>
      </c>
      <c r="AA35">
        <f>HYPERLINK("https://klasma.github.io/Logging_1783/klagomål/A 44095-2023 FSC-klagomål.docx", "A 44095-2023")</f>
        <v/>
      </c>
      <c r="AB35">
        <f>HYPERLINK("https://klasma.github.io/Logging_1783/klagomålsmail/A 44095-2023 FSC-klagomål mail.docx", "A 44095-2023")</f>
        <v/>
      </c>
      <c r="AC35">
        <f>HYPERLINK("https://klasma.github.io/Logging_1783/tillsyn/A 44095-2023 tillsynsbegäran.docx", "A 44095-2023")</f>
        <v/>
      </c>
      <c r="AD35">
        <f>HYPERLINK("https://klasma.github.io/Logging_1783/tillsynsmail/A 44095-2023 tillsynsbegäran mail.docx", "A 44095-2023")</f>
        <v/>
      </c>
    </row>
    <row r="36" ht="15" customHeight="1">
      <c r="A36" t="inlineStr">
        <is>
          <t>A 34158-2025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45845</v>
      </c>
      <c r="E36" s="1" t="n">
        <v>46254</v>
      </c>
      <c r="F36" t="inlineStr">
        <is>
          <t>VÄRMLANDS LÄN</t>
        </is>
      </c>
      <c r="G36" t="inlineStr">
        <is>
          <t>HAGFORS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Korallblylav</t>
        </is>
      </c>
      <c r="W36">
        <f>HYPERLINK("https://klasma.github.io/Logging_1783/artfynd/A 34158-2025 artfynd.xlsx", "A 34158-2025")</f>
        <v/>
      </c>
      <c r="X36">
        <f>HYPERLINK("https://klasma.github.io/Logging_1783/kartor/A 34158-2025 karta.png", "A 34158-2025")</f>
        <v/>
      </c>
      <c r="Y36">
        <f>HYPERLINK("https://klasma.github.io/Logging_1783/kartor_geotiff/A 34158-2025 georefererad karta.tif", "A 34158-2025")</f>
        <v/>
      </c>
      <c r="AA36">
        <f>HYPERLINK("https://klasma.github.io/Logging_1783/klagomål/A 34158-2025 FSC-klagomål.docx", "A 34158-2025")</f>
        <v/>
      </c>
      <c r="AB36">
        <f>HYPERLINK("https://klasma.github.io/Logging_1783/klagomålsmail/A 34158-2025 FSC-klagomål mail.docx", "A 34158-2025")</f>
        <v/>
      </c>
      <c r="AC36">
        <f>HYPERLINK("https://klasma.github.io/Logging_1783/tillsyn/A 34158-2025 tillsynsbegäran.docx", "A 34158-2025")</f>
        <v/>
      </c>
      <c r="AD36">
        <f>HYPERLINK("https://klasma.github.io/Logging_1783/tillsynsmail/A 34158-2025 tillsynsbegäran mail.docx", "A 34158-2025")</f>
        <v/>
      </c>
    </row>
    <row r="37" ht="15" customHeight="1">
      <c r="A37" t="inlineStr">
        <is>
          <t>A 16319-2023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45028</v>
      </c>
      <c r="E37" s="1" t="n">
        <v>46254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16319-2023 artfynd.xlsx", "A 16319-2023")</f>
        <v/>
      </c>
      <c r="X37">
        <f>HYPERLINK("https://klasma.github.io/Logging_1783/kartor/A 16319-2023 karta.png", "A 16319-2023")</f>
        <v/>
      </c>
      <c r="Y37">
        <f>HYPERLINK("https://klasma.github.io/Logging_1783/kartor_geotiff/A 16319-2023 georefererad karta.tif", "A 16319-2023")</f>
        <v/>
      </c>
      <c r="AA37">
        <f>HYPERLINK("https://klasma.github.io/Logging_1783/klagomål/A 16319-2023 FSC-klagomål.docx", "A 16319-2023")</f>
        <v/>
      </c>
      <c r="AB37">
        <f>HYPERLINK("https://klasma.github.io/Logging_1783/klagomålsmail/A 16319-2023 FSC-klagomål mail.docx", "A 16319-2023")</f>
        <v/>
      </c>
      <c r="AC37">
        <f>HYPERLINK("https://klasma.github.io/Logging_1783/tillsyn/A 16319-2023 tillsynsbegäran.docx", "A 16319-2023")</f>
        <v/>
      </c>
      <c r="AD37">
        <f>HYPERLINK("https://klasma.github.io/Logging_1783/tillsynsmail/A 16319-2023 tillsynsbegäran mail.docx", "A 16319-2023")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46254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24659-2026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46254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82.3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Garnlav</t>
        </is>
      </c>
      <c r="W39">
        <f>HYPERLINK("https://klasma.github.io/Logging_1783/artfynd/A 24659-2026 artfynd.xlsx", "A 24659-2026")</f>
        <v/>
      </c>
      <c r="X39">
        <f>HYPERLINK("https://klasma.github.io/Logging_1783/kartor/A 24659-2026 karta.png", "A 24659-2026")</f>
        <v/>
      </c>
      <c r="Y39">
        <f>HYPERLINK("https://klasma.github.io/Logging_1783/kartor_geotiff/A 24659-2026 georefererad karta.tif", "A 24659-2026")</f>
        <v/>
      </c>
      <c r="AA39">
        <f>HYPERLINK("https://klasma.github.io/Logging_1783/klagomål/A 24659-2026 FSC-klagomål.docx", "A 24659-2026")</f>
        <v/>
      </c>
      <c r="AB39">
        <f>HYPERLINK("https://klasma.github.io/Logging_1783/klagomålsmail/A 24659-2026 FSC-klagomål mail.docx", "A 24659-2026")</f>
        <v/>
      </c>
      <c r="AC39">
        <f>HYPERLINK("https://klasma.github.io/Logging_1783/tillsyn/A 24659-2026 tillsynsbegäran.docx", "A 24659-2026")</f>
        <v/>
      </c>
      <c r="AD39">
        <f>HYPERLINK("https://klasma.github.io/Logging_1783/tillsynsmail/A 24659-2026 tillsynsbegäran mail.docx", "A 24659-2026")</f>
        <v/>
      </c>
    </row>
    <row r="40" ht="15" customHeight="1">
      <c r="A40" t="inlineStr">
        <is>
          <t>A 24716-2026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46254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82.3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Garnlav</t>
        </is>
      </c>
      <c r="W40">
        <f>HYPERLINK("https://klasma.github.io/Logging_1783/artfynd/A 24716-2026 artfynd.xlsx", "A 24716-2026")</f>
        <v/>
      </c>
      <c r="X40">
        <f>HYPERLINK("https://klasma.github.io/Logging_1783/kartor/A 24716-2026 karta.png", "A 24716-2026")</f>
        <v/>
      </c>
      <c r="Y40">
        <f>HYPERLINK("https://klasma.github.io/Logging_1783/kartor_geotiff/A 24716-2026 georefererad karta.tif", "A 24716-2026")</f>
        <v/>
      </c>
      <c r="AA40">
        <f>HYPERLINK("https://klasma.github.io/Logging_1783/klagomål/A 24716-2026 FSC-klagomål.docx", "A 24716-2026")</f>
        <v/>
      </c>
      <c r="AB40">
        <f>HYPERLINK("https://klasma.github.io/Logging_1783/klagomålsmail/A 24716-2026 FSC-klagomål mail.docx", "A 24716-2026")</f>
        <v/>
      </c>
      <c r="AC40">
        <f>HYPERLINK("https://klasma.github.io/Logging_1783/tillsyn/A 24716-2026 tillsynsbegäran.docx", "A 24716-2026")</f>
        <v/>
      </c>
      <c r="AD40">
        <f>HYPERLINK("https://klasma.github.io/Logging_1783/tillsynsmail/A 24716-2026 tillsynsbegäran mail.docx", "A 24716-2026")</f>
        <v/>
      </c>
    </row>
    <row r="41" ht="15" customHeight="1">
      <c r="A41" t="inlineStr">
        <is>
          <t>A 26189-2026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46254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Sävsparv</t>
        </is>
      </c>
      <c r="W41">
        <f>HYPERLINK("https://klasma.github.io/Logging_1783/artfynd/A 26189-2026 artfynd.xlsx", "A 26189-2026")</f>
        <v/>
      </c>
      <c r="X41">
        <f>HYPERLINK("https://klasma.github.io/Logging_1783/kartor/A 26189-2026 karta.png", "A 26189-2026")</f>
        <v/>
      </c>
      <c r="Y41">
        <f>HYPERLINK("https://klasma.github.io/Logging_1783/kartor_geotiff/A 26189-2026 georefererad karta.tif", "A 26189-2026")</f>
        <v/>
      </c>
      <c r="AA41">
        <f>HYPERLINK("https://klasma.github.io/Logging_1783/klagomål/A 26189-2026 FSC-klagomål.docx", "A 26189-2026")</f>
        <v/>
      </c>
      <c r="AB41">
        <f>HYPERLINK("https://klasma.github.io/Logging_1783/klagomålsmail/A 26189-2026 FSC-klagomål mail.docx", "A 26189-2026")</f>
        <v/>
      </c>
      <c r="AC41">
        <f>HYPERLINK("https://klasma.github.io/Logging_1783/tillsyn/A 26189-2026 tillsynsbegäran.docx", "A 26189-2026")</f>
        <v/>
      </c>
      <c r="AD41">
        <f>HYPERLINK("https://klasma.github.io/Logging_1783/tillsynsmail/A 26189-2026 tillsynsbegäran mail.docx", "A 26189-2026")</f>
        <v/>
      </c>
      <c r="AE41">
        <f>HYPERLINK("https://klasma.github.io/Logging_1783/fåglar/A 26189-2026 prioriterade fågelarter.docx", "A 26189-2026")</f>
        <v/>
      </c>
    </row>
    <row r="42" ht="15" customHeight="1">
      <c r="A42" t="inlineStr">
        <is>
          <t>A 31742-2026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46227</v>
      </c>
      <c r="E42" s="1" t="n">
        <v>46254</v>
      </c>
      <c r="F42" t="inlineStr">
        <is>
          <t>VÄRMLANDS LÄN</t>
        </is>
      </c>
      <c r="G42" t="inlineStr">
        <is>
          <t>HAGFORS</t>
        </is>
      </c>
      <c r="I42" t="n">
        <v>4.2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HYPERLINK("https://klasma.github.io/Logging_1783/artfynd/A 31742-2026 artfynd.xlsx", "A 31742-2026")</f>
        <v/>
      </c>
      <c r="X42">
        <f>HYPERLINK("https://klasma.github.io/Logging_1783/kartor/A 31742-2026 karta.png", "A 31742-2026")</f>
        <v/>
      </c>
      <c r="Y42">
        <f>HYPERLINK("https://klasma.github.io/Logging_1783/kartor_geotiff/A 31742-2026 georefererad karta.tif", "A 31742-2026")</f>
        <v/>
      </c>
      <c r="AA42">
        <f>HYPERLINK("https://klasma.github.io/Logging_1783/klagomål/A 31742-2026 FSC-klagomål.docx", "A 31742-2026")</f>
        <v/>
      </c>
      <c r="AB42">
        <f>HYPERLINK("https://klasma.github.io/Logging_1783/klagomålsmail/A 31742-2026 FSC-klagomål mail.docx", "A 31742-2026")</f>
        <v/>
      </c>
      <c r="AC42">
        <f>HYPERLINK("https://klasma.github.io/Logging_1783/tillsyn/A 31742-2026 tillsynsbegäran.docx", "A 31742-2026")</f>
        <v/>
      </c>
      <c r="AD42">
        <f>HYPERLINK("https://klasma.github.io/Logging_1783/tillsynsmail/A 31742-2026 tillsynsbegäran mail.docx", "A 31742-2026")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46254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32592-2026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46240</v>
      </c>
      <c r="E44" s="1" t="n">
        <v>46254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30.8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HYPERLINK("https://klasma.github.io/Logging_1783/artfynd/A 32592-2026 artfynd.xlsx", "A 32592-2026")</f>
        <v/>
      </c>
      <c r="X44">
        <f>HYPERLINK("https://klasma.github.io/Logging_1783/kartor/A 32592-2026 karta.png", "A 32592-2026")</f>
        <v/>
      </c>
      <c r="Y44">
        <f>HYPERLINK("https://klasma.github.io/Logging_1783/kartor_geotiff/A 32592-2026 georefererad karta.tif", "A 32592-2026")</f>
        <v/>
      </c>
      <c r="AA44">
        <f>HYPERLINK("https://klasma.github.io/Logging_1783/klagomål/A 32592-2026 FSC-klagomål.docx", "A 32592-2026")</f>
        <v/>
      </c>
      <c r="AB44">
        <f>HYPERLINK("https://klasma.github.io/Logging_1783/klagomålsmail/A 32592-2026 FSC-klagomål mail.docx", "A 32592-2026")</f>
        <v/>
      </c>
      <c r="AC44">
        <f>HYPERLINK("https://klasma.github.io/Logging_1783/tillsyn/A 32592-2026 tillsynsbegäran.docx", "A 32592-2026")</f>
        <v/>
      </c>
      <c r="AD44">
        <f>HYPERLINK("https://klasma.github.io/Logging_1783/tillsynsmail/A 32592-2026 tillsynsbegäran mail.docx", "A 32592-2026")</f>
        <v/>
      </c>
    </row>
    <row r="45" ht="15" customHeight="1">
      <c r="A45" t="inlineStr">
        <is>
          <t>A 30524-2022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44762</v>
      </c>
      <c r="E45" s="1" t="n">
        <v>46254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Kolflarnlav</t>
        </is>
      </c>
      <c r="W45">
        <f>HYPERLINK("https://klasma.github.io/Logging_1783/artfynd/A 30524-2022 artfynd.xlsx", "A 30524-2022")</f>
        <v/>
      </c>
      <c r="X45">
        <f>HYPERLINK("https://klasma.github.io/Logging_1783/kartor/A 30524-2022 karta.png", "A 30524-2022")</f>
        <v/>
      </c>
      <c r="Y45">
        <f>HYPERLINK("https://klasma.github.io/Logging_1783/kartor_geotiff/A 30524-2022 georefererad karta.tif", "A 30524-2022")</f>
        <v/>
      </c>
      <c r="AA45">
        <f>HYPERLINK("https://klasma.github.io/Logging_1783/klagomål/A 30524-2022 FSC-klagomål.docx", "A 30524-2022")</f>
        <v/>
      </c>
      <c r="AB45">
        <f>HYPERLINK("https://klasma.github.io/Logging_1783/klagomålsmail/A 30524-2022 FSC-klagomål mail.docx", "A 30524-2022")</f>
        <v/>
      </c>
      <c r="AC45">
        <f>HYPERLINK("https://klasma.github.io/Logging_1783/tillsyn/A 30524-2022 tillsynsbegäran.docx", "A 30524-2022")</f>
        <v/>
      </c>
      <c r="AD45">
        <f>HYPERLINK("https://klasma.github.io/Logging_1783/tillsynsmail/A 30524-2022 tillsynsbegäran mail.docx", "A 30524-2022")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46254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29432-2026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46254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HYPERLINK("https://klasma.github.io/Logging_1783/artfynd/A 29432-2026 artfynd.xlsx", "A 29432-2026")</f>
        <v/>
      </c>
      <c r="X47">
        <f>HYPERLINK("https://klasma.github.io/Logging_1783/kartor/A 29432-2026 karta.png", "A 29432-2026")</f>
        <v/>
      </c>
      <c r="Y47">
        <f>HYPERLINK("https://klasma.github.io/Logging_1783/kartor_geotiff/A 29432-2026 georefererad karta.tif", "A 29432-2026")</f>
        <v/>
      </c>
      <c r="AA47">
        <f>HYPERLINK("https://klasma.github.io/Logging_1783/klagomål/A 29432-2026 FSC-klagomål.docx", "A 29432-2026")</f>
        <v/>
      </c>
      <c r="AB47">
        <f>HYPERLINK("https://klasma.github.io/Logging_1783/klagomålsmail/A 29432-2026 FSC-klagomål mail.docx", "A 29432-2026")</f>
        <v/>
      </c>
      <c r="AC47">
        <f>HYPERLINK("https://klasma.github.io/Logging_1783/tillsyn/A 29432-2026 tillsynsbegäran.docx", "A 29432-2026")</f>
        <v/>
      </c>
      <c r="AD47">
        <f>HYPERLINK("https://klasma.github.io/Logging_1783/tillsynsmail/A 29432-2026 tillsynsbegäran mail.docx", "A 29432-2026")</f>
        <v/>
      </c>
    </row>
    <row r="48" ht="15" customHeight="1">
      <c r="A48" t="inlineStr">
        <is>
          <t>A 38267-2024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46254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HYPERLINK("https://klasma.github.io/Logging_1783/artfynd/A 38267-2024 artfynd.xlsx", "A 38267-2024")</f>
        <v/>
      </c>
      <c r="X48">
        <f>HYPERLINK("https://klasma.github.io/Logging_1783/kartor/A 38267-2024 karta.png", "A 38267-2024")</f>
        <v/>
      </c>
      <c r="Y48">
        <f>HYPERLINK("https://klasma.github.io/Logging_1783/kartor_geotiff/A 38267-2024 georefererad karta.tif", "A 38267-2024")</f>
        <v/>
      </c>
      <c r="AA48">
        <f>HYPERLINK("https://klasma.github.io/Logging_1783/klagomål/A 38267-2024 FSC-klagomål.docx", "A 38267-2024")</f>
        <v/>
      </c>
      <c r="AB48">
        <f>HYPERLINK("https://klasma.github.io/Logging_1783/klagomålsmail/A 38267-2024 FSC-klagomål mail.docx", "A 38267-2024")</f>
        <v/>
      </c>
      <c r="AC48">
        <f>HYPERLINK("https://klasma.github.io/Logging_1783/tillsyn/A 38267-2024 tillsynsbegäran.docx", "A 38267-2024")</f>
        <v/>
      </c>
      <c r="AD48">
        <f>HYPERLINK("https://klasma.github.io/Logging_1783/tillsynsmail/A 38267-2024 tillsynsbegäran mail.docx", "A 38267-2024")</f>
        <v/>
      </c>
    </row>
    <row r="49" ht="15" customHeight="1">
      <c r="A49" t="inlineStr">
        <is>
          <t>A 56083-2022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19.1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HYPERLINK("https://klasma.github.io/Logging_1783/artfynd/A 56083-2022 artfynd.xlsx", "A 56083-2022")</f>
        <v/>
      </c>
      <c r="X49">
        <f>HYPERLINK("https://klasma.github.io/Logging_1783/kartor/A 56083-2022 karta.png", "A 56083-2022")</f>
        <v/>
      </c>
      <c r="Y49">
        <f>HYPERLINK("https://klasma.github.io/Logging_1783/kartor_geotiff/A 56083-2022 georefererad karta.tif", "A 56083-2022")</f>
        <v/>
      </c>
      <c r="AA49">
        <f>HYPERLINK("https://klasma.github.io/Logging_1783/klagomål/A 56083-2022 FSC-klagomål.docx", "A 56083-2022")</f>
        <v/>
      </c>
      <c r="AB49">
        <f>HYPERLINK("https://klasma.github.io/Logging_1783/klagomålsmail/A 56083-2022 FSC-klagomål mail.docx", "A 56083-2022")</f>
        <v/>
      </c>
      <c r="AC49">
        <f>HYPERLINK("https://klasma.github.io/Logging_1783/tillsyn/A 56083-2022 tillsynsbegäran.docx", "A 56083-2022")</f>
        <v/>
      </c>
      <c r="AD49">
        <f>HYPERLINK("https://klasma.github.io/Logging_1783/tillsynsmail/A 56083-2022 tillsynsbegäran mail.docx", "A 56083-2022")</f>
        <v/>
      </c>
    </row>
    <row r="50" ht="15" customHeight="1">
      <c r="A50" t="inlineStr">
        <is>
          <t>A 62954-2025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46254</v>
      </c>
      <c r="F50" t="inlineStr">
        <is>
          <t>VÄRMLANDS LÄN</t>
        </is>
      </c>
      <c r="G50" t="inlineStr">
        <is>
          <t>HAGFORS</t>
        </is>
      </c>
      <c r="I50" t="n">
        <v>9.1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Kråka</t>
        </is>
      </c>
      <c r="W50">
        <f>HYPERLINK("https://klasma.github.io/Logging_1783/artfynd/A 62954-2025 artfynd.xlsx", "A 62954-2025")</f>
        <v/>
      </c>
      <c r="X50">
        <f>HYPERLINK("https://klasma.github.io/Logging_1783/kartor/A 62954-2025 karta.png", "A 62954-2025")</f>
        <v/>
      </c>
      <c r="Y50">
        <f>HYPERLINK("https://klasma.github.io/Logging_1783/kartor_geotiff/A 62954-2025 georefererad karta.tif", "A 62954-2025")</f>
        <v/>
      </c>
      <c r="AA50">
        <f>HYPERLINK("https://klasma.github.io/Logging_1783/klagomål/A 62954-2025 FSC-klagomål.docx", "A 62954-2025")</f>
        <v/>
      </c>
      <c r="AB50">
        <f>HYPERLINK("https://klasma.github.io/Logging_1783/klagomålsmail/A 62954-2025 FSC-klagomål mail.docx", "A 62954-2025")</f>
        <v/>
      </c>
      <c r="AC50">
        <f>HYPERLINK("https://klasma.github.io/Logging_1783/tillsyn/A 62954-2025 tillsynsbegäran.docx", "A 62954-2025")</f>
        <v/>
      </c>
      <c r="AD50">
        <f>HYPERLINK("https://klasma.github.io/Logging_1783/tillsynsmail/A 62954-2025 tillsynsbegäran mail.docx", "A 62954-2025")</f>
        <v/>
      </c>
    </row>
    <row r="51" ht="15" customHeight="1">
      <c r="A51" t="inlineStr">
        <is>
          <t>A 8254-2026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46064</v>
      </c>
      <c r="E51" s="1" t="n">
        <v>46254</v>
      </c>
      <c r="F51" t="inlineStr">
        <is>
          <t>VÄRMLANDS LÄN</t>
        </is>
      </c>
      <c r="G51" t="inlineStr">
        <is>
          <t>HAGFORS</t>
        </is>
      </c>
      <c r="I51" t="n">
        <v>1.1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HYPERLINK("https://klasma.github.io/Logging_1783/artfynd/A 8254-2026 artfynd.xlsx", "A 8254-2026")</f>
        <v/>
      </c>
      <c r="X51">
        <f>HYPERLINK("https://klasma.github.io/Logging_1783/kartor/A 8254-2026 karta.png", "A 8254-2026")</f>
        <v/>
      </c>
      <c r="Y51">
        <f>HYPERLINK("https://klasma.github.io/Logging_1783/kartor_geotiff/A 8254-2026 georefererad karta.tif", "A 8254-2026")</f>
        <v/>
      </c>
      <c r="AA51">
        <f>HYPERLINK("https://klasma.github.io/Logging_1783/klagomål/A 8254-2026 FSC-klagomål.docx", "A 8254-2026")</f>
        <v/>
      </c>
      <c r="AB51">
        <f>HYPERLINK("https://klasma.github.io/Logging_1783/klagomålsmail/A 8254-2026 FSC-klagomål mail.docx", "A 8254-2026")</f>
        <v/>
      </c>
      <c r="AC51">
        <f>HYPERLINK("https://klasma.github.io/Logging_1783/tillsyn/A 8254-2026 tillsynsbegäran.docx", "A 8254-2026")</f>
        <v/>
      </c>
      <c r="AD51">
        <f>HYPERLINK("https://klasma.github.io/Logging_1783/tillsynsmail/A 8254-2026 tillsynsbegäran mail.docx", "A 8254-2026")</f>
        <v/>
      </c>
    </row>
    <row r="52" ht="15" customHeight="1">
      <c r="A52" t="inlineStr">
        <is>
          <t>A 6986-2022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46254</v>
      </c>
      <c r="F52" t="inlineStr">
        <is>
          <t>VÄRMLANDS LÄN</t>
        </is>
      </c>
      <c r="G52" t="inlineStr">
        <is>
          <t>HAGFORS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HYPERLINK("https://klasma.github.io/Logging_1783/artfynd/A 6986-2022 artfynd.xlsx", "A 6986-2022")</f>
        <v/>
      </c>
      <c r="X52">
        <f>HYPERLINK("https://klasma.github.io/Logging_1783/kartor/A 6986-2022 karta.png", "A 6986-2022")</f>
        <v/>
      </c>
      <c r="Y52">
        <f>HYPERLINK("https://klasma.github.io/Logging_1783/kartor_geotiff/A 6986-2022 georefererad karta.tif", "A 6986-2022")</f>
        <v/>
      </c>
      <c r="AA52">
        <f>HYPERLINK("https://klasma.github.io/Logging_1783/klagomål/A 6986-2022 FSC-klagomål.docx", "A 6986-2022")</f>
        <v/>
      </c>
      <c r="AB52">
        <f>HYPERLINK("https://klasma.github.io/Logging_1783/klagomålsmail/A 6986-2022 FSC-klagomål mail.docx", "A 6986-2022")</f>
        <v/>
      </c>
      <c r="AC52">
        <f>HYPERLINK("https://klasma.github.io/Logging_1783/tillsyn/A 6986-2022 tillsynsbegäran.docx", "A 6986-2022")</f>
        <v/>
      </c>
      <c r="AD52">
        <f>HYPERLINK("https://klasma.github.io/Logging_1783/tillsynsmail/A 6986-2022 tillsynsbegäran mail.docx", "A 6986-2022")</f>
        <v/>
      </c>
    </row>
    <row r="53" ht="15" customHeight="1">
      <c r="A53" t="inlineStr">
        <is>
          <t>A 12445-2026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46254</v>
      </c>
      <c r="F53" t="inlineStr">
        <is>
          <t>VÄRMLANDS LÄN</t>
        </is>
      </c>
      <c r="G53" t="inlineStr">
        <is>
          <t>HAGFORS</t>
        </is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HYPERLINK("https://klasma.github.io/Logging_1783/artfynd/A 12445-2026 artfynd.xlsx", "A 12445-2026")</f>
        <v/>
      </c>
      <c r="X53">
        <f>HYPERLINK("https://klasma.github.io/Logging_1783/kartor/A 12445-2026 karta.png", "A 12445-2026")</f>
        <v/>
      </c>
      <c r="Y53">
        <f>HYPERLINK("https://klasma.github.io/Logging_1783/kartor_geotiff/A 12445-2026 georefererad karta.tif", "A 12445-2026")</f>
        <v/>
      </c>
      <c r="AA53">
        <f>HYPERLINK("https://klasma.github.io/Logging_1783/klagomål/A 12445-2026 FSC-klagomål.docx", "A 12445-2026")</f>
        <v/>
      </c>
      <c r="AB53">
        <f>HYPERLINK("https://klasma.github.io/Logging_1783/klagomålsmail/A 12445-2026 FSC-klagomål mail.docx", "A 12445-2026")</f>
        <v/>
      </c>
      <c r="AC53">
        <f>HYPERLINK("https://klasma.github.io/Logging_1783/tillsyn/A 12445-2026 tillsynsbegäran.docx", "A 12445-2026")</f>
        <v/>
      </c>
      <c r="AD53">
        <f>HYPERLINK("https://klasma.github.io/Logging_1783/tillsynsmail/A 12445-2026 tillsynsbegäran mail.docx", "A 12445-2026")</f>
        <v/>
      </c>
      <c r="AE53">
        <f>HYPERLINK("https://klasma.github.io/Logging_1783/fåglar/A 12445-2026 prioriterade fågelarter.docx", "A 12445-2026")</f>
        <v/>
      </c>
    </row>
    <row r="54" ht="15" customHeight="1">
      <c r="A54" t="inlineStr">
        <is>
          <t>A 19362-2026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46133</v>
      </c>
      <c r="E54" s="1" t="n">
        <v>46254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HYPERLINK("https://klasma.github.io/Logging_1783/artfynd/A 19362-2026 artfynd.xlsx", "A 19362-2026")</f>
        <v/>
      </c>
      <c r="X54">
        <f>HYPERLINK("https://klasma.github.io/Logging_1783/kartor/A 19362-2026 karta.png", "A 19362-2026")</f>
        <v/>
      </c>
      <c r="Y54">
        <f>HYPERLINK("https://klasma.github.io/Logging_1783/kartor_geotiff/A 19362-2026 georefererad karta.tif", "A 19362-2026")</f>
        <v/>
      </c>
      <c r="AA54">
        <f>HYPERLINK("https://klasma.github.io/Logging_1783/klagomål/A 19362-2026 FSC-klagomål.docx", "A 19362-2026")</f>
        <v/>
      </c>
      <c r="AB54">
        <f>HYPERLINK("https://klasma.github.io/Logging_1783/klagomålsmail/A 19362-2026 FSC-klagomål mail.docx", "A 19362-2026")</f>
        <v/>
      </c>
      <c r="AC54">
        <f>HYPERLINK("https://klasma.github.io/Logging_1783/tillsyn/A 19362-2026 tillsynsbegäran.docx", "A 19362-2026")</f>
        <v/>
      </c>
      <c r="AD54">
        <f>HYPERLINK("https://klasma.github.io/Logging_1783/tillsynsmail/A 19362-2026 tillsynsbegäran mail.docx", "A 19362-2026")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46254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46254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46254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46254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46254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33905-2025 artfynd.xlsx", "A 33905-2025")</f>
        <v/>
      </c>
      <c r="X59">
        <f>HYPERLINK("https://klasma.github.io/Logging_1783/kartor/A 33905-2025 karta.png", "A 33905-2025")</f>
        <v/>
      </c>
      <c r="Y59">
        <f>HYPERLINK("https://klasma.github.io/Logging_1783/kartor_geotiff/A 33905-2025 georefererad karta.tif", "A 33905-2025")</f>
        <v/>
      </c>
      <c r="AA59">
        <f>HYPERLINK("https://klasma.github.io/Logging_1783/klagomål/A 33905-2025 FSC-klagomål.docx", "A 33905-2025")</f>
        <v/>
      </c>
      <c r="AB59">
        <f>HYPERLINK("https://klasma.github.io/Logging_1783/klagomålsmail/A 33905-2025 FSC-klagomål mail.docx", "A 33905-2025")</f>
        <v/>
      </c>
      <c r="AC59">
        <f>HYPERLINK("https://klasma.github.io/Logging_1783/tillsyn/A 33905-2025 tillsynsbegäran.docx", "A 33905-2025")</f>
        <v/>
      </c>
      <c r="AD59">
        <f>HYPERLINK("https://klasma.github.io/Logging_1783/tillsynsmail/A 33905-2025 tillsynsbegäran mail.docx", "A 33905-2025")</f>
        <v/>
      </c>
    </row>
    <row r="60" ht="15" customHeight="1">
      <c r="A60" t="inlineStr">
        <is>
          <t>A 20119-2025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46254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4.1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HYPERLINK("https://klasma.github.io/Logging_1783/artfynd/A 20119-2025 artfynd.xlsx", "A 20119-2025")</f>
        <v/>
      </c>
      <c r="X60">
        <f>HYPERLINK("https://klasma.github.io/Logging_1783/kartor/A 20119-2025 karta.png", "A 20119-2025")</f>
        <v/>
      </c>
      <c r="Y60">
        <f>HYPERLINK("https://klasma.github.io/Logging_1783/kartor_geotiff/A 20119-2025 georefererad karta.tif", "A 20119-2025")</f>
        <v/>
      </c>
      <c r="AA60">
        <f>HYPERLINK("https://klasma.github.io/Logging_1783/klagomål/A 20119-2025 FSC-klagomål.docx", "A 20119-2025")</f>
        <v/>
      </c>
      <c r="AB60">
        <f>HYPERLINK("https://klasma.github.io/Logging_1783/klagomålsmail/A 20119-2025 FSC-klagomål mail.docx", "A 20119-2025")</f>
        <v/>
      </c>
      <c r="AC60">
        <f>HYPERLINK("https://klasma.github.io/Logging_1783/tillsyn/A 20119-2025 tillsynsbegäran.docx", "A 20119-2025")</f>
        <v/>
      </c>
      <c r="AD60">
        <f>HYPERLINK("https://klasma.github.io/Logging_1783/tillsynsmail/A 20119-2025 tillsynsbegäran mail.docx", "A 20119-2025")</f>
        <v/>
      </c>
      <c r="AE60">
        <f>HYPERLINK("https://klasma.github.io/Logging_1783/fåglar/A 20119-2025 prioriterade fågelarter.docx", "A 20119-2025")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46254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46254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46254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46254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46254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46254</v>
      </c>
      <c r="F66" t="inlineStr">
        <is>
          <t>VÄRMLANDS LÄN</t>
        </is>
      </c>
      <c r="G66" t="inlineStr">
        <is>
          <t>HAGFORS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73207-2021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46254</v>
      </c>
      <c r="F67" t="inlineStr">
        <is>
          <t>VÄRMLANDS LÄN</t>
        </is>
      </c>
      <c r="G67" t="inlineStr">
        <is>
          <t>HAGFORS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46254</v>
      </c>
      <c r="F68" t="inlineStr">
        <is>
          <t>VÄRMLANDS LÄN</t>
        </is>
      </c>
      <c r="G68" t="inlineStr">
        <is>
          <t>HAGFORS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68148-2021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46254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44791</v>
      </c>
      <c r="E70" s="1" t="n">
        <v>46254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46254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46254</v>
      </c>
      <c r="F72" t="inlineStr">
        <is>
          <t>VÄRMLANDS LÄN</t>
        </is>
      </c>
      <c r="G72" t="inlineStr">
        <is>
          <t>HAGFORS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46254</v>
      </c>
      <c r="F73" t="inlineStr">
        <is>
          <t>VÄRMLANDS LÄN</t>
        </is>
      </c>
      <c r="G73" t="inlineStr">
        <is>
          <t>HAGFORS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44566</v>
      </c>
      <c r="E74" s="1" t="n">
        <v>46254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46254</v>
      </c>
      <c r="F75" t="inlineStr">
        <is>
          <t>VÄRMLANDS LÄN</t>
        </is>
      </c>
      <c r="G75" t="inlineStr">
        <is>
          <t>HAGFORS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46254</v>
      </c>
      <c r="F76" t="inlineStr">
        <is>
          <t>VÄRMLANDS LÄN</t>
        </is>
      </c>
      <c r="G76" t="inlineStr">
        <is>
          <t>HAGFORS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44607</v>
      </c>
      <c r="E77" s="1" t="n">
        <v>46254</v>
      </c>
      <c r="F77" t="inlineStr">
        <is>
          <t>VÄRMLANDS LÄN</t>
        </is>
      </c>
      <c r="G77" t="inlineStr">
        <is>
          <t>HAGFORS</t>
        </is>
      </c>
      <c r="H77" t="inlineStr">
        <is>
          <t>Bergvik skog väst AB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44059-2021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44434</v>
      </c>
      <c r="E78" s="1" t="n">
        <v>46254</v>
      </c>
      <c r="F78" t="inlineStr">
        <is>
          <t>VÄRMLANDS LÄN</t>
        </is>
      </c>
      <c r="G78" t="inlineStr">
        <is>
          <t>HAGFORS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44756</v>
      </c>
      <c r="E79" s="1" t="n">
        <v>46254</v>
      </c>
      <c r="F79" t="inlineStr">
        <is>
          <t>VÄRMLANDS LÄN</t>
        </is>
      </c>
      <c r="G79" t="inlineStr">
        <is>
          <t>HAGFORS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46254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46254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72937-2021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44547</v>
      </c>
      <c r="E82" s="1" t="n">
        <v>46254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44435</v>
      </c>
      <c r="E83" s="1" t="n">
        <v>46254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27.3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45293-2021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44439</v>
      </c>
      <c r="E84" s="1" t="n">
        <v>46254</v>
      </c>
      <c r="F84" t="inlineStr">
        <is>
          <t>VÄRMLANDS LÄN</t>
        </is>
      </c>
      <c r="G84" t="inlineStr">
        <is>
          <t>HAGFORS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46254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44432</v>
      </c>
      <c r="E86" s="1" t="n">
        <v>46254</v>
      </c>
      <c r="F86" t="inlineStr">
        <is>
          <t>VÄRMLANDS LÄN</t>
        </is>
      </c>
      <c r="G86" t="inlineStr">
        <is>
          <t>HAGFORS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46254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46254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46254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46254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46254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46254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46254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46254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46254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46254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46254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46254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46254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46254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46254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46254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46254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46254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46254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46254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46254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46254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46254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46254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61232-2024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45645</v>
      </c>
      <c r="E114" s="1" t="n">
        <v>46254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45743</v>
      </c>
      <c r="E115" s="1" t="n">
        <v>46254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46254</v>
      </c>
      <c r="F116" t="inlineStr">
        <is>
          <t>VÄRMLANDS LÄN</t>
        </is>
      </c>
      <c r="G116" t="inlineStr">
        <is>
          <t>HAGFORS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46254</v>
      </c>
      <c r="F117" t="inlineStr">
        <is>
          <t>VÄRMLANDS LÄN</t>
        </is>
      </c>
      <c r="G117" t="inlineStr">
        <is>
          <t>HAGFORS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45489</v>
      </c>
      <c r="E118" s="1" t="n">
        <v>46254</v>
      </c>
      <c r="F118" t="inlineStr">
        <is>
          <t>VÄRMLANDS LÄN</t>
        </is>
      </c>
      <c r="G118" t="inlineStr">
        <is>
          <t>HAGFORS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46254</v>
      </c>
      <c r="F119" t="inlineStr">
        <is>
          <t>VÄRMLANDS LÄN</t>
        </is>
      </c>
      <c r="G119" t="inlineStr">
        <is>
          <t>HAGFORS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46254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46254</v>
      </c>
      <c r="F121" t="inlineStr">
        <is>
          <t>VÄRMLANDS LÄN</t>
        </is>
      </c>
      <c r="G121" t="inlineStr">
        <is>
          <t>HAGFORS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46254</v>
      </c>
      <c r="F122" t="inlineStr">
        <is>
          <t>VÄRMLANDS LÄN</t>
        </is>
      </c>
      <c r="G122" t="inlineStr">
        <is>
          <t>HAGFORS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46254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46254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46254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46254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44434</v>
      </c>
      <c r="E127" s="1" t="n">
        <v>46254</v>
      </c>
      <c r="F127" t="inlineStr">
        <is>
          <t>VÄRMLANDS LÄN</t>
        </is>
      </c>
      <c r="G127" t="inlineStr">
        <is>
          <t>HAGFORS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46254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45218-2021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44439</v>
      </c>
      <c r="E129" s="1" t="n">
        <v>46254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49.5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46254</v>
      </c>
      <c r="F130" t="inlineStr">
        <is>
          <t>VÄRMLANDS LÄN</t>
        </is>
      </c>
      <c r="G130" t="inlineStr">
        <is>
          <t>HAGFORS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45037</v>
      </c>
      <c r="E131" s="1" t="n">
        <v>46254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46254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46254</v>
      </c>
      <c r="F133" t="inlineStr">
        <is>
          <t>VÄRMLANDS LÄN</t>
        </is>
      </c>
      <c r="G133" t="inlineStr">
        <is>
          <t>HAGFORS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58210-2022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44901</v>
      </c>
      <c r="E134" s="1" t="n">
        <v>46254</v>
      </c>
      <c r="F134" t="inlineStr">
        <is>
          <t>VÄRMLANDS LÄN</t>
        </is>
      </c>
      <c r="G134" t="inlineStr">
        <is>
          <t>HAGFORS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46254</v>
      </c>
      <c r="F135" t="inlineStr">
        <is>
          <t>VÄRMLANDS LÄN</t>
        </is>
      </c>
      <c r="G135" t="inlineStr">
        <is>
          <t>HAGFORS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46254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45414</v>
      </c>
      <c r="E137" s="1" t="n">
        <v>46254</v>
      </c>
      <c r="F137" t="inlineStr">
        <is>
          <t>VÄRMLANDS LÄN</t>
        </is>
      </c>
      <c r="G137" t="inlineStr">
        <is>
          <t>HAGFORS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46254</v>
      </c>
      <c r="F138" t="inlineStr">
        <is>
          <t>VÄRMLANDS LÄN</t>
        </is>
      </c>
      <c r="G138" t="inlineStr">
        <is>
          <t>HAGFORS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46254</v>
      </c>
      <c r="F139" t="inlineStr">
        <is>
          <t>VÄRMLANDS LÄN</t>
        </is>
      </c>
      <c r="G139" t="inlineStr">
        <is>
          <t>HAGFORS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46254</v>
      </c>
      <c r="F140" t="inlineStr">
        <is>
          <t>VÄRMLANDS LÄN</t>
        </is>
      </c>
      <c r="G140" t="inlineStr">
        <is>
          <t>HAGFORS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60221-2023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45258</v>
      </c>
      <c r="E141" s="1" t="n">
        <v>46254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46254</v>
      </c>
      <c r="F142" t="inlineStr">
        <is>
          <t>VÄRMLANDS LÄN</t>
        </is>
      </c>
      <c r="G142" t="inlineStr">
        <is>
          <t>HAGFORS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46254</v>
      </c>
      <c r="F143" t="inlineStr">
        <is>
          <t>VÄRMLANDS LÄN</t>
        </is>
      </c>
      <c r="G143" t="inlineStr">
        <is>
          <t>HAGFORS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44834</v>
      </c>
      <c r="E144" s="1" t="n">
        <v>46254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45659</v>
      </c>
      <c r="E145" s="1" t="n">
        <v>46254</v>
      </c>
      <c r="F145" t="inlineStr">
        <is>
          <t>VÄRMLANDS LÄN</t>
        </is>
      </c>
      <c r="G145" t="inlineStr">
        <is>
          <t>HAGFORS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46254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46254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46254</v>
      </c>
      <c r="F148" t="inlineStr">
        <is>
          <t>VÄRMLANDS LÄN</t>
        </is>
      </c>
      <c r="G148" t="inlineStr">
        <is>
          <t>HAGFORS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46254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46254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46254</v>
      </c>
      <c r="F151" t="inlineStr">
        <is>
          <t>VÄRMLANDS LÄN</t>
        </is>
      </c>
      <c r="G151" t="inlineStr">
        <is>
          <t>HAGFORS</t>
        </is>
      </c>
      <c r="H151" t="inlineStr">
        <is>
          <t>Kommuner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46254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46254</v>
      </c>
      <c r="F153" t="inlineStr">
        <is>
          <t>VÄRMLANDS LÄN</t>
        </is>
      </c>
      <c r="G153" t="inlineStr">
        <is>
          <t>HAGFORS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45055</v>
      </c>
      <c r="E154" s="1" t="n">
        <v>46254</v>
      </c>
      <c r="F154" t="inlineStr">
        <is>
          <t>VÄRMLANDS LÄN</t>
        </is>
      </c>
      <c r="G154" t="inlineStr">
        <is>
          <t>HAGFORS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46254</v>
      </c>
      <c r="F155" t="inlineStr">
        <is>
          <t>VÄRMLANDS LÄN</t>
        </is>
      </c>
      <c r="G155" t="inlineStr">
        <is>
          <t>HAGFORS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46254</v>
      </c>
      <c r="F156" t="inlineStr">
        <is>
          <t>VÄRMLANDS LÄN</t>
        </is>
      </c>
      <c r="G156" t="inlineStr">
        <is>
          <t>HAGFORS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46254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45461</v>
      </c>
      <c r="E158" s="1" t="n">
        <v>46254</v>
      </c>
      <c r="F158" t="inlineStr">
        <is>
          <t>VÄRMLANDS LÄN</t>
        </is>
      </c>
      <c r="G158" t="inlineStr">
        <is>
          <t>HAGFORS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61140-2023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45261</v>
      </c>
      <c r="E159" s="1" t="n">
        <v>46254</v>
      </c>
      <c r="F159" t="inlineStr">
        <is>
          <t>VÄRMLANDS LÄN</t>
        </is>
      </c>
      <c r="G159" t="inlineStr">
        <is>
          <t>HAGFORS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46254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45385</v>
      </c>
      <c r="E161" s="1" t="n">
        <v>46254</v>
      </c>
      <c r="F161" t="inlineStr">
        <is>
          <t>VÄRMLANDS LÄN</t>
        </is>
      </c>
      <c r="G161" t="inlineStr">
        <is>
          <t>HAGFORS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45475</v>
      </c>
      <c r="E162" s="1" t="n">
        <v>46254</v>
      </c>
      <c r="F162" t="inlineStr">
        <is>
          <t>VÄRMLANDS LÄN</t>
        </is>
      </c>
      <c r="G162" t="inlineStr">
        <is>
          <t>HAGFORS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46254</v>
      </c>
      <c r="F163" t="inlineStr">
        <is>
          <t>VÄRMLANDS LÄN</t>
        </is>
      </c>
      <c r="G163" t="inlineStr">
        <is>
          <t>HAGFORS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46254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46254</v>
      </c>
      <c r="F165" t="inlineStr">
        <is>
          <t>VÄRMLANDS LÄN</t>
        </is>
      </c>
      <c r="G165" t="inlineStr">
        <is>
          <t>HAGFORS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46254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45562</v>
      </c>
      <c r="E167" s="1" t="n">
        <v>46254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46254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44566</v>
      </c>
      <c r="E169" s="1" t="n">
        <v>46254</v>
      </c>
      <c r="F169" t="inlineStr">
        <is>
          <t>VÄRMLANDS LÄN</t>
        </is>
      </c>
      <c r="G169" t="inlineStr">
        <is>
          <t>HAGFORS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45644</v>
      </c>
      <c r="E170" s="1" t="n">
        <v>46254</v>
      </c>
      <c r="F170" t="inlineStr">
        <is>
          <t>VÄRMLANDS LÄN</t>
        </is>
      </c>
      <c r="G170" t="inlineStr">
        <is>
          <t>HAGFORS</t>
        </is>
      </c>
      <c r="H170" t="inlineStr">
        <is>
          <t>Kyrkan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57379-2022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44896</v>
      </c>
      <c r="E171" s="1" t="n">
        <v>46254</v>
      </c>
      <c r="F171" t="inlineStr">
        <is>
          <t>VÄRMLANDS LÄN</t>
        </is>
      </c>
      <c r="G171" t="inlineStr">
        <is>
          <t>HAGFORS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46254</v>
      </c>
      <c r="F172" t="inlineStr">
        <is>
          <t>VÄRMLANDS LÄN</t>
        </is>
      </c>
      <c r="G172" t="inlineStr">
        <is>
          <t>HAGFORS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46254</v>
      </c>
      <c r="F173" t="inlineStr">
        <is>
          <t>VÄRMLANDS LÄN</t>
        </is>
      </c>
      <c r="G173" t="inlineStr">
        <is>
          <t>HAGFORS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52224-2023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45224</v>
      </c>
      <c r="E174" s="1" t="n">
        <v>46254</v>
      </c>
      <c r="F174" t="inlineStr">
        <is>
          <t>VÄRMLANDS LÄN</t>
        </is>
      </c>
      <c r="G174" t="inlineStr">
        <is>
          <t>HAGFORS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46254</v>
      </c>
      <c r="F175" t="inlineStr">
        <is>
          <t>VÄRMLANDS LÄN</t>
        </is>
      </c>
      <c r="G175" t="inlineStr">
        <is>
          <t>HAGFORS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46254</v>
      </c>
      <c r="F176" t="inlineStr">
        <is>
          <t>VÄRMLANDS LÄN</t>
        </is>
      </c>
      <c r="G176" t="inlineStr">
        <is>
          <t>HAGFORS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46254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46254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46254</v>
      </c>
      <c r="F179" t="inlineStr">
        <is>
          <t>VÄRMLANDS LÄN</t>
        </is>
      </c>
      <c r="G179" t="inlineStr">
        <is>
          <t>HAGFORS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46254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44790</v>
      </c>
      <c r="E181" s="1" t="n">
        <v>46254</v>
      </c>
      <c r="F181" t="inlineStr">
        <is>
          <t>VÄRMLANDS LÄN</t>
        </is>
      </c>
      <c r="G181" t="inlineStr">
        <is>
          <t>HAGFORS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46254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46254</v>
      </c>
      <c r="F183" t="inlineStr">
        <is>
          <t>VÄRMLANDS LÄN</t>
        </is>
      </c>
      <c r="G183" t="inlineStr">
        <is>
          <t>HAGFORS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44904</v>
      </c>
      <c r="E184" s="1" t="n">
        <v>46254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44776</v>
      </c>
      <c r="E185" s="1" t="n">
        <v>46254</v>
      </c>
      <c r="F185" t="inlineStr">
        <is>
          <t>VÄRMLANDS LÄN</t>
        </is>
      </c>
      <c r="G185" t="inlineStr">
        <is>
          <t>HAGFORS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45279</v>
      </c>
      <c r="E186" s="1" t="n">
        <v>46254</v>
      </c>
      <c r="F186" t="inlineStr">
        <is>
          <t>VÄRMLANDS LÄN</t>
        </is>
      </c>
      <c r="G186" t="inlineStr">
        <is>
          <t>HAGFORS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11104-2022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44628</v>
      </c>
      <c r="E187" s="1" t="n">
        <v>46254</v>
      </c>
      <c r="F187" t="inlineStr">
        <is>
          <t>VÄRMLANDS LÄN</t>
        </is>
      </c>
      <c r="G187" t="inlineStr">
        <is>
          <t>HAGFORS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46254</v>
      </c>
      <c r="F188" t="inlineStr">
        <is>
          <t>VÄRMLANDS LÄN</t>
        </is>
      </c>
      <c r="G188" t="inlineStr">
        <is>
          <t>HAGFORS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45310</v>
      </c>
      <c r="E189" s="1" t="n">
        <v>46254</v>
      </c>
      <c r="F189" t="inlineStr">
        <is>
          <t>VÄRMLANDS LÄN</t>
        </is>
      </c>
      <c r="G189" t="inlineStr">
        <is>
          <t>HAGFORS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46254</v>
      </c>
      <c r="F190" t="inlineStr">
        <is>
          <t>VÄRMLANDS LÄN</t>
        </is>
      </c>
      <c r="G190" t="inlineStr">
        <is>
          <t>HAGFORS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45033</v>
      </c>
      <c r="E191" s="1" t="n">
        <v>46254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46254</v>
      </c>
      <c r="F192" t="inlineStr">
        <is>
          <t>VÄRMLANDS LÄN</t>
        </is>
      </c>
      <c r="G192" t="inlineStr">
        <is>
          <t>HAGFORS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45201</v>
      </c>
      <c r="E193" s="1" t="n">
        <v>46254</v>
      </c>
      <c r="F193" t="inlineStr">
        <is>
          <t>VÄRMLANDS LÄN</t>
        </is>
      </c>
      <c r="G193" t="inlineStr">
        <is>
          <t>HAGFORS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46254</v>
      </c>
      <c r="F194" t="inlineStr">
        <is>
          <t>VÄRMLANDS LÄN</t>
        </is>
      </c>
      <c r="G194" t="inlineStr">
        <is>
          <t>HAGFORS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46254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46254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46254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44757</v>
      </c>
      <c r="E198" s="1" t="n">
        <v>46254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46254</v>
      </c>
      <c r="F199" t="inlineStr">
        <is>
          <t>VÄRMLANDS LÄN</t>
        </is>
      </c>
      <c r="G199" t="inlineStr">
        <is>
          <t>HAGFORS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46254</v>
      </c>
      <c r="F200" t="inlineStr">
        <is>
          <t>VÄRMLANDS LÄN</t>
        </is>
      </c>
      <c r="G200" t="inlineStr">
        <is>
          <t>HAGFORS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45323</v>
      </c>
      <c r="E201" s="1" t="n">
        <v>46254</v>
      </c>
      <c r="F201" t="inlineStr">
        <is>
          <t>VÄRMLANDS LÄN</t>
        </is>
      </c>
      <c r="G201" t="inlineStr">
        <is>
          <t>HAGFORS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44687</v>
      </c>
      <c r="E202" s="1" t="n">
        <v>46254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45148</v>
      </c>
      <c r="E203" s="1" t="n">
        <v>46254</v>
      </c>
      <c r="F203" t="inlineStr">
        <is>
          <t>VÄRMLANDS LÄN</t>
        </is>
      </c>
      <c r="G203" t="inlineStr">
        <is>
          <t>HAGFORS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46254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46254</v>
      </c>
      <c r="F205" t="inlineStr">
        <is>
          <t>VÄRMLANDS LÄN</t>
        </is>
      </c>
      <c r="G205" t="inlineStr">
        <is>
          <t>HAGFORS</t>
        </is>
      </c>
      <c r="H205" t="inlineStr">
        <is>
          <t>Kyrkan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46254</v>
      </c>
      <c r="F206" t="inlineStr">
        <is>
          <t>VÄRMLANDS LÄN</t>
        </is>
      </c>
      <c r="G206" t="inlineStr">
        <is>
          <t>HAGFORS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46254</v>
      </c>
      <c r="F207" t="inlineStr">
        <is>
          <t>VÄRMLANDS LÄN</t>
        </is>
      </c>
      <c r="G207" t="inlineStr">
        <is>
          <t>HAGFORS</t>
        </is>
      </c>
      <c r="I207" t="n">
        <v>13.5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46254</v>
      </c>
      <c r="F208" t="inlineStr">
        <is>
          <t>VÄRMLANDS LÄN</t>
        </is>
      </c>
      <c r="G208" t="inlineStr">
        <is>
          <t>HAGFORS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45873</v>
      </c>
      <c r="E209" s="1" t="n">
        <v>46254</v>
      </c>
      <c r="F209" t="inlineStr">
        <is>
          <t>VÄRMLANDS LÄN</t>
        </is>
      </c>
      <c r="G209" t="inlineStr">
        <is>
          <t>HAGFORS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46254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46254</v>
      </c>
      <c r="F211" t="inlineStr">
        <is>
          <t>VÄRMLANDS LÄN</t>
        </is>
      </c>
      <c r="G211" t="inlineStr">
        <is>
          <t>HAGFORS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46254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46254</v>
      </c>
      <c r="F213" t="inlineStr">
        <is>
          <t>VÄRMLANDS LÄN</t>
        </is>
      </c>
      <c r="G213" t="inlineStr">
        <is>
          <t>HAGFORS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45510</v>
      </c>
      <c r="E214" s="1" t="n">
        <v>46254</v>
      </c>
      <c r="F214" t="inlineStr">
        <is>
          <t>VÄRMLANDS LÄN</t>
        </is>
      </c>
      <c r="G214" t="inlineStr">
        <is>
          <t>HAGFORS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46254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15538-2024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45401</v>
      </c>
      <c r="E216" s="1" t="n">
        <v>46254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45425</v>
      </c>
      <c r="E217" s="1" t="n">
        <v>46254</v>
      </c>
      <c r="F217" t="inlineStr">
        <is>
          <t>VÄRMLANDS LÄN</t>
        </is>
      </c>
      <c r="G217" t="inlineStr">
        <is>
          <t>HAGFORS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46254</v>
      </c>
      <c r="F218" t="inlineStr">
        <is>
          <t>VÄRMLANDS LÄN</t>
        </is>
      </c>
      <c r="G218" t="inlineStr">
        <is>
          <t>HAGFORS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46254</v>
      </c>
      <c r="F219" t="inlineStr">
        <is>
          <t>VÄRMLANDS LÄN</t>
        </is>
      </c>
      <c r="G219" t="inlineStr">
        <is>
          <t>HAGFORS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46254</v>
      </c>
      <c r="F220" t="inlineStr">
        <is>
          <t>VÄRMLANDS LÄN</t>
        </is>
      </c>
      <c r="G220" t="inlineStr">
        <is>
          <t>HAGFORS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68252-2021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44526</v>
      </c>
      <c r="E221" s="1" t="n">
        <v>46254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46254</v>
      </c>
      <c r="F222" t="inlineStr">
        <is>
          <t>VÄRMLANDS LÄN</t>
        </is>
      </c>
      <c r="G222" t="inlineStr">
        <is>
          <t>HAGFORS</t>
        </is>
      </c>
      <c r="H222" t="inlineStr">
        <is>
          <t>Kyrkan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46254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46254</v>
      </c>
      <c r="F224" t="inlineStr">
        <is>
          <t>VÄRMLANDS LÄN</t>
        </is>
      </c>
      <c r="G224" t="inlineStr">
        <is>
          <t>HAGFORS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46254</v>
      </c>
      <c r="F225" t="inlineStr">
        <is>
          <t>VÄRMLANDS LÄN</t>
        </is>
      </c>
      <c r="G225" t="inlineStr">
        <is>
          <t>HAGFORS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46254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46254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46254</v>
      </c>
      <c r="F228" t="inlineStr">
        <is>
          <t>VÄRMLANDS LÄN</t>
        </is>
      </c>
      <c r="G228" t="inlineStr">
        <is>
          <t>HAGFORS</t>
        </is>
      </c>
      <c r="H228" t="inlineStr">
        <is>
          <t>Kyrkan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46140</v>
      </c>
      <c r="E229" s="1" t="n">
        <v>46254</v>
      </c>
      <c r="F229" t="inlineStr">
        <is>
          <t>VÄRMLANDS LÄN</t>
        </is>
      </c>
      <c r="G229" t="inlineStr">
        <is>
          <t>HAGFORS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46254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46254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46254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61265-2022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46254</v>
      </c>
      <c r="F233" t="inlineStr">
        <is>
          <t>VÄRMLANDS LÄN</t>
        </is>
      </c>
      <c r="G233" t="inlineStr">
        <is>
          <t>HAGFORS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45739</v>
      </c>
      <c r="E234" s="1" t="n">
        <v>46254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46254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46254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45729</v>
      </c>
      <c r="E237" s="1" t="n">
        <v>46254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46254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20752-2026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46141</v>
      </c>
      <c r="E239" s="1" t="n">
        <v>46254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46254</v>
      </c>
      <c r="F240" t="inlineStr">
        <is>
          <t>VÄRMLANDS LÄN</t>
        </is>
      </c>
      <c r="G240" t="inlineStr">
        <is>
          <t>HAGFORS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46254</v>
      </c>
      <c r="F241" t="inlineStr">
        <is>
          <t>VÄRMLANDS LÄN</t>
        </is>
      </c>
      <c r="G241" t="inlineStr">
        <is>
          <t>HAGFORS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46254</v>
      </c>
      <c r="F242" t="inlineStr">
        <is>
          <t>VÄRMLANDS LÄN</t>
        </is>
      </c>
      <c r="G242" t="inlineStr">
        <is>
          <t>HAGFORS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46254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44638</v>
      </c>
      <c r="E244" s="1" t="n">
        <v>46254</v>
      </c>
      <c r="F244" t="inlineStr">
        <is>
          <t>VÄRMLANDS LÄN</t>
        </is>
      </c>
      <c r="G244" t="inlineStr">
        <is>
          <t>HAGFORS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46254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46254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46254</v>
      </c>
      <c r="F248" t="inlineStr">
        <is>
          <t>VÄRMLANDS LÄN</t>
        </is>
      </c>
      <c r="G248" t="inlineStr">
        <is>
          <t>HAGFORS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44824</v>
      </c>
      <c r="E249" s="1" t="n">
        <v>46254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46254</v>
      </c>
      <c r="F250" t="inlineStr">
        <is>
          <t>VÄRMLANDS LÄN</t>
        </is>
      </c>
      <c r="G250" t="inlineStr">
        <is>
          <t>HAGFORS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41154-2025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46254</v>
      </c>
      <c r="F251" t="inlineStr">
        <is>
          <t>VÄRMLANDS LÄN</t>
        </is>
      </c>
      <c r="G251" t="inlineStr">
        <is>
          <t>HAGFORS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20880-2026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46142</v>
      </c>
      <c r="E252" s="1" t="n">
        <v>46254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46254</v>
      </c>
      <c r="F253" t="inlineStr">
        <is>
          <t>VÄRMLANDS LÄN</t>
        </is>
      </c>
      <c r="G253" t="inlineStr">
        <is>
          <t>HAGFORS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46254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41739-2025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45902</v>
      </c>
      <c r="E255" s="1" t="n">
        <v>46254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45201</v>
      </c>
      <c r="E256" s="1" t="n">
        <v>46254</v>
      </c>
      <c r="F256" t="inlineStr">
        <is>
          <t>VÄRMLANDS LÄN</t>
        </is>
      </c>
      <c r="G256" t="inlineStr">
        <is>
          <t>HAGFORS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46254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46254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46254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46254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71447-2021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44540</v>
      </c>
      <c r="E261" s="1" t="n">
        <v>46254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46254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46254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45905</v>
      </c>
      <c r="E264" s="1" t="n">
        <v>46254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46254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46150</v>
      </c>
      <c r="E266" s="1" t="n">
        <v>46254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45720</v>
      </c>
      <c r="E267" s="1" t="n">
        <v>46254</v>
      </c>
      <c r="F267" t="inlineStr">
        <is>
          <t>VÄRMLANDS LÄN</t>
        </is>
      </c>
      <c r="G267" t="inlineStr">
        <is>
          <t>HAGFORS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21762-2026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46150</v>
      </c>
      <c r="E268" s="1" t="n">
        <v>46254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46254</v>
      </c>
      <c r="F269" t="inlineStr">
        <is>
          <t>VÄRMLANDS LÄN</t>
        </is>
      </c>
      <c r="G269" t="inlineStr">
        <is>
          <t>HAGFORS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46150</v>
      </c>
      <c r="E270" s="1" t="n">
        <v>46254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45351</v>
      </c>
      <c r="E271" s="1" t="n">
        <v>46254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46254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46254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46155</v>
      </c>
      <c r="E274" s="1" t="n">
        <v>46254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45684</v>
      </c>
      <c r="E275" s="1" t="n">
        <v>46254</v>
      </c>
      <c r="F275" t="inlineStr">
        <is>
          <t>VÄRMLANDS LÄN</t>
        </is>
      </c>
      <c r="G275" t="inlineStr">
        <is>
          <t>HAGFORS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45509</v>
      </c>
      <c r="E276" s="1" t="n">
        <v>46254</v>
      </c>
      <c r="F276" t="inlineStr">
        <is>
          <t>VÄRMLANDS LÄN</t>
        </is>
      </c>
      <c r="G276" t="inlineStr">
        <is>
          <t>HAGFORS</t>
        </is>
      </c>
      <c r="H276" t="inlineStr">
        <is>
          <t>Kommuner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46254</v>
      </c>
      <c r="F277" t="inlineStr">
        <is>
          <t>VÄRMLANDS LÄN</t>
        </is>
      </c>
      <c r="G277" t="inlineStr">
        <is>
          <t>HAGFORS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46254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45623</v>
      </c>
      <c r="E279" s="1" t="n">
        <v>46254</v>
      </c>
      <c r="F279" t="inlineStr">
        <is>
          <t>VÄRMLANDS LÄN</t>
        </is>
      </c>
      <c r="G279" t="inlineStr">
        <is>
          <t>HAGFORS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44937</v>
      </c>
      <c r="E280" s="1" t="n">
        <v>46254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45087</v>
      </c>
      <c r="E281" s="1" t="n">
        <v>46254</v>
      </c>
      <c r="F281" t="inlineStr">
        <is>
          <t>VÄRMLANDS LÄN</t>
        </is>
      </c>
      <c r="G281" t="inlineStr">
        <is>
          <t>HAGFORS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22648-2026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46155</v>
      </c>
      <c r="E283" s="1" t="n">
        <v>46254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46254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45527</v>
      </c>
      <c r="E285" s="1" t="n">
        <v>46254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46160</v>
      </c>
      <c r="E286" s="1" t="n">
        <v>46254</v>
      </c>
      <c r="F286" t="inlineStr">
        <is>
          <t>VÄRMLANDS LÄN</t>
        </is>
      </c>
      <c r="G286" t="inlineStr">
        <is>
          <t>HAGFORS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46254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46254</v>
      </c>
      <c r="F288" t="inlineStr">
        <is>
          <t>VÄRMLANDS LÄN</t>
        </is>
      </c>
      <c r="G288" t="inlineStr">
        <is>
          <t>HAGFORS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23016-2026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46254</v>
      </c>
      <c r="F289" t="inlineStr">
        <is>
          <t>VÄRMLANDS LÄN</t>
        </is>
      </c>
      <c r="G289" t="inlineStr">
        <is>
          <t>HAGFORS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45106</v>
      </c>
      <c r="E290" s="1" t="n">
        <v>46254</v>
      </c>
      <c r="F290" t="inlineStr">
        <is>
          <t>VÄRMLANDS LÄN</t>
        </is>
      </c>
      <c r="G290" t="inlineStr">
        <is>
          <t>HAGFORS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46161</v>
      </c>
      <c r="E291" s="1" t="n">
        <v>46254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46160</v>
      </c>
      <c r="E292" s="1" t="n">
        <v>46254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46254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46254</v>
      </c>
      <c r="F294" t="inlineStr">
        <is>
          <t>VÄRMLANDS LÄN</t>
        </is>
      </c>
      <c r="G294" t="inlineStr">
        <is>
          <t>HAGFORS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45790</v>
      </c>
      <c r="E295" s="1" t="n">
        <v>46254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45371</v>
      </c>
      <c r="E296" s="1" t="n">
        <v>46254</v>
      </c>
      <c r="F296" t="inlineStr">
        <is>
          <t>VÄRMLANDS LÄN</t>
        </is>
      </c>
      <c r="G296" t="inlineStr">
        <is>
          <t>HAGFORS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46254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46254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46254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45869</v>
      </c>
      <c r="E300" s="1" t="n">
        <v>46254</v>
      </c>
      <c r="F300" t="inlineStr">
        <is>
          <t>VÄRMLANDS LÄN</t>
        </is>
      </c>
      <c r="G300" t="inlineStr">
        <is>
          <t>HAGFORS</t>
        </is>
      </c>
      <c r="H300" t="inlineStr">
        <is>
          <t>Kyrkan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46254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46254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46162</v>
      </c>
      <c r="E303" s="1" t="n">
        <v>46254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46254</v>
      </c>
      <c r="F304" t="inlineStr">
        <is>
          <t>VÄRMLANDS LÄN</t>
        </is>
      </c>
      <c r="G304" t="inlineStr">
        <is>
          <t>HAGFORS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44502</v>
      </c>
      <c r="E305" s="1" t="n">
        <v>46254</v>
      </c>
      <c r="F305" t="inlineStr">
        <is>
          <t>VÄRMLANDS LÄN</t>
        </is>
      </c>
      <c r="G305" t="inlineStr">
        <is>
          <t>HAGFORS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45006</v>
      </c>
      <c r="E306" s="1" t="n">
        <v>46254</v>
      </c>
      <c r="F306" t="inlineStr">
        <is>
          <t>VÄRMLANDS LÄN</t>
        </is>
      </c>
      <c r="G306" t="inlineStr">
        <is>
          <t>HAGFORS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23728-2026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46164</v>
      </c>
      <c r="E307" s="1" t="n">
        <v>46254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46164</v>
      </c>
      <c r="E308" s="1" t="n">
        <v>46254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46254</v>
      </c>
      <c r="F309" t="inlineStr">
        <is>
          <t>VÄRMLANDS LÄN</t>
        </is>
      </c>
      <c r="G309" t="inlineStr">
        <is>
          <t>HAGFORS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30642-2025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46254</v>
      </c>
      <c r="F310" t="inlineStr">
        <is>
          <t>VÄRMLANDS LÄN</t>
        </is>
      </c>
      <c r="G310" t="inlineStr">
        <is>
          <t>HAGFORS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46254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46254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46254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46254</v>
      </c>
      <c r="F314" t="inlineStr">
        <is>
          <t>VÄRMLANDS LÄN</t>
        </is>
      </c>
      <c r="G314" t="inlineStr">
        <is>
          <t>HAGFORS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46254</v>
      </c>
      <c r="F315" t="inlineStr">
        <is>
          <t>VÄRMLANDS LÄN</t>
        </is>
      </c>
      <c r="G315" t="inlineStr">
        <is>
          <t>HAGFORS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45036</v>
      </c>
      <c r="E316" s="1" t="n">
        <v>46254</v>
      </c>
      <c r="F316" t="inlineStr">
        <is>
          <t>VÄRMLANDS LÄN</t>
        </is>
      </c>
      <c r="G316" t="inlineStr">
        <is>
          <t>HAGFORS</t>
        </is>
      </c>
      <c r="H316" t="inlineStr">
        <is>
          <t>Kommuner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46254</v>
      </c>
      <c r="F317" t="inlineStr">
        <is>
          <t>VÄRMLANDS LÄN</t>
        </is>
      </c>
      <c r="G317" t="inlineStr">
        <is>
          <t>HAGFORS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45618</v>
      </c>
      <c r="E318" s="1" t="n">
        <v>46254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44613</v>
      </c>
      <c r="E319" s="1" t="n">
        <v>46254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45922</v>
      </c>
      <c r="E320" s="1" t="n">
        <v>46254</v>
      </c>
      <c r="F320" t="inlineStr">
        <is>
          <t>VÄRMLANDS LÄN</t>
        </is>
      </c>
      <c r="G320" t="inlineStr">
        <is>
          <t>HAGFORS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45355-2025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46254</v>
      </c>
      <c r="F321" t="inlineStr">
        <is>
          <t>VÄRMLANDS LÄN</t>
        </is>
      </c>
      <c r="G321" t="inlineStr">
        <is>
          <t>HAGFORS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61169-2024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45645</v>
      </c>
      <c r="E322" s="1" t="n">
        <v>46254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46213</v>
      </c>
      <c r="E323" s="1" t="n">
        <v>46254</v>
      </c>
      <c r="F323" t="inlineStr">
        <is>
          <t>VÄRMLANDS LÄN</t>
        </is>
      </c>
      <c r="G323" t="inlineStr">
        <is>
          <t>HAGFORS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24625-2026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46171</v>
      </c>
      <c r="E324" s="1" t="n">
        <v>46254</v>
      </c>
      <c r="F324" t="inlineStr">
        <is>
          <t>VÄRMLANDS LÄN</t>
        </is>
      </c>
      <c r="G324" t="inlineStr">
        <is>
          <t>HAGFORS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46254</v>
      </c>
      <c r="F325" t="inlineStr">
        <is>
          <t>VÄRMLANDS LÄN</t>
        </is>
      </c>
      <c r="G325" t="inlineStr">
        <is>
          <t>HAGFORS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46254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24677-2026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46171</v>
      </c>
      <c r="E327" s="1" t="n">
        <v>46254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24761-2026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46171</v>
      </c>
      <c r="E328" s="1" t="n">
        <v>46254</v>
      </c>
      <c r="F328" t="inlineStr">
        <is>
          <t>VÄRMLANDS LÄN</t>
        </is>
      </c>
      <c r="G328" t="inlineStr">
        <is>
          <t>HAGFORS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24628-2026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46171</v>
      </c>
      <c r="E329" s="1" t="n">
        <v>46254</v>
      </c>
      <c r="F329" t="inlineStr">
        <is>
          <t>VÄRMLANDS LÄN</t>
        </is>
      </c>
      <c r="G329" t="inlineStr">
        <is>
          <t>HAGFORS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46254</v>
      </c>
      <c r="F330" t="inlineStr">
        <is>
          <t>VÄRMLANDS LÄN</t>
        </is>
      </c>
      <c r="G330" t="inlineStr">
        <is>
          <t>HAGFORS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45925</v>
      </c>
      <c r="E331" s="1" t="n">
        <v>46254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46280-2025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46254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46254</v>
      </c>
      <c r="F333" t="inlineStr">
        <is>
          <t>VÄRMLANDS LÄN</t>
        </is>
      </c>
      <c r="G333" t="inlineStr">
        <is>
          <t>HAGFORS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24699-2026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46171</v>
      </c>
      <c r="E334" s="1" t="n">
        <v>46254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46254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46254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46254</v>
      </c>
      <c r="F337" t="inlineStr">
        <is>
          <t>VÄRMLANDS LÄN</t>
        </is>
      </c>
      <c r="G337" t="inlineStr">
        <is>
          <t>HAGFORS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46838-2025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45928</v>
      </c>
      <c r="E338" s="1" t="n">
        <v>46254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24626-2026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46171</v>
      </c>
      <c r="E339" s="1" t="n">
        <v>46254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46171</v>
      </c>
      <c r="E340" s="1" t="n">
        <v>46254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59048-2022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44903</v>
      </c>
      <c r="E341" s="1" t="n">
        <v>46254</v>
      </c>
      <c r="F341" t="inlineStr">
        <is>
          <t>VÄRMLANDS LÄN</t>
        </is>
      </c>
      <c r="G341" t="inlineStr">
        <is>
          <t>HAGFORS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46831-2025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45927</v>
      </c>
      <c r="E342" s="1" t="n">
        <v>46254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46832-2025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45927</v>
      </c>
      <c r="E343" s="1" t="n">
        <v>46254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47333-2025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46254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45057</v>
      </c>
      <c r="E345" s="1" t="n">
        <v>46254</v>
      </c>
      <c r="F345" t="inlineStr">
        <is>
          <t>VÄRMLANDS LÄN</t>
        </is>
      </c>
      <c r="G345" t="inlineStr">
        <is>
          <t>HAGFORS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46254</v>
      </c>
      <c r="F346" t="inlineStr">
        <is>
          <t>VÄRMLANDS LÄN</t>
        </is>
      </c>
      <c r="G346" t="inlineStr">
        <is>
          <t>HAGFORS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19554-2024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45429</v>
      </c>
      <c r="E347" s="1" t="n">
        <v>46254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46176</v>
      </c>
      <c r="E348" s="1" t="n">
        <v>46254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46254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48150-2025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46254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25890-2026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46178</v>
      </c>
      <c r="E351" s="1" t="n">
        <v>46254</v>
      </c>
      <c r="F351" t="inlineStr">
        <is>
          <t>VÄRMLANDS LÄN</t>
        </is>
      </c>
      <c r="G351" t="inlineStr">
        <is>
          <t>HAGFORS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44763</v>
      </c>
      <c r="E352" s="1" t="n">
        <v>46254</v>
      </c>
      <c r="F352" t="inlineStr">
        <is>
          <t>VÄRMLANDS LÄN</t>
        </is>
      </c>
      <c r="G352" t="inlineStr">
        <is>
          <t>HAGFORS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45226</v>
      </c>
      <c r="E353" s="1" t="n">
        <v>46254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28087-2024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45476</v>
      </c>
      <c r="E354" s="1" t="n">
        <v>46254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45932</v>
      </c>
      <c r="E355" s="1" t="n">
        <v>46254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46254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18213-2024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45420</v>
      </c>
      <c r="E357" s="1" t="n">
        <v>46254</v>
      </c>
      <c r="F357" t="inlineStr">
        <is>
          <t>VÄRMLANDS LÄN</t>
        </is>
      </c>
      <c r="G357" t="inlineStr">
        <is>
          <t>HAGFORS</t>
        </is>
      </c>
      <c r="I357" t="n">
        <v>11.5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46254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48176-2025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45933</v>
      </c>
      <c r="E359" s="1" t="n">
        <v>46254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46177</v>
      </c>
      <c r="E360" s="1" t="n">
        <v>46254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46254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46177</v>
      </c>
      <c r="E362" s="1" t="n">
        <v>46254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26342-2026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46254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46254</v>
      </c>
      <c r="F364" t="inlineStr">
        <is>
          <t>VÄRMLANDS LÄN</t>
        </is>
      </c>
      <c r="G364" t="inlineStr">
        <is>
          <t>HAGFORS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26012-2026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46254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46254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49146-2025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46254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46254</v>
      </c>
      <c r="F368" t="inlineStr">
        <is>
          <t>VÄRMLANDS LÄN</t>
        </is>
      </c>
      <c r="G368" t="inlineStr">
        <is>
          <t>HAGFORS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45338</v>
      </c>
      <c r="E369" s="1" t="n">
        <v>46254</v>
      </c>
      <c r="F369" t="inlineStr">
        <is>
          <t>VÄRMLANDS LÄN</t>
        </is>
      </c>
      <c r="G369" t="inlineStr">
        <is>
          <t>HAGFORS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44984</v>
      </c>
      <c r="E370" s="1" t="n">
        <v>46254</v>
      </c>
      <c r="F370" t="inlineStr">
        <is>
          <t>VÄRMLANDS LÄN</t>
        </is>
      </c>
      <c r="G370" t="inlineStr">
        <is>
          <t>HAGFORS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46254</v>
      </c>
      <c r="F371" t="inlineStr">
        <is>
          <t>VÄRMLANDS LÄN</t>
        </is>
      </c>
      <c r="G371" t="inlineStr">
        <is>
          <t>HAGFORS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46254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46254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46254</v>
      </c>
      <c r="F374" t="inlineStr">
        <is>
          <t>VÄRMLANDS LÄN</t>
        </is>
      </c>
      <c r="G374" t="inlineStr">
        <is>
          <t>HAGFORS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46182</v>
      </c>
      <c r="E375" s="1" t="n">
        <v>46254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33.4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46225</v>
      </c>
      <c r="E376" s="1" t="n">
        <v>46254</v>
      </c>
      <c r="F376" t="inlineStr">
        <is>
          <t>VÄRMLANDS LÄN</t>
        </is>
      </c>
      <c r="G376" t="inlineStr">
        <is>
          <t>HAGFORS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46254</v>
      </c>
      <c r="F377" t="inlineStr">
        <is>
          <t>VÄRMLANDS LÄN</t>
        </is>
      </c>
      <c r="G377" t="inlineStr">
        <is>
          <t>HAGFORS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26740-2026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46254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45941</v>
      </c>
      <c r="E379" s="1" t="n">
        <v>46254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46226</v>
      </c>
      <c r="E380" s="1" t="n">
        <v>46254</v>
      </c>
      <c r="F380" t="inlineStr">
        <is>
          <t>VÄRMLANDS LÄN</t>
        </is>
      </c>
      <c r="G380" t="inlineStr">
        <is>
          <t>HAGFORS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46226</v>
      </c>
      <c r="E381" s="1" t="n">
        <v>46254</v>
      </c>
      <c r="F381" t="inlineStr">
        <is>
          <t>VÄRMLANDS LÄN</t>
        </is>
      </c>
      <c r="G381" t="inlineStr">
        <is>
          <t>HAGFORS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46225</v>
      </c>
      <c r="E382" s="1" t="n">
        <v>46254</v>
      </c>
      <c r="F382" t="inlineStr">
        <is>
          <t>VÄRMLANDS LÄN</t>
        </is>
      </c>
      <c r="G382" t="inlineStr">
        <is>
          <t>HAGFORS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45533</v>
      </c>
      <c r="E383" s="1" t="n">
        <v>46254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65065-2023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45287</v>
      </c>
      <c r="E384" s="1" t="n">
        <v>46254</v>
      </c>
      <c r="F384" t="inlineStr">
        <is>
          <t>VÄRMLANDS LÄN</t>
        </is>
      </c>
      <c r="G384" t="inlineStr">
        <is>
          <t>HAGFORS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46184</v>
      </c>
      <c r="E385" s="1" t="n">
        <v>46254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42593-2021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44428</v>
      </c>
      <c r="E386" s="1" t="n">
        <v>46254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46184</v>
      </c>
      <c r="E387" s="1" t="n">
        <v>46254</v>
      </c>
      <c r="F387" t="inlineStr">
        <is>
          <t>VÄRMLANDS LÄN</t>
        </is>
      </c>
      <c r="G387" t="inlineStr">
        <is>
          <t>HAGFORS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46254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46254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46254</v>
      </c>
      <c r="F390" t="inlineStr">
        <is>
          <t>VÄRMLANDS LÄN</t>
        </is>
      </c>
      <c r="G390" t="inlineStr">
        <is>
          <t>HAGFORS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46254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45226</v>
      </c>
      <c r="E392" s="1" t="n">
        <v>46254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46254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45765</v>
      </c>
      <c r="E394" s="1" t="n">
        <v>46254</v>
      </c>
      <c r="F394" t="inlineStr">
        <is>
          <t>VÄRMLANDS LÄN</t>
        </is>
      </c>
      <c r="G394" t="inlineStr">
        <is>
          <t>HAGFORS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46185</v>
      </c>
      <c r="E396" s="1" t="n">
        <v>46254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46254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46185</v>
      </c>
      <c r="E398" s="1" t="n">
        <v>46254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45223</v>
      </c>
      <c r="E399" s="1" t="n">
        <v>46254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45624</v>
      </c>
      <c r="E400" s="1" t="n">
        <v>46254</v>
      </c>
      <c r="F400" t="inlineStr">
        <is>
          <t>VÄRMLANDS LÄN</t>
        </is>
      </c>
      <c r="G400" t="inlineStr">
        <is>
          <t>HAGFORS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51160-2025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46254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46233</v>
      </c>
      <c r="E402" s="1" t="n">
        <v>46254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46254</v>
      </c>
      <c r="F403" t="inlineStr">
        <is>
          <t>VÄRMLANDS LÄN</t>
        </is>
      </c>
      <c r="G403" t="inlineStr">
        <is>
          <t>HAGFORS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45741</v>
      </c>
      <c r="E404" s="1" t="n">
        <v>46254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46254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45475</v>
      </c>
      <c r="E406" s="1" t="n">
        <v>46254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45534</v>
      </c>
      <c r="E408" s="1" t="n">
        <v>46254</v>
      </c>
      <c r="F408" t="inlineStr">
        <is>
          <t>VÄRMLANDS LÄN</t>
        </is>
      </c>
      <c r="G408" t="inlineStr">
        <is>
          <t>HAGFORS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46233</v>
      </c>
      <c r="E409" s="1" t="n">
        <v>46254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46254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44582</v>
      </c>
      <c r="E411" s="1" t="n">
        <v>46254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46254</v>
      </c>
      <c r="F412" t="inlineStr">
        <is>
          <t>VÄRMLANDS LÄN</t>
        </is>
      </c>
      <c r="G412" t="inlineStr">
        <is>
          <t>HAGFORS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46254</v>
      </c>
      <c r="F413" t="inlineStr">
        <is>
          <t>VÄRMLANDS LÄN</t>
        </is>
      </c>
      <c r="G413" t="inlineStr">
        <is>
          <t>HAGFORS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45434</v>
      </c>
      <c r="E414" s="1" t="n">
        <v>46254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45946</v>
      </c>
      <c r="E415" s="1" t="n">
        <v>46254</v>
      </c>
      <c r="F415" t="inlineStr">
        <is>
          <t>VÄRMLANDS LÄN</t>
        </is>
      </c>
      <c r="G415" t="inlineStr">
        <is>
          <t>HAGFORS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45725</v>
      </c>
      <c r="E416" s="1" t="n">
        <v>46254</v>
      </c>
      <c r="F416" t="inlineStr">
        <is>
          <t>VÄRMLANDS LÄN</t>
        </is>
      </c>
      <c r="G416" t="inlineStr">
        <is>
          <t>HAGFORS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51611-2025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45951</v>
      </c>
      <c r="E417" s="1" t="n">
        <v>46254</v>
      </c>
      <c r="F417" t="inlineStr">
        <is>
          <t>VÄRMLANDS LÄN</t>
        </is>
      </c>
      <c r="G417" t="inlineStr">
        <is>
          <t>HAGFORS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15270-2024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45400</v>
      </c>
      <c r="E418" s="1" t="n">
        <v>46254</v>
      </c>
      <c r="F418" t="inlineStr">
        <is>
          <t>VÄRMLANDS LÄN</t>
        </is>
      </c>
      <c r="G418" t="inlineStr">
        <is>
          <t>HAGFORS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46254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51273-2025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45949</v>
      </c>
      <c r="E420" s="1" t="n">
        <v>46254</v>
      </c>
      <c r="F420" t="inlineStr">
        <is>
          <t>VÄRMLANDS LÄN</t>
        </is>
      </c>
      <c r="G420" t="inlineStr">
        <is>
          <t>HAGFORS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45582</v>
      </c>
      <c r="E421" s="1" t="n">
        <v>46254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46254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46239</v>
      </c>
      <c r="E423" s="1" t="n">
        <v>46254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46239</v>
      </c>
      <c r="E424" s="1" t="n">
        <v>46254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19.3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44567</v>
      </c>
      <c r="E425" s="1" t="n">
        <v>46254</v>
      </c>
      <c r="F425" t="inlineStr">
        <is>
          <t>VÄRMLANDS LÄN</t>
        </is>
      </c>
      <c r="G425" t="inlineStr">
        <is>
          <t>HAGFORS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45526</v>
      </c>
      <c r="E426" s="1" t="n">
        <v>46254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32507-2026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46239</v>
      </c>
      <c r="E427" s="1" t="n">
        <v>46254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46239</v>
      </c>
      <c r="E428" s="1" t="n">
        <v>46254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46254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52479-2025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45954</v>
      </c>
      <c r="E430" s="1" t="n">
        <v>46254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46254</v>
      </c>
      <c r="F431" t="inlineStr">
        <is>
          <t>VÄRMLANDS LÄN</t>
        </is>
      </c>
      <c r="G431" t="inlineStr">
        <is>
          <t>HAGFORS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46254</v>
      </c>
      <c r="F432" t="inlineStr">
        <is>
          <t>VÄRMLANDS LÄN</t>
        </is>
      </c>
      <c r="G432" t="inlineStr">
        <is>
          <t>HAGFORS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52450-2025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45954</v>
      </c>
      <c r="E433" s="1" t="n">
        <v>46254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46254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46254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46241</v>
      </c>
      <c r="E436" s="1" t="n">
        <v>46254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44883</v>
      </c>
      <c r="E437" s="1" t="n">
        <v>46254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54001-2025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45961</v>
      </c>
      <c r="E438" s="1" t="n">
        <v>46254</v>
      </c>
      <c r="F438" t="inlineStr">
        <is>
          <t>VÄRMLANDS LÄN</t>
        </is>
      </c>
      <c r="G438" t="inlineStr">
        <is>
          <t>HAGFORS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53620-2025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46254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45960</v>
      </c>
      <c r="E440" s="1" t="n">
        <v>46254</v>
      </c>
      <c r="F440" t="inlineStr">
        <is>
          <t>VÄRMLANDS LÄN</t>
        </is>
      </c>
      <c r="G440" t="inlineStr">
        <is>
          <t>HAGFORS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32721-2026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46241</v>
      </c>
      <c r="E441" s="1" t="n">
        <v>46254</v>
      </c>
      <c r="F441" t="inlineStr">
        <is>
          <t>VÄRMLANDS LÄN</t>
        </is>
      </c>
      <c r="G441" t="inlineStr">
        <is>
          <t>HAGFORS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46254</v>
      </c>
      <c r="F442" t="inlineStr">
        <is>
          <t>VÄRMLANDS LÄN</t>
        </is>
      </c>
      <c r="G442" t="inlineStr">
        <is>
          <t>HAGFORS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53574-2025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46254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46254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28720-2026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46254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46254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45155</v>
      </c>
      <c r="E447" s="1" t="n">
        <v>46254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46254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37463-2022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44809</v>
      </c>
      <c r="E449" s="1" t="n">
        <v>46254</v>
      </c>
      <c r="F449" t="inlineStr">
        <is>
          <t>VÄRMLANDS LÄN</t>
        </is>
      </c>
      <c r="G449" t="inlineStr">
        <is>
          <t>HAGFORS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46241</v>
      </c>
      <c r="E450" s="1" t="n">
        <v>46254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46200</v>
      </c>
      <c r="E451" s="1" t="n">
        <v>46254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46200</v>
      </c>
      <c r="E452" s="1" t="n">
        <v>46254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27855-2026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46191</v>
      </c>
      <c r="E453" s="1" t="n">
        <v>46254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62461-2023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45268</v>
      </c>
      <c r="E454" s="1" t="n">
        <v>46254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46254</v>
      </c>
      <c r="F455" t="inlineStr">
        <is>
          <t>VÄRMLANDS LÄN</t>
        </is>
      </c>
      <c r="G455" t="inlineStr">
        <is>
          <t>HAGFORS</t>
        </is>
      </c>
      <c r="H455" t="inlineStr">
        <is>
          <t>Kyrkan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46254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46254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55001-2025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45967</v>
      </c>
      <c r="E458" s="1" t="n">
        <v>46254</v>
      </c>
      <c r="F458" t="inlineStr">
        <is>
          <t>VÄRMLANDS LÄN</t>
        </is>
      </c>
      <c r="G458" t="inlineStr">
        <is>
          <t>HAGFORS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53813-2024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45615</v>
      </c>
      <c r="E459" s="1" t="n">
        <v>46254</v>
      </c>
      <c r="F459" t="inlineStr">
        <is>
          <t>VÄRMLANDS LÄN</t>
        </is>
      </c>
      <c r="G459" t="inlineStr">
        <is>
          <t>HAGFORS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45971</v>
      </c>
      <c r="E460" s="1" t="n">
        <v>46254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55480-2025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46254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46254</v>
      </c>
      <c r="F462" t="inlineStr">
        <is>
          <t>VÄRMLANDS LÄN</t>
        </is>
      </c>
      <c r="G462" t="inlineStr">
        <is>
          <t>HAGFORS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45470</v>
      </c>
      <c r="E463" s="1" t="n">
        <v>46254</v>
      </c>
      <c r="F463" t="inlineStr">
        <is>
          <t>VÄRMLANDS LÄN</t>
        </is>
      </c>
      <c r="G463" t="inlineStr">
        <is>
          <t>HAGFORS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46254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46254</v>
      </c>
      <c r="F465" t="inlineStr">
        <is>
          <t>VÄRMLANDS LÄN</t>
        </is>
      </c>
      <c r="G465" t="inlineStr">
        <is>
          <t>HAGFORS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46254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25258-2023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45079</v>
      </c>
      <c r="E467" s="1" t="n">
        <v>46254</v>
      </c>
      <c r="F467" t="inlineStr">
        <is>
          <t>VÄRMLANDS LÄN</t>
        </is>
      </c>
      <c r="G467" t="inlineStr">
        <is>
          <t>HAGFORS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46254</v>
      </c>
      <c r="F468" t="inlineStr">
        <is>
          <t>VÄRMLANDS LÄN</t>
        </is>
      </c>
      <c r="G468" t="inlineStr">
        <is>
          <t>HAGFORS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29422-2026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46254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46254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46254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45441</v>
      </c>
      <c r="E472" s="1" t="n">
        <v>46254</v>
      </c>
      <c r="F472" t="inlineStr">
        <is>
          <t>VÄRMLANDS LÄN</t>
        </is>
      </c>
      <c r="G472" t="inlineStr">
        <is>
          <t>HAGFORS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46254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46254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46254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46254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46254</v>
      </c>
      <c r="F477" t="inlineStr">
        <is>
          <t>VÄRMLANDS LÄN</t>
        </is>
      </c>
      <c r="G477" t="inlineStr">
        <is>
          <t>HAGFORS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46254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46254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56714-2025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45975</v>
      </c>
      <c r="E480" s="1" t="n">
        <v>46254</v>
      </c>
      <c r="F480" t="inlineStr">
        <is>
          <t>VÄRMLANDS LÄN</t>
        </is>
      </c>
      <c r="G480" t="inlineStr">
        <is>
          <t>HAGFORS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46254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46251</v>
      </c>
      <c r="E482" s="1" t="n">
        <v>46254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47516-2023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46254</v>
      </c>
      <c r="F483" t="inlineStr">
        <is>
          <t>VÄRMLANDS LÄN</t>
        </is>
      </c>
      <c r="G483" t="inlineStr">
        <is>
          <t>HAGFORS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33635-2026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46248</v>
      </c>
      <c r="E484" s="1" t="n">
        <v>46254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45506</v>
      </c>
      <c r="E485" s="1" t="n">
        <v>46254</v>
      </c>
      <c r="F485" t="inlineStr">
        <is>
          <t>VÄRMLANDS LÄN</t>
        </is>
      </c>
      <c r="G485" t="inlineStr">
        <is>
          <t>HAGFORS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46254</v>
      </c>
      <c r="F486" t="inlineStr">
        <is>
          <t>VÄRMLANDS LÄN</t>
        </is>
      </c>
      <c r="G486" t="inlineStr">
        <is>
          <t>HAGFORS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46254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57198-2025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46254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46248</v>
      </c>
      <c r="E489" s="1" t="n">
        <v>46254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46254</v>
      </c>
      <c r="F490" t="inlineStr">
        <is>
          <t>VÄRMLANDS LÄN</t>
        </is>
      </c>
      <c r="G490" t="inlineStr">
        <is>
          <t>HAGFORS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46251</v>
      </c>
      <c r="E491" s="1" t="n">
        <v>46254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44951</v>
      </c>
      <c r="E492" s="1" t="n">
        <v>46254</v>
      </c>
      <c r="F492" t="inlineStr">
        <is>
          <t>VÄRMLANDS LÄN</t>
        </is>
      </c>
      <c r="G492" t="inlineStr">
        <is>
          <t>HAGFORS</t>
        </is>
      </c>
      <c r="H492" t="inlineStr">
        <is>
          <t>Kommuner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64936-2023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45282</v>
      </c>
      <c r="E493" s="1" t="n">
        <v>46254</v>
      </c>
      <c r="F493" t="inlineStr">
        <is>
          <t>VÄRMLANDS LÄN</t>
        </is>
      </c>
      <c r="G493" t="inlineStr">
        <is>
          <t>HAGFORS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45684</v>
      </c>
      <c r="E494" s="1" t="n">
        <v>46254</v>
      </c>
      <c r="F494" t="inlineStr">
        <is>
          <t>VÄRMLANDS LÄN</t>
        </is>
      </c>
      <c r="G494" t="inlineStr">
        <is>
          <t>HAGFORS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46254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44949</v>
      </c>
      <c r="E496" s="1" t="n">
        <v>46254</v>
      </c>
      <c r="F496" t="inlineStr">
        <is>
          <t>VÄRMLANDS LÄN</t>
        </is>
      </c>
      <c r="G496" t="inlineStr">
        <is>
          <t>HAGFORS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46254</v>
      </c>
      <c r="F497" t="inlineStr">
        <is>
          <t>VÄRMLANDS LÄN</t>
        </is>
      </c>
      <c r="G497" t="inlineStr">
        <is>
          <t>HAGFORS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57460-2025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45980</v>
      </c>
      <c r="E498" s="1" t="n">
        <v>46254</v>
      </c>
      <c r="F498" t="inlineStr">
        <is>
          <t>VÄRMLANDS LÄN</t>
        </is>
      </c>
      <c r="G498" t="inlineStr">
        <is>
          <t>HAGFORS</t>
        </is>
      </c>
      <c r="H498" t="inlineStr">
        <is>
          <t>Kyrkan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45981</v>
      </c>
      <c r="E499" s="1" t="n">
        <v>46254</v>
      </c>
      <c r="F499" t="inlineStr">
        <is>
          <t>VÄRMLANDS LÄN</t>
        </is>
      </c>
      <c r="G499" t="inlineStr">
        <is>
          <t>HAGFORS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46254</v>
      </c>
      <c r="F500" t="inlineStr">
        <is>
          <t>VÄRMLANDS LÄN</t>
        </is>
      </c>
      <c r="G500" t="inlineStr">
        <is>
          <t>HAGFORS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44760</v>
      </c>
      <c r="E501" s="1" t="n">
        <v>46254</v>
      </c>
      <c r="F501" t="inlineStr">
        <is>
          <t>VÄRMLANDS LÄN</t>
        </is>
      </c>
      <c r="G501" t="inlineStr">
        <is>
          <t>HAGFORS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46248</v>
      </c>
      <c r="E502" s="1" t="n">
        <v>46254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46254</v>
      </c>
      <c r="F503" t="inlineStr">
        <is>
          <t>VÄRMLANDS LÄN</t>
        </is>
      </c>
      <c r="G503" t="inlineStr">
        <is>
          <t>HAGFORS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46254</v>
      </c>
      <c r="F504" t="inlineStr">
        <is>
          <t>VÄRMLANDS LÄN</t>
        </is>
      </c>
      <c r="G504" t="inlineStr">
        <is>
          <t>HAGFORS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45050</v>
      </c>
      <c r="E505" s="1" t="n">
        <v>46254</v>
      </c>
      <c r="F505" t="inlineStr">
        <is>
          <t>VÄRMLANDS LÄN</t>
        </is>
      </c>
      <c r="G505" t="inlineStr">
        <is>
          <t>HAGFORS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58278-2025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46254</v>
      </c>
      <c r="F506" t="inlineStr">
        <is>
          <t>VÄRMLANDS LÄN</t>
        </is>
      </c>
      <c r="G506" t="inlineStr">
        <is>
          <t>HAGFORS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46254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39029-2022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44817</v>
      </c>
      <c r="E508" s="1" t="n">
        <v>46254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45681</v>
      </c>
      <c r="E509" s="1" t="n">
        <v>46254</v>
      </c>
      <c r="F509" t="inlineStr">
        <is>
          <t>VÄRMLANDS LÄN</t>
        </is>
      </c>
      <c r="G509" t="inlineStr">
        <is>
          <t>HAGFORS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46209</v>
      </c>
      <c r="E510" s="1" t="n">
        <v>46254</v>
      </c>
      <c r="F510" t="inlineStr">
        <is>
          <t>VÄRMLANDS LÄN</t>
        </is>
      </c>
      <c r="G510" t="inlineStr">
        <is>
          <t>HAGFORS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46254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45400</v>
      </c>
      <c r="E512" s="1" t="n">
        <v>46254</v>
      </c>
      <c r="F512" t="inlineStr">
        <is>
          <t>VÄRMLANDS LÄN</t>
        </is>
      </c>
      <c r="G512" t="inlineStr">
        <is>
          <t>HAGFORS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59047-2025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45988</v>
      </c>
      <c r="E513" s="1" t="n">
        <v>46254</v>
      </c>
      <c r="F513" t="inlineStr">
        <is>
          <t>VÄRMLANDS LÄN</t>
        </is>
      </c>
      <c r="G513" t="inlineStr">
        <is>
          <t>HAGFORS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45373</v>
      </c>
      <c r="E514" s="1" t="n">
        <v>46254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45525</v>
      </c>
      <c r="E515" s="1" t="n">
        <v>46254</v>
      </c>
      <c r="F515" t="inlineStr">
        <is>
          <t>VÄRMLANDS LÄN</t>
        </is>
      </c>
      <c r="G515" t="inlineStr">
        <is>
          <t>HAGFORS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46254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18.8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46254</v>
      </c>
      <c r="F517" t="inlineStr">
        <is>
          <t>VÄRMLANDS LÄN</t>
        </is>
      </c>
      <c r="G517" t="inlineStr">
        <is>
          <t>HAGFORS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45996</v>
      </c>
      <c r="E518" s="1" t="n">
        <v>46254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58808-2022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44903</v>
      </c>
      <c r="E519" s="1" t="n">
        <v>46254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45999</v>
      </c>
      <c r="E520" s="1" t="n">
        <v>46254</v>
      </c>
      <c r="F520" t="inlineStr">
        <is>
          <t>VÄRMLANDS LÄN</t>
        </is>
      </c>
      <c r="G520" t="inlineStr">
        <is>
          <t>HAGFORS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60648-2025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45996</v>
      </c>
      <c r="E521" s="1" t="n">
        <v>46254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20652-2022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44700</v>
      </c>
      <c r="E522" s="1" t="n">
        <v>46254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45420</v>
      </c>
      <c r="E523" s="1" t="n">
        <v>46254</v>
      </c>
      <c r="F523" t="inlineStr">
        <is>
          <t>VÄRMLANDS LÄN</t>
        </is>
      </c>
      <c r="G523" t="inlineStr">
        <is>
          <t>HAGFORS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45632</v>
      </c>
      <c r="E524" s="1" t="n">
        <v>46254</v>
      </c>
      <c r="F524" t="inlineStr">
        <is>
          <t>VÄRMLANDS LÄN</t>
        </is>
      </c>
      <c r="G524" t="inlineStr">
        <is>
          <t>HAGFORS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45679</v>
      </c>
      <c r="E525" s="1" t="n">
        <v>46254</v>
      </c>
      <c r="F525" t="inlineStr">
        <is>
          <t>VÄRMLANDS LÄN</t>
        </is>
      </c>
      <c r="G525" t="inlineStr">
        <is>
          <t>HAGFORS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61843-2025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46003</v>
      </c>
      <c r="E526" s="1" t="n">
        <v>46254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61850-2025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46254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61718-2025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46002</v>
      </c>
      <c r="E528" s="1" t="n">
        <v>46254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14897-2024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45398</v>
      </c>
      <c r="E529" s="1" t="n">
        <v>46254</v>
      </c>
      <c r="F529" t="inlineStr">
        <is>
          <t>VÄRMLANDS LÄN</t>
        </is>
      </c>
      <c r="G529" t="inlineStr">
        <is>
          <t>HAGFORS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46254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46003</v>
      </c>
      <c r="E531" s="1" t="n">
        <v>46254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61910-2025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46003</v>
      </c>
      <c r="E532" s="1" t="n">
        <v>46254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46007</v>
      </c>
      <c r="E533" s="1" t="n">
        <v>46254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46006</v>
      </c>
      <c r="E534" s="1" t="n">
        <v>46254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62168-2025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46006</v>
      </c>
      <c r="E535" s="1" t="n">
        <v>46254</v>
      </c>
      <c r="F535" t="inlineStr">
        <is>
          <t>VÄRMLANDS LÄN</t>
        </is>
      </c>
      <c r="G535" t="inlineStr">
        <is>
          <t>HAGFORS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62099-2025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46006</v>
      </c>
      <c r="E536" s="1" t="n">
        <v>46254</v>
      </c>
      <c r="F536" t="inlineStr">
        <is>
          <t>VÄRMLANDS LÄN</t>
        </is>
      </c>
      <c r="G536" t="inlineStr">
        <is>
          <t>HAGFORS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46006</v>
      </c>
      <c r="E537" s="1" t="n">
        <v>46254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46254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62749-2025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46008</v>
      </c>
      <c r="E539" s="1" t="n">
        <v>46254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56808-2023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46254</v>
      </c>
      <c r="F540" t="inlineStr">
        <is>
          <t>VÄRMLANDS LÄN</t>
        </is>
      </c>
      <c r="G540" t="inlineStr">
        <is>
          <t>HAGFORS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44596</v>
      </c>
      <c r="E541" s="1" t="n">
        <v>46254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46254</v>
      </c>
      <c r="F542" t="inlineStr">
        <is>
          <t>VÄRMLANDS LÄN</t>
        </is>
      </c>
      <c r="G542" t="inlineStr">
        <is>
          <t>HAGFORS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46010</v>
      </c>
      <c r="E543" s="1" t="n">
        <v>46254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63361-2025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46254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63285-2025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46254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59449-2024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46254</v>
      </c>
      <c r="F546" t="inlineStr">
        <is>
          <t>VÄRMLANDS LÄN</t>
        </is>
      </c>
      <c r="G546" t="inlineStr">
        <is>
          <t>HAGFORS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52378-2021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44465</v>
      </c>
      <c r="E547" s="1" t="n">
        <v>46254</v>
      </c>
      <c r="F547" t="inlineStr">
        <is>
          <t>VÄRMLANDS LÄN</t>
        </is>
      </c>
      <c r="G547" t="inlineStr">
        <is>
          <t>HAGFORS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46254</v>
      </c>
      <c r="F548" t="inlineStr">
        <is>
          <t>VÄRMLANDS LÄN</t>
        </is>
      </c>
      <c r="G548" t="inlineStr">
        <is>
          <t>HAGFORS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63834-2025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46020</v>
      </c>
      <c r="E549" s="1" t="n">
        <v>46254</v>
      </c>
      <c r="F549" t="inlineStr">
        <is>
          <t>VÄRMLANDS LÄN</t>
        </is>
      </c>
      <c r="G549" t="inlineStr">
        <is>
          <t>HAGFORS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46020</v>
      </c>
      <c r="E550" s="1" t="n">
        <v>46254</v>
      </c>
      <c r="F550" t="inlineStr">
        <is>
          <t>VÄRMLANDS LÄN</t>
        </is>
      </c>
      <c r="G550" t="inlineStr">
        <is>
          <t>HAGFORS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63764-2025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46018</v>
      </c>
      <c r="E551" s="1" t="n">
        <v>46254</v>
      </c>
      <c r="F551" t="inlineStr">
        <is>
          <t>VÄRMLANDS LÄN</t>
        </is>
      </c>
      <c r="G551" t="inlineStr">
        <is>
          <t>HAGFORS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63765-2025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46018</v>
      </c>
      <c r="E552" s="1" t="n">
        <v>46254</v>
      </c>
      <c r="F552" t="inlineStr">
        <is>
          <t>VÄRMLANDS LÄN</t>
        </is>
      </c>
      <c r="G552" t="inlineStr">
        <is>
          <t>HAGFORS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49753-2023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45212</v>
      </c>
      <c r="E553" s="1" t="n">
        <v>46254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63875-2025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46020</v>
      </c>
      <c r="E554" s="1" t="n">
        <v>46254</v>
      </c>
      <c r="F554" t="inlineStr">
        <is>
          <t>VÄRMLANDS LÄN</t>
        </is>
      </c>
      <c r="G554" t="inlineStr">
        <is>
          <t>HAGFORS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60390-2025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45995</v>
      </c>
      <c r="E555" s="1" t="n">
        <v>46254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60991-2024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46254</v>
      </c>
      <c r="F556" t="inlineStr">
        <is>
          <t>VÄRMLANDS LÄN</t>
        </is>
      </c>
      <c r="G556" t="inlineStr">
        <is>
          <t>HAGFORS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46254</v>
      </c>
      <c r="F557" t="inlineStr">
        <is>
          <t>VÄRMLANDS LÄN</t>
        </is>
      </c>
      <c r="G557" t="inlineStr">
        <is>
          <t>HAGFORS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44610</v>
      </c>
      <c r="E558" s="1" t="n">
        <v>46254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48807-2025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45937</v>
      </c>
      <c r="E559" s="1" t="n">
        <v>46254</v>
      </c>
      <c r="F559" t="inlineStr">
        <is>
          <t>VÄRMLANDS LÄN</t>
        </is>
      </c>
      <c r="G559" t="inlineStr">
        <is>
          <t>HAGFORS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46254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46254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46030</v>
      </c>
      <c r="E562" s="1" t="n">
        <v>46254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46254</v>
      </c>
      <c r="F563" t="inlineStr">
        <is>
          <t>VÄRMLANDS LÄN</t>
        </is>
      </c>
      <c r="G563" t="inlineStr">
        <is>
          <t>HAGFORS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46254</v>
      </c>
      <c r="F564" t="inlineStr">
        <is>
          <t>VÄRMLANDS LÄN</t>
        </is>
      </c>
      <c r="G564" t="inlineStr">
        <is>
          <t>HAGFORS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44950</v>
      </c>
      <c r="E565" s="1" t="n">
        <v>46254</v>
      </c>
      <c r="F565" t="inlineStr">
        <is>
          <t>VÄRMLANDS LÄN</t>
        </is>
      </c>
      <c r="G565" t="inlineStr">
        <is>
          <t>HAGFORS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46254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16.8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46254</v>
      </c>
      <c r="F567" t="inlineStr">
        <is>
          <t>VÄRMLANDS LÄN</t>
        </is>
      </c>
      <c r="G567" t="inlineStr">
        <is>
          <t>HAGFORS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42223-2022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46254</v>
      </c>
      <c r="F568" t="inlineStr">
        <is>
          <t>VÄRMLANDS LÄN</t>
        </is>
      </c>
      <c r="G568" t="inlineStr">
        <is>
          <t>HAGFORS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45428</v>
      </c>
      <c r="E569" s="1" t="n">
        <v>46254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45371</v>
      </c>
      <c r="E570" s="1" t="n">
        <v>46254</v>
      </c>
      <c r="F570" t="inlineStr">
        <is>
          <t>VÄRMLANDS LÄN</t>
        </is>
      </c>
      <c r="G570" t="inlineStr">
        <is>
          <t>HAGFORS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45763</v>
      </c>
      <c r="E571" s="1" t="n">
        <v>46254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45575</v>
      </c>
      <c r="E572" s="1" t="n">
        <v>46254</v>
      </c>
      <c r="F572" t="inlineStr">
        <is>
          <t>VÄRMLANDS LÄN</t>
        </is>
      </c>
      <c r="G572" t="inlineStr">
        <is>
          <t>HAGFORS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46254</v>
      </c>
      <c r="F573" t="inlineStr">
        <is>
          <t>VÄRMLANDS LÄN</t>
        </is>
      </c>
      <c r="G573" t="inlineStr">
        <is>
          <t>HAGFORS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46254</v>
      </c>
      <c r="F574" t="inlineStr">
        <is>
          <t>VÄRMLANDS LÄN</t>
        </is>
      </c>
      <c r="G574" t="inlineStr">
        <is>
          <t>HAGFORS</t>
        </is>
      </c>
      <c r="I574" t="n">
        <v>13.1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46254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45201</v>
      </c>
      <c r="E576" s="1" t="n">
        <v>46254</v>
      </c>
      <c r="F576" t="inlineStr">
        <is>
          <t>VÄRMLANDS LÄN</t>
        </is>
      </c>
      <c r="G576" t="inlineStr">
        <is>
          <t>HAGFORS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46254</v>
      </c>
      <c r="F577" t="inlineStr">
        <is>
          <t>VÄRMLANDS LÄN</t>
        </is>
      </c>
      <c r="G577" t="inlineStr">
        <is>
          <t>HAGFORS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46254</v>
      </c>
      <c r="F578" t="inlineStr">
        <is>
          <t>VÄRMLANDS LÄN</t>
        </is>
      </c>
      <c r="G578" t="inlineStr">
        <is>
          <t>HAGFORS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46050</v>
      </c>
      <c r="E579" s="1" t="n">
        <v>46254</v>
      </c>
      <c r="F579" t="inlineStr">
        <is>
          <t>VÄRMLANDS LÄN</t>
        </is>
      </c>
      <c r="G579" t="inlineStr">
        <is>
          <t>HAGFORS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46050</v>
      </c>
      <c r="E580" s="1" t="n">
        <v>46254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60664-2023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45259</v>
      </c>
      <c r="E581" s="1" t="n">
        <v>46254</v>
      </c>
      <c r="F581" t="inlineStr">
        <is>
          <t>VÄRMLANDS LÄN</t>
        </is>
      </c>
      <c r="G581" t="inlineStr">
        <is>
          <t>HAGFORS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46254</v>
      </c>
      <c r="F582" t="inlineStr">
        <is>
          <t>VÄRMLANDS LÄN</t>
        </is>
      </c>
      <c r="G582" t="inlineStr">
        <is>
          <t>HAGFORS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35775-2024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45532</v>
      </c>
      <c r="E583" s="1" t="n">
        <v>46254</v>
      </c>
      <c r="F583" t="inlineStr">
        <is>
          <t>VÄRMLANDS LÄN</t>
        </is>
      </c>
      <c r="G583" t="inlineStr">
        <is>
          <t>HAGFORS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46254</v>
      </c>
      <c r="F584" t="inlineStr">
        <is>
          <t>VÄRMLANDS LÄN</t>
        </is>
      </c>
      <c r="G584" t="inlineStr">
        <is>
          <t>HAGFORS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46254</v>
      </c>
      <c r="F585" t="inlineStr">
        <is>
          <t>VÄRMLANDS LÄN</t>
        </is>
      </c>
      <c r="G585" t="inlineStr">
        <is>
          <t>HAGFORS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46254</v>
      </c>
      <c r="F586" t="inlineStr">
        <is>
          <t>VÄRMLANDS LÄN</t>
        </is>
      </c>
      <c r="G586" t="inlineStr">
        <is>
          <t>HAGFORS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57359-2022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44896</v>
      </c>
      <c r="E587" s="1" t="n">
        <v>46254</v>
      </c>
      <c r="F587" t="inlineStr">
        <is>
          <t>VÄRMLANDS LÄN</t>
        </is>
      </c>
      <c r="G587" t="inlineStr">
        <is>
          <t>HAGFORS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7000-2026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46057</v>
      </c>
      <c r="E588" s="1" t="n">
        <v>46254</v>
      </c>
      <c r="F588" t="inlineStr">
        <is>
          <t>VÄRMLANDS LÄN</t>
        </is>
      </c>
      <c r="G588" t="inlineStr">
        <is>
          <t>HAGFORS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41092-2024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46254</v>
      </c>
      <c r="F589" t="inlineStr">
        <is>
          <t>VÄRMLANDS LÄN</t>
        </is>
      </c>
      <c r="G589" t="inlineStr">
        <is>
          <t>HAGFORS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45632</v>
      </c>
      <c r="E590" s="1" t="n">
        <v>46254</v>
      </c>
      <c r="F590" t="inlineStr">
        <is>
          <t>VÄRMLANDS LÄN</t>
        </is>
      </c>
      <c r="G590" t="inlineStr">
        <is>
          <t>HAGFORS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19702-2022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44694</v>
      </c>
      <c r="E591" s="1" t="n">
        <v>46254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8555-2026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46254</v>
      </c>
      <c r="F592" t="inlineStr">
        <is>
          <t>VÄRMLANDS LÄN</t>
        </is>
      </c>
      <c r="G592" t="inlineStr">
        <is>
          <t>HAGFORS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22503-2024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45447</v>
      </c>
      <c r="E593" s="1" t="n">
        <v>46254</v>
      </c>
      <c r="F593" t="inlineStr">
        <is>
          <t>VÄRMLANDS LÄN</t>
        </is>
      </c>
      <c r="G593" t="inlineStr">
        <is>
          <t>HAGFORS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4279-2024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46254</v>
      </c>
      <c r="F594" t="inlineStr">
        <is>
          <t>VÄRMLANDS LÄN</t>
        </is>
      </c>
      <c r="G594" t="inlineStr">
        <is>
          <t>HAGFORS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920-2022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44571</v>
      </c>
      <c r="E595" s="1" t="n">
        <v>46254</v>
      </c>
      <c r="F595" t="inlineStr">
        <is>
          <t>VÄRMLANDS LÄN</t>
        </is>
      </c>
      <c r="G595" t="inlineStr">
        <is>
          <t>HAGFORS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22332-2024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45446</v>
      </c>
      <c r="E596" s="1" t="n">
        <v>46254</v>
      </c>
      <c r="F596" t="inlineStr">
        <is>
          <t>VÄRMLANDS LÄN</t>
        </is>
      </c>
      <c r="G596" t="inlineStr">
        <is>
          <t>HAGFORS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12426-2024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45379</v>
      </c>
      <c r="E597" s="1" t="n">
        <v>46254</v>
      </c>
      <c r="F597" t="inlineStr">
        <is>
          <t>VÄRMLANDS LÄN</t>
        </is>
      </c>
      <c r="G597" t="inlineStr">
        <is>
          <t>HAGFORS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46254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9769-2026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46254</v>
      </c>
      <c r="F599" t="inlineStr">
        <is>
          <t>VÄRMLANDS LÄN</t>
        </is>
      </c>
      <c r="G599" t="inlineStr">
        <is>
          <t>HAGFORS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46072</v>
      </c>
      <c r="E600" s="1" t="n">
        <v>46254</v>
      </c>
      <c r="F600" t="inlineStr">
        <is>
          <t>VÄRMLANDS LÄN</t>
        </is>
      </c>
      <c r="G600" t="inlineStr">
        <is>
          <t>HAGFORS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46254</v>
      </c>
      <c r="F601" t="inlineStr">
        <is>
          <t>VÄRMLANDS LÄN</t>
        </is>
      </c>
      <c r="G601" t="inlineStr">
        <is>
          <t>HAGFORS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17882-2025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45758</v>
      </c>
      <c r="E602" s="1" t="n">
        <v>46254</v>
      </c>
      <c r="F602" t="inlineStr">
        <is>
          <t>VÄRMLANDS LÄN</t>
        </is>
      </c>
      <c r="G602" t="inlineStr">
        <is>
          <t>HAGFORS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45703</v>
      </c>
      <c r="E603" s="1" t="n">
        <v>46254</v>
      </c>
      <c r="F603" t="inlineStr">
        <is>
          <t>VÄRMLANDS LÄN</t>
        </is>
      </c>
      <c r="G603" t="inlineStr">
        <is>
          <t>HAGFORS</t>
        </is>
      </c>
      <c r="H603" t="inlineStr">
        <is>
          <t>Kyrkan</t>
        </is>
      </c>
      <c r="I603" t="n">
        <v>15.9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17329-2024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45414</v>
      </c>
      <c r="E604" s="1" t="n">
        <v>46254</v>
      </c>
      <c r="F604" t="inlineStr">
        <is>
          <t>VÄRMLANDS LÄN</t>
        </is>
      </c>
      <c r="G604" t="inlineStr">
        <is>
          <t>HAGFORS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3980-2025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45684</v>
      </c>
      <c r="E605" s="1" t="n">
        <v>46254</v>
      </c>
      <c r="F605" t="inlineStr">
        <is>
          <t>VÄRMLANDS LÄN</t>
        </is>
      </c>
      <c r="G605" t="inlineStr">
        <is>
          <t>HAGFORS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52924-2023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45226</v>
      </c>
      <c r="E606" s="1" t="n">
        <v>46254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45671</v>
      </c>
      <c r="E607" s="1" t="n">
        <v>46254</v>
      </c>
      <c r="F607" t="inlineStr">
        <is>
          <t>VÄRMLANDS LÄN</t>
        </is>
      </c>
      <c r="G607" t="inlineStr">
        <is>
          <t>HAGFORS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48276-2024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45590</v>
      </c>
      <c r="E608" s="1" t="n">
        <v>46254</v>
      </c>
      <c r="F608" t="inlineStr">
        <is>
          <t>VÄRMLANDS LÄN</t>
        </is>
      </c>
      <c r="G608" t="inlineStr">
        <is>
          <t>HAGFORS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12534-2026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46254</v>
      </c>
      <c r="F609" t="inlineStr">
        <is>
          <t>VÄRMLANDS LÄN</t>
        </is>
      </c>
      <c r="G609" t="inlineStr">
        <is>
          <t>HAGFORS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54751-2022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44883</v>
      </c>
      <c r="E610" s="1" t="n">
        <v>46254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46254</v>
      </c>
      <c r="F611" t="inlineStr">
        <is>
          <t>VÄRMLANDS LÄN</t>
        </is>
      </c>
      <c r="G611" t="inlineStr">
        <is>
          <t>HAGFORS</t>
        </is>
      </c>
      <c r="I611" t="n">
        <v>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46254</v>
      </c>
      <c r="F612" t="inlineStr">
        <is>
          <t>VÄRMLANDS LÄN</t>
        </is>
      </c>
      <c r="G612" t="inlineStr">
        <is>
          <t>HAGFORS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52494-2024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46254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45692</v>
      </c>
      <c r="E614" s="1" t="n">
        <v>46254</v>
      </c>
      <c r="F614" t="inlineStr">
        <is>
          <t>VÄRMLANDS LÄN</t>
        </is>
      </c>
      <c r="G614" t="inlineStr">
        <is>
          <t>HAGFORS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45366</v>
      </c>
      <c r="E615" s="1" t="n">
        <v>46254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5482-2022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44595</v>
      </c>
      <c r="E616" s="1" t="n">
        <v>46254</v>
      </c>
      <c r="F616" t="inlineStr">
        <is>
          <t>VÄRMLANDS LÄN</t>
        </is>
      </c>
      <c r="G616" t="inlineStr">
        <is>
          <t>HAGFORS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12611-2026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46091</v>
      </c>
      <c r="E617" s="1" t="n">
        <v>46254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13338-2026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46254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60167-2023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45258</v>
      </c>
      <c r="E619" s="1" t="n">
        <v>46254</v>
      </c>
      <c r="F619" t="inlineStr">
        <is>
          <t>VÄRMLANDS LÄN</t>
        </is>
      </c>
      <c r="G619" t="inlineStr">
        <is>
          <t>HAGFORS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60178-2023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45258</v>
      </c>
      <c r="E620" s="1" t="n">
        <v>46254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46254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46254</v>
      </c>
      <c r="F622" t="inlineStr">
        <is>
          <t>VÄRMLANDS LÄN</t>
        </is>
      </c>
      <c r="G622" t="inlineStr">
        <is>
          <t>HAGFORS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46254</v>
      </c>
      <c r="F623" t="inlineStr">
        <is>
          <t>VÄRMLANDS LÄN</t>
        </is>
      </c>
      <c r="G623" t="inlineStr">
        <is>
          <t>HAGFORS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45328</v>
      </c>
      <c r="E624" s="1" t="n">
        <v>46254</v>
      </c>
      <c r="F624" t="inlineStr">
        <is>
          <t>VÄRMLANDS LÄN</t>
        </is>
      </c>
      <c r="G624" t="inlineStr">
        <is>
          <t>HAGFORS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46254</v>
      </c>
      <c r="F625" t="inlineStr">
        <is>
          <t>VÄRMLANDS LÄN</t>
        </is>
      </c>
      <c r="G625" t="inlineStr">
        <is>
          <t>HAGFORS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45029</v>
      </c>
      <c r="E626" s="1" t="n">
        <v>46254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41603-2023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45175</v>
      </c>
      <c r="E627" s="1" t="n">
        <v>46254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46254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46254</v>
      </c>
      <c r="F629" t="inlineStr">
        <is>
          <t>VÄRMLANDS LÄN</t>
        </is>
      </c>
      <c r="G629" t="inlineStr">
        <is>
          <t>HAGFORS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46098</v>
      </c>
      <c r="E630" s="1" t="n">
        <v>46254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12673-2024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45384</v>
      </c>
      <c r="E631" s="1" t="n">
        <v>46254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46254</v>
      </c>
      <c r="F632" t="inlineStr">
        <is>
          <t>VÄRMLANDS LÄN</t>
        </is>
      </c>
      <c r="G632" t="inlineStr">
        <is>
          <t>HAGFORS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11367-2025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45726</v>
      </c>
      <c r="E633" s="1" t="n">
        <v>46254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56895-2023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45244</v>
      </c>
      <c r="E634" s="1" t="n">
        <v>46254</v>
      </c>
      <c r="F634" t="inlineStr">
        <is>
          <t>VÄRMLANDS LÄN</t>
        </is>
      </c>
      <c r="G634" t="inlineStr">
        <is>
          <t>HAGFORS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46254</v>
      </c>
      <c r="F635" t="inlineStr">
        <is>
          <t>VÄRMLANDS LÄN</t>
        </is>
      </c>
      <c r="G635" t="inlineStr">
        <is>
          <t>HAGFORS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46254</v>
      </c>
      <c r="F636" t="inlineStr">
        <is>
          <t>VÄRMLANDS LÄN</t>
        </is>
      </c>
      <c r="G636" t="inlineStr">
        <is>
          <t>HAGFORS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46254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46254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42150-2024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46254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15031-2026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46254</v>
      </c>
      <c r="F640" t="inlineStr">
        <is>
          <t>VÄRMLANDS LÄN</t>
        </is>
      </c>
      <c r="G640" t="inlineStr">
        <is>
          <t>HAGFORS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46101</v>
      </c>
      <c r="E641" s="1" t="n">
        <v>46254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40835-2023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45172</v>
      </c>
      <c r="E642" s="1" t="n">
        <v>46254</v>
      </c>
      <c r="F642" t="inlineStr">
        <is>
          <t>VÄRMLANDS LÄN</t>
        </is>
      </c>
      <c r="G642" t="inlineStr">
        <is>
          <t>HAGFORS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15656-2026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46254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47028-2023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45201</v>
      </c>
      <c r="E644" s="1" t="n">
        <v>46254</v>
      </c>
      <c r="F644" t="inlineStr">
        <is>
          <t>VÄRMLANDS LÄN</t>
        </is>
      </c>
      <c r="G644" t="inlineStr">
        <is>
          <t>HAGFORS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15504-2026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46254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46254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30520-2024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45492</v>
      </c>
      <c r="E648" s="1" t="n">
        <v>46254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46254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46105</v>
      </c>
      <c r="E650" s="1" t="n">
        <v>46254</v>
      </c>
      <c r="F650" t="inlineStr">
        <is>
          <t>VÄRMLANDS LÄN</t>
        </is>
      </c>
      <c r="G650" t="inlineStr">
        <is>
          <t>HAGFORS</t>
        </is>
      </c>
      <c r="H650" t="inlineStr">
        <is>
          <t>Kyrkan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33399-2024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45519</v>
      </c>
      <c r="E651" s="1" t="n">
        <v>46254</v>
      </c>
      <c r="F651" t="inlineStr">
        <is>
          <t>VÄRMLANDS LÄN</t>
        </is>
      </c>
      <c r="G651" t="inlineStr">
        <is>
          <t>HAGFORS</t>
        </is>
      </c>
      <c r="I651" t="n">
        <v>8.4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15554-2026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46254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15577-2026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46254</v>
      </c>
      <c r="F653" t="inlineStr">
        <is>
          <t>VÄRMLANDS LÄN</t>
        </is>
      </c>
      <c r="G653" t="inlineStr">
        <is>
          <t>HAGFORS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10236-2022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44622</v>
      </c>
      <c r="E654" s="1" t="n">
        <v>46254</v>
      </c>
      <c r="F654" t="inlineStr">
        <is>
          <t>VÄRMLANDS LÄN</t>
        </is>
      </c>
      <c r="G654" t="inlineStr">
        <is>
          <t>HAGFORS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16146-2026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46108</v>
      </c>
      <c r="E655" s="1" t="n">
        <v>46254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46792-2022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44851</v>
      </c>
      <c r="E656" s="1" t="n">
        <v>46254</v>
      </c>
      <c r="F656" t="inlineStr">
        <is>
          <t>VÄRMLANDS LÄN</t>
        </is>
      </c>
      <c r="G656" t="inlineStr">
        <is>
          <t>HAGFORS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45510</v>
      </c>
      <c r="E657" s="1" t="n">
        <v>46254</v>
      </c>
      <c r="F657" t="inlineStr">
        <is>
          <t>VÄRMLANDS LÄN</t>
        </is>
      </c>
      <c r="G657" t="inlineStr">
        <is>
          <t>HAGFORS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46108</v>
      </c>
      <c r="E658" s="1" t="n">
        <v>46254</v>
      </c>
      <c r="F658" t="inlineStr">
        <is>
          <t>VÄRMLANDS LÄN</t>
        </is>
      </c>
      <c r="G658" t="inlineStr">
        <is>
          <t>HAGFORS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46254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54744-2024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46254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46254</v>
      </c>
      <c r="F661" t="inlineStr">
        <is>
          <t>VÄRMLANDS LÄN</t>
        </is>
      </c>
      <c r="G661" t="inlineStr">
        <is>
          <t>HAGFORS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39640-2022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44817</v>
      </c>
      <c r="E662" s="1" t="n">
        <v>46254</v>
      </c>
      <c r="F662" t="inlineStr">
        <is>
          <t>VÄRMLANDS LÄN</t>
        </is>
      </c>
      <c r="G662" t="inlineStr">
        <is>
          <t>HAGFORS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45308</v>
      </c>
      <c r="E663" s="1" t="n">
        <v>46254</v>
      </c>
      <c r="F663" t="inlineStr">
        <is>
          <t>VÄRMLANDS LÄN</t>
        </is>
      </c>
      <c r="G663" t="inlineStr">
        <is>
          <t>HAGFORS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46254</v>
      </c>
      <c r="F664" t="inlineStr">
        <is>
          <t>VÄRMLANDS LÄN</t>
        </is>
      </c>
      <c r="G664" t="inlineStr">
        <is>
          <t>HAGFORS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34404-2023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45132</v>
      </c>
      <c r="E665" s="1" t="n">
        <v>46254</v>
      </c>
      <c r="F665" t="inlineStr">
        <is>
          <t>VÄRMLANDS LÄN</t>
        </is>
      </c>
      <c r="G665" t="inlineStr">
        <is>
          <t>HAGFORS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11160-2025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45723</v>
      </c>
      <c r="E666" s="1" t="n">
        <v>46254</v>
      </c>
      <c r="F666" t="inlineStr">
        <is>
          <t>VÄRMLANDS LÄN</t>
        </is>
      </c>
      <c r="G666" t="inlineStr">
        <is>
          <t>HAGFORS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46254</v>
      </c>
      <c r="F667" t="inlineStr">
        <is>
          <t>VÄRMLANDS LÄN</t>
        </is>
      </c>
      <c r="G667" t="inlineStr">
        <is>
          <t>HAGFORS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45386</v>
      </c>
      <c r="E668" s="1" t="n">
        <v>46254</v>
      </c>
      <c r="F668" t="inlineStr">
        <is>
          <t>VÄRMLANDS LÄN</t>
        </is>
      </c>
      <c r="G668" t="inlineStr">
        <is>
          <t>HAGFORS</t>
        </is>
      </c>
      <c r="H668" t="inlineStr">
        <is>
          <t>Kommuner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46254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17843-2026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46122</v>
      </c>
      <c r="E670" s="1" t="n">
        <v>46254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44728-2023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45190</v>
      </c>
      <c r="E671" s="1" t="n">
        <v>46254</v>
      </c>
      <c r="F671" t="inlineStr">
        <is>
          <t>VÄRMLANDS LÄN</t>
        </is>
      </c>
      <c r="G671" t="inlineStr">
        <is>
          <t>HAGFORS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46122</v>
      </c>
      <c r="E672" s="1" t="n">
        <v>46254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42168-2024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45562</v>
      </c>
      <c r="E673" s="1" t="n">
        <v>46254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42170-2024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45562</v>
      </c>
      <c r="E674" s="1" t="n">
        <v>46254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42171-2024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45562</v>
      </c>
      <c r="E675" s="1" t="n">
        <v>46254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42243-2024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45562</v>
      </c>
      <c r="E676" s="1" t="n">
        <v>46254</v>
      </c>
      <c r="F676" t="inlineStr">
        <is>
          <t>VÄRMLANDS LÄN</t>
        </is>
      </c>
      <c r="G676" t="inlineStr">
        <is>
          <t>HAGFORS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6980-2022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44603</v>
      </c>
      <c r="E677" s="1" t="n">
        <v>46254</v>
      </c>
      <c r="F677" t="inlineStr">
        <is>
          <t>VÄRMLANDS LÄN</t>
        </is>
      </c>
      <c r="G677" t="inlineStr">
        <is>
          <t>HAGFORS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46254</v>
      </c>
      <c r="F678" t="inlineStr">
        <is>
          <t>VÄRMLANDS LÄN</t>
        </is>
      </c>
      <c r="G678" t="inlineStr">
        <is>
          <t>HAGFORS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36013-2023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45149</v>
      </c>
      <c r="E679" s="1" t="n">
        <v>46254</v>
      </c>
      <c r="F679" t="inlineStr">
        <is>
          <t>VÄRMLANDS LÄN</t>
        </is>
      </c>
      <c r="G679" t="inlineStr">
        <is>
          <t>HAGFORS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46254</v>
      </c>
      <c r="F680" t="inlineStr">
        <is>
          <t>VÄRMLANDS LÄN</t>
        </is>
      </c>
      <c r="G680" t="inlineStr">
        <is>
          <t>HAGFORS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45264</v>
      </c>
      <c r="E681" s="1" t="n">
        <v>46254</v>
      </c>
      <c r="F681" t="inlineStr">
        <is>
          <t>VÄRMLANDS LÄN</t>
        </is>
      </c>
      <c r="G681" t="inlineStr">
        <is>
          <t>HAGFORS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46129</v>
      </c>
      <c r="E682" s="1" t="n">
        <v>46254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18528-2026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46127</v>
      </c>
      <c r="E683" s="1" t="n">
        <v>46254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18901-2026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46129</v>
      </c>
      <c r="E684" s="1" t="n">
        <v>46254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18907-2025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45764</v>
      </c>
      <c r="E685" s="1" t="n">
        <v>46254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18797-2026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46128</v>
      </c>
      <c r="E686" s="1" t="n">
        <v>46254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19363-2026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46133</v>
      </c>
      <c r="E687" s="1" t="n">
        <v>46254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19339-2026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46133</v>
      </c>
      <c r="E688" s="1" t="n">
        <v>46254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46133</v>
      </c>
      <c r="E689" s="1" t="n">
        <v>46254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19350-2026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46133</v>
      </c>
      <c r="E690" s="1" t="n">
        <v>46254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17305-2023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45035</v>
      </c>
      <c r="E691" s="1" t="n">
        <v>46254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19056-2026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46254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31178-2022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44770</v>
      </c>
      <c r="E693" s="1" t="n">
        <v>46254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19421-2026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46133</v>
      </c>
      <c r="E694" s="1" t="n">
        <v>46254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46254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59552-2024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45638</v>
      </c>
      <c r="E696" s="1" t="n">
        <v>46254</v>
      </c>
      <c r="F696" t="inlineStr">
        <is>
          <t>VÄRMLANDS LÄN</t>
        </is>
      </c>
      <c r="G696" t="inlineStr">
        <is>
          <t>HAGFORS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21067-2025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45777</v>
      </c>
      <c r="E697" s="1" t="n">
        <v>46254</v>
      </c>
      <c r="F697" t="inlineStr">
        <is>
          <t>VÄRMLANDS LÄN</t>
        </is>
      </c>
      <c r="G697" t="inlineStr">
        <is>
          <t>HAGFORS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46254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19459-2026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46254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21723-2025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45783</v>
      </c>
      <c r="E700" s="1" t="n">
        <v>46254</v>
      </c>
      <c r="F700" t="inlineStr">
        <is>
          <t>VÄRMLANDS LÄN</t>
        </is>
      </c>
      <c r="G700" t="inlineStr">
        <is>
          <t>HAGFORS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20260-2026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46139</v>
      </c>
      <c r="E701" s="1" t="n">
        <v>46254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24680-2024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46254</v>
      </c>
      <c r="F702" t="inlineStr">
        <is>
          <t>VÄRMLANDS LÄN</t>
        </is>
      </c>
      <c r="G702" t="inlineStr">
        <is>
          <t>HAGFORS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44683</v>
      </c>
      <c r="E703" s="1" t="n">
        <v>46254</v>
      </c>
      <c r="F703" t="inlineStr">
        <is>
          <t>VÄRMLANDS LÄN</t>
        </is>
      </c>
      <c r="G703" t="inlineStr">
        <is>
          <t>HAGFORS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63868-2025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46020</v>
      </c>
      <c r="E704" s="1" t="n">
        <v>46254</v>
      </c>
      <c r="F704" t="inlineStr">
        <is>
          <t>VÄRMLANDS LÄN</t>
        </is>
      </c>
      <c r="G704" t="inlineStr">
        <is>
          <t>HAGFORS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47425-2024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45587</v>
      </c>
      <c r="E705" s="1" t="n">
        <v>46254</v>
      </c>
      <c r="F705" t="inlineStr">
        <is>
          <t>VÄRMLANDS LÄN</t>
        </is>
      </c>
      <c r="G705" t="inlineStr">
        <is>
          <t>HAGFORS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40332-2023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45169</v>
      </c>
      <c r="E706" s="1" t="n">
        <v>46254</v>
      </c>
      <c r="F706" t="inlineStr">
        <is>
          <t>VÄRMLANDS LÄN</t>
        </is>
      </c>
      <c r="G706" t="inlineStr">
        <is>
          <t>HAGFORS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12778-2025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46254</v>
      </c>
      <c r="F707" t="inlineStr">
        <is>
          <t>VÄRMLANDS LÄN</t>
        </is>
      </c>
      <c r="G707" t="inlineStr">
        <is>
          <t>HAGFORS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33187-2025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45840</v>
      </c>
      <c r="E708" s="1" t="n">
        <v>46254</v>
      </c>
      <c r="F708" t="inlineStr">
        <is>
          <t>VÄRMLANDS LÄN</t>
        </is>
      </c>
      <c r="G708" t="inlineStr">
        <is>
          <t>HAGFORS</t>
        </is>
      </c>
      <c r="I708" t="n">
        <v>18.2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22799-2025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45789</v>
      </c>
      <c r="E709" s="1" t="n">
        <v>46254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26628-2024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45469</v>
      </c>
      <c r="E710" s="1" t="n">
        <v>46254</v>
      </c>
      <c r="F710" t="inlineStr">
        <is>
          <t>VÄRMLANDS LÄN</t>
        </is>
      </c>
      <c r="G710" t="inlineStr">
        <is>
          <t>HAGFORS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22461-2025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45786</v>
      </c>
      <c r="E711" s="1" t="n">
        <v>46254</v>
      </c>
      <c r="F711" t="inlineStr">
        <is>
          <t>VÄRMLANDS LÄN</t>
        </is>
      </c>
      <c r="G711" t="inlineStr">
        <is>
          <t>HAGFORS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45484</v>
      </c>
      <c r="E712" s="1" t="n">
        <v>46254</v>
      </c>
      <c r="F712" t="inlineStr">
        <is>
          <t>VÄRMLANDS LÄN</t>
        </is>
      </c>
      <c r="G712" t="inlineStr">
        <is>
          <t>HAGFORS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19993-2026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46254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22346-2025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45786</v>
      </c>
      <c r="E714" s="1" t="n">
        <v>46254</v>
      </c>
      <c r="F714" t="inlineStr">
        <is>
          <t>VÄRMLANDS LÄN</t>
        </is>
      </c>
      <c r="G714" t="inlineStr">
        <is>
          <t>HAGFORS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23179-2025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45791</v>
      </c>
      <c r="E715" s="1" t="n">
        <v>46254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23268-2025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45791</v>
      </c>
      <c r="E716" s="1" t="n">
        <v>46254</v>
      </c>
      <c r="F716" t="inlineStr">
        <is>
          <t>VÄRMLANDS LÄN</t>
        </is>
      </c>
      <c r="G716" t="inlineStr">
        <is>
          <t>HAGFORS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22917-2025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45790</v>
      </c>
      <c r="E717" s="1" t="n">
        <v>46254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32688-2025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45838</v>
      </c>
      <c r="E718" s="1" t="n">
        <v>46254</v>
      </c>
      <c r="F718" t="inlineStr">
        <is>
          <t>VÄRMLANDS LÄN</t>
        </is>
      </c>
      <c r="G718" t="inlineStr">
        <is>
          <t>HAGFORS</t>
        </is>
      </c>
      <c r="H718" t="inlineStr">
        <is>
          <t>Kyrkan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28571-2025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45819</v>
      </c>
      <c r="E719" s="1" t="n">
        <v>46254</v>
      </c>
      <c r="F719" t="inlineStr">
        <is>
          <t>VÄRMLANDS LÄN</t>
        </is>
      </c>
      <c r="G719" t="inlineStr">
        <is>
          <t>HAGFORS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45545</v>
      </c>
      <c r="E720" s="1" t="n">
        <v>46254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24000-2025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45796</v>
      </c>
      <c r="E721" s="1" t="n">
        <v>46254</v>
      </c>
      <c r="F721" t="inlineStr">
        <is>
          <t>VÄRMLANDS LÄN</t>
        </is>
      </c>
      <c r="G721" t="inlineStr">
        <is>
          <t>HAGFORS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23047-2024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45450</v>
      </c>
      <c r="E722" s="1" t="n">
        <v>46254</v>
      </c>
      <c r="F722" t="inlineStr">
        <is>
          <t>VÄRMLANDS LÄN</t>
        </is>
      </c>
      <c r="G722" t="inlineStr">
        <is>
          <t>HAGFORS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46254</v>
      </c>
      <c r="F723" t="inlineStr">
        <is>
          <t>VÄRMLANDS LÄN</t>
        </is>
      </c>
      <c r="G723" t="inlineStr">
        <is>
          <t>HAGFORS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45790</v>
      </c>
      <c r="E724" s="1" t="n">
        <v>46254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55950-2024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45623</v>
      </c>
      <c r="E725" s="1" t="n">
        <v>46254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23556-2025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45792</v>
      </c>
      <c r="E726" s="1" t="n">
        <v>46254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45792</v>
      </c>
      <c r="E727" s="1" t="n">
        <v>46254</v>
      </c>
      <c r="F727" t="inlineStr">
        <is>
          <t>VÄRMLANDS LÄN</t>
        </is>
      </c>
      <c r="G727" t="inlineStr">
        <is>
          <t>HAGFORS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23674-2025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45793</v>
      </c>
      <c r="E728" s="1" t="n">
        <v>46254</v>
      </c>
      <c r="F728" t="inlineStr">
        <is>
          <t>VÄRMLANDS LÄN</t>
        </is>
      </c>
      <c r="G728" t="inlineStr">
        <is>
          <t>HAGFORS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45793</v>
      </c>
      <c r="E729" s="1" t="n">
        <v>46254</v>
      </c>
      <c r="F729" t="inlineStr">
        <is>
          <t>VÄRMLANDS LÄN</t>
        </is>
      </c>
      <c r="G729" t="inlineStr">
        <is>
          <t>HAGFORS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54008-2024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45615</v>
      </c>
      <c r="E730" s="1" t="n">
        <v>46254</v>
      </c>
      <c r="F730" t="inlineStr">
        <is>
          <t>VÄRMLANDS LÄN</t>
        </is>
      </c>
      <c r="G730" t="inlineStr">
        <is>
          <t>HAGFORS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45754</v>
      </c>
      <c r="E731" s="1" t="n">
        <v>46254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15643-2024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45404</v>
      </c>
      <c r="E732" s="1" t="n">
        <v>46254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24434-2025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45797</v>
      </c>
      <c r="E733" s="1" t="n">
        <v>46254</v>
      </c>
      <c r="F733" t="inlineStr">
        <is>
          <t>VÄRMLANDS LÄN</t>
        </is>
      </c>
      <c r="G733" t="inlineStr">
        <is>
          <t>HAGFORS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24435-2025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45797</v>
      </c>
      <c r="E734" s="1" t="n">
        <v>46254</v>
      </c>
      <c r="F734" t="inlineStr">
        <is>
          <t>VÄRMLANDS LÄN</t>
        </is>
      </c>
      <c r="G734" t="inlineStr">
        <is>
          <t>HAGFORS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24438-2025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45797</v>
      </c>
      <c r="E735" s="1" t="n">
        <v>46254</v>
      </c>
      <c r="F735" t="inlineStr">
        <is>
          <t>VÄRMLANDS LÄN</t>
        </is>
      </c>
      <c r="G735" t="inlineStr">
        <is>
          <t>HAGFORS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13524-2025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45736</v>
      </c>
      <c r="E736" s="1" t="n">
        <v>46254</v>
      </c>
      <c r="F736" t="inlineStr">
        <is>
          <t>VÄRMLANDS LÄN</t>
        </is>
      </c>
      <c r="G736" t="inlineStr">
        <is>
          <t>HAGFORS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24895-2025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45799</v>
      </c>
      <c r="E737" s="1" t="n">
        <v>46254</v>
      </c>
      <c r="F737" t="inlineStr">
        <is>
          <t>VÄRMLANDS LÄN</t>
        </is>
      </c>
      <c r="G737" t="inlineStr">
        <is>
          <t>HAGFORS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45799</v>
      </c>
      <c r="E738" s="1" t="n">
        <v>46254</v>
      </c>
      <c r="F738" t="inlineStr">
        <is>
          <t>VÄRMLANDS LÄN</t>
        </is>
      </c>
      <c r="G738" t="inlineStr">
        <is>
          <t>HAGFORS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25031-2025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45799</v>
      </c>
      <c r="E739" s="1" t="n">
        <v>46254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33823-2025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45842</v>
      </c>
      <c r="E740" s="1" t="n">
        <v>46254</v>
      </c>
      <c r="F740" t="inlineStr">
        <is>
          <t>VÄRMLANDS LÄN</t>
        </is>
      </c>
      <c r="G740" t="inlineStr">
        <is>
          <t>HAGFORS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26463-2025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45807</v>
      </c>
      <c r="E741" s="1" t="n">
        <v>46254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16755-2025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46254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7.7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38474-2024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45546</v>
      </c>
      <c r="E743" s="1" t="n">
        <v>46254</v>
      </c>
      <c r="F743" t="inlineStr">
        <is>
          <t>VÄRMLANDS LÄN</t>
        </is>
      </c>
      <c r="G743" t="inlineStr">
        <is>
          <t>HAGFORS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45811</v>
      </c>
      <c r="E744" s="1" t="n">
        <v>46254</v>
      </c>
      <c r="F744" t="inlineStr">
        <is>
          <t>VÄRMLANDS LÄN</t>
        </is>
      </c>
      <c r="G744" t="inlineStr">
        <is>
          <t>HAGFORS</t>
        </is>
      </c>
      <c r="I744" t="n">
        <v>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52383-2024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45608</v>
      </c>
      <c r="E745" s="1" t="n">
        <v>46254</v>
      </c>
      <c r="F745" t="inlineStr">
        <is>
          <t>VÄRMLANDS LÄN</t>
        </is>
      </c>
      <c r="G745" t="inlineStr">
        <is>
          <t>HAGFORS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26617-2025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45810</v>
      </c>
      <c r="E746" s="1" t="n">
        <v>46254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26980-2025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45811</v>
      </c>
      <c r="E747" s="1" t="n">
        <v>46254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26982-2025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45811</v>
      </c>
      <c r="E748" s="1" t="n">
        <v>46254</v>
      </c>
      <c r="F748" t="inlineStr">
        <is>
          <t>VÄRMLANDS LÄN</t>
        </is>
      </c>
      <c r="G748" t="inlineStr">
        <is>
          <t>HAGFORS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27263-2025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45812</v>
      </c>
      <c r="E749" s="1" t="n">
        <v>46254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27229-2025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46254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27319-2025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45812</v>
      </c>
      <c r="E751" s="1" t="n">
        <v>46254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27119-2025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45811</v>
      </c>
      <c r="E752" s="1" t="n">
        <v>46254</v>
      </c>
      <c r="F752" t="inlineStr">
        <is>
          <t>VÄRMLANDS LÄN</t>
        </is>
      </c>
      <c r="G752" t="inlineStr">
        <is>
          <t>HAGFORS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27181-2025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45812</v>
      </c>
      <c r="E753" s="1" t="n">
        <v>46254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27195-2025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45812</v>
      </c>
      <c r="E754" s="1" t="n">
        <v>46254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50922-2023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45211</v>
      </c>
      <c r="E755" s="1" t="n">
        <v>46254</v>
      </c>
      <c r="F755" t="inlineStr">
        <is>
          <t>VÄRMLANDS LÄN</t>
        </is>
      </c>
      <c r="G755" t="inlineStr">
        <is>
          <t>HAGFORS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28437-2025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45819</v>
      </c>
      <c r="E756" s="1" t="n">
        <v>46254</v>
      </c>
      <c r="F756" t="inlineStr">
        <is>
          <t>VÄRMLANDS LÄN</t>
        </is>
      </c>
      <c r="G756" t="inlineStr">
        <is>
          <t>HAGFORS</t>
        </is>
      </c>
      <c r="H756" t="inlineStr">
        <is>
          <t>Kyrkan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28309-2025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46254</v>
      </c>
      <c r="F757" t="inlineStr">
        <is>
          <t>VÄRMLANDS LÄN</t>
        </is>
      </c>
      <c r="G757" t="inlineStr">
        <is>
          <t>HAGFORS</t>
        </is>
      </c>
      <c r="H757" t="inlineStr">
        <is>
          <t>Kyrkan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45821</v>
      </c>
      <c r="E758" s="1" t="n">
        <v>46254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29115-2025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45821</v>
      </c>
      <c r="E759" s="1" t="n">
        <v>46254</v>
      </c>
      <c r="F759" t="inlineStr">
        <is>
          <t>VÄRMLANDS LÄN</t>
        </is>
      </c>
      <c r="G759" t="inlineStr">
        <is>
          <t>HAGFORS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30124-2025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45826</v>
      </c>
      <c r="E760" s="1" t="n">
        <v>46254</v>
      </c>
      <c r="F760" t="inlineStr">
        <is>
          <t>VÄRMLANDS LÄN</t>
        </is>
      </c>
      <c r="G760" t="inlineStr">
        <is>
          <t>HAGFORS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29949-2025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45826</v>
      </c>
      <c r="E761" s="1" t="n">
        <v>46254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45826</v>
      </c>
      <c r="E762" s="1" t="n">
        <v>46254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6.8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30778-2025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45831</v>
      </c>
      <c r="E763" s="1" t="n">
        <v>46254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33364-2025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45841</v>
      </c>
      <c r="E764" s="1" t="n">
        <v>46254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33440-2025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45841</v>
      </c>
      <c r="E765" s="1" t="n">
        <v>46254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33454-2025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46254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34107-2025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45845</v>
      </c>
      <c r="E767" s="1" t="n">
        <v>46254</v>
      </c>
      <c r="F767" t="inlineStr">
        <is>
          <t>VÄRMLANDS LÄN</t>
        </is>
      </c>
      <c r="G767" t="inlineStr">
        <is>
          <t>HAGFORS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34133-2025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45845</v>
      </c>
      <c r="E768" s="1" t="n">
        <v>46254</v>
      </c>
      <c r="F768" t="inlineStr">
        <is>
          <t>VÄRMLANDS LÄN</t>
        </is>
      </c>
      <c r="G768" t="inlineStr">
        <is>
          <t>HAGFORS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45845</v>
      </c>
      <c r="E769" s="1" t="n">
        <v>46254</v>
      </c>
      <c r="F769" t="inlineStr">
        <is>
          <t>VÄRMLANDS LÄN</t>
        </is>
      </c>
      <c r="G769" t="inlineStr">
        <is>
          <t>HAGFORS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19515-2025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45770</v>
      </c>
      <c r="E770" s="1" t="n">
        <v>46254</v>
      </c>
      <c r="F770" t="inlineStr">
        <is>
          <t>VÄRMLANDS LÄN</t>
        </is>
      </c>
      <c r="G770" t="inlineStr">
        <is>
          <t>HAGFORS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42801-2024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45565</v>
      </c>
      <c r="E771" s="1" t="n">
        <v>46254</v>
      </c>
      <c r="F771" t="inlineStr">
        <is>
          <t>VÄRMLANDS LÄN</t>
        </is>
      </c>
      <c r="G771" t="inlineStr">
        <is>
          <t>HAGFORS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21954-2025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45784</v>
      </c>
      <c r="E772" s="1" t="n">
        <v>46254</v>
      </c>
      <c r="F772" t="inlineStr">
        <is>
          <t>VÄRMLANDS LÄN</t>
        </is>
      </c>
      <c r="G772" t="inlineStr">
        <is>
          <t>HAGFORS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35312-2025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45854</v>
      </c>
      <c r="E773" s="1" t="n">
        <v>46254</v>
      </c>
      <c r="F773" t="inlineStr">
        <is>
          <t>VÄRMLANDS LÄN</t>
        </is>
      </c>
      <c r="G773" t="inlineStr">
        <is>
          <t>HAGFORS</t>
        </is>
      </c>
      <c r="H773" t="inlineStr">
        <is>
          <t>Kyrkan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35289-2025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45854</v>
      </c>
      <c r="E774" s="1" t="n">
        <v>46254</v>
      </c>
      <c r="F774" t="inlineStr">
        <is>
          <t>VÄRMLANDS LÄN</t>
        </is>
      </c>
      <c r="G774" t="inlineStr">
        <is>
          <t>HAGFORS</t>
        </is>
      </c>
      <c r="H774" t="inlineStr">
        <is>
          <t>Kyrkan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23813-2025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46254</v>
      </c>
      <c r="F775" t="inlineStr">
        <is>
          <t>VÄRMLANDS LÄN</t>
        </is>
      </c>
      <c r="G775" t="inlineStr">
        <is>
          <t>HAGFORS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32604-2025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45838</v>
      </c>
      <c r="E776" s="1" t="n">
        <v>46254</v>
      </c>
      <c r="F776" t="inlineStr">
        <is>
          <t>VÄRMLANDS LÄN</t>
        </is>
      </c>
      <c r="G776" t="inlineStr">
        <is>
          <t>HAGFORS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29269-2025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45824</v>
      </c>
      <c r="E777" s="1" t="n">
        <v>46254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37027-2025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45874</v>
      </c>
      <c r="E778" s="1" t="n">
        <v>46254</v>
      </c>
      <c r="F778" t="inlineStr">
        <is>
          <t>VÄRMLANDS LÄN</t>
        </is>
      </c>
      <c r="G778" t="inlineStr">
        <is>
          <t>HAGFORS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43558-2024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45569</v>
      </c>
      <c r="E779" s="1" t="n">
        <v>46254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8830-2024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45356</v>
      </c>
      <c r="E780" s="1" t="n">
        <v>46254</v>
      </c>
      <c r="F780" t="inlineStr">
        <is>
          <t>VÄRMLANDS LÄN</t>
        </is>
      </c>
      <c r="G780" t="inlineStr">
        <is>
          <t>HAGFORS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16153-2025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45750</v>
      </c>
      <c r="E781" s="1" t="n">
        <v>46254</v>
      </c>
      <c r="F781" t="inlineStr">
        <is>
          <t>VÄRMLANDS LÄN</t>
        </is>
      </c>
      <c r="G781" t="inlineStr">
        <is>
          <t>HAGFORS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27185-2025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45812</v>
      </c>
      <c r="E782" s="1" t="n">
        <v>46254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2225-2020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44127</v>
      </c>
      <c r="E783" s="1" t="n">
        <v>46254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2050-2022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44671</v>
      </c>
      <c r="E784" s="1" t="n">
        <v>46254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4419-2023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45266</v>
      </c>
      <c r="E785" s="1" t="n">
        <v>46254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35.6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4420-2023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45266</v>
      </c>
      <c r="E786" s="1" t="n">
        <v>46254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937-2022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44606</v>
      </c>
      <c r="E787" s="1" t="n">
        <v>46254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59.4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4426-2023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45266</v>
      </c>
      <c r="E788" s="1" t="n">
        <v>46254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9.699999999999999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5512-2022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44834</v>
      </c>
      <c r="E789" s="1" t="n">
        <v>46254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29.9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931-2022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46254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49.5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4415-2023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46254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9.199999999999999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262-2022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44578</v>
      </c>
      <c r="E792" s="1" t="n">
        <v>46254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78.90000000000001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6970-2022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44901</v>
      </c>
      <c r="E793" s="1" t="n">
        <v>46254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29.3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4408-2023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46254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6968-2022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44901</v>
      </c>
      <c r="E795" s="1" t="n">
        <v>46254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19.3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4423-2023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46254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4418-2023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46254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19.1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907-2022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46254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651-2024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45356</v>
      </c>
      <c r="E799" s="1" t="n">
        <v>46254</v>
      </c>
      <c r="F799" t="inlineStr">
        <is>
          <t>VÄRMLANDS LÄN</t>
        </is>
      </c>
      <c r="G799" t="inlineStr">
        <is>
          <t>HAGFORS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913-2022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46254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4145-2023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45247</v>
      </c>
      <c r="E801" s="1" t="n">
        <v>46254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6967-2022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44901</v>
      </c>
      <c r="E802" s="1" t="n">
        <v>46254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89-2025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45316</v>
      </c>
      <c r="E803" s="1" t="n">
        <v>46254</v>
      </c>
      <c r="F803" t="inlineStr">
        <is>
          <t>VÄRMLANDS LÄN</t>
        </is>
      </c>
      <c r="G803" t="inlineStr">
        <is>
          <t>HAGFORS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6969-2022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46254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220-2025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45680</v>
      </c>
      <c r="E805" s="1" t="n">
        <v>46254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898-2022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44606</v>
      </c>
      <c r="E806" s="1" t="n">
        <v>46254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4150-2023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45247</v>
      </c>
      <c r="E807" s="1" t="n">
        <v>46254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4410-2023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46254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39.3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900-2022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44606</v>
      </c>
      <c r="E809" s="1" t="n">
        <v>46254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914-2022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46254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4409-2023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46254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4155-2023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4140-2023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46254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6977-2022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46254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6973-2022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46254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4143-2023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46254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4407-2023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46254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6965-2022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46254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662-2025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45716</v>
      </c>
      <c r="E819" s="1" t="n">
        <v>46254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52.4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108-2026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46037</v>
      </c>
      <c r="E820" s="1" t="n">
        <v>46254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204.4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46036</v>
      </c>
      <c r="E821" s="1" t="n">
        <v>46254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57.9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46013</v>
      </c>
      <c r="E822" s="1" t="n">
        <v>46254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382-2025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45691</v>
      </c>
      <c r="E823" s="1" t="n">
        <v>46254</v>
      </c>
      <c r="F823" t="inlineStr">
        <is>
          <t>VÄRMLANDS LÄN</t>
        </is>
      </c>
      <c r="G823" t="inlineStr">
        <is>
          <t>HAGFORS</t>
        </is>
      </c>
      <c r="I823" t="n">
        <v>5.8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2026-08-20T01:52:14Z</dcterms:created>
  <dcterms:modified xmlns:dcterms="http://purl.org/dc/terms/" xmlns:xsi="http://www.w3.org/2001/XMLSchema-instance" xsi:type="dcterms:W3CDTF">2026-08-20T01:52:14Z</dcterms:modified>
</cp:coreProperties>
</file>