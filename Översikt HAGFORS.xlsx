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46314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46314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46314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46314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46314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46314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46314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46314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46314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46314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46314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46314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46314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46314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46314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46314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46314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46314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16319-2023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45028</v>
      </c>
      <c r="E40" s="1" t="n">
        <v>46314</v>
      </c>
      <c r="F40" t="inlineStr">
        <is>
          <t>VÄRMLANDS LÄN</t>
        </is>
      </c>
      <c r="G40" t="inlineStr">
        <is>
          <t>HAGFORS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HYPERLINK("https://klasma.github.io/Logging_1783/artfynd/A 16319-2023 artfynd.xlsx", "A 16319-2023")</f>
        <v/>
      </c>
      <c r="X40">
        <f>HYPERLINK("https://klasma.github.io/Logging_1783/kartor/A 16319-2023 karta.png", "A 16319-2023")</f>
        <v/>
      </c>
      <c r="Y40">
        <f>HYPERLINK("https://klasma.github.io/Logging_1783/kartor_geotiff/A 16319-2023 georefererad karta.tif", "A 16319-2023")</f>
        <v/>
      </c>
      <c r="AA40">
        <f>HYPERLINK("https://klasma.github.io/Logging_1783/klagomål/A 16319-2023 FSC-klagomål.docx", "A 16319-2023")</f>
        <v/>
      </c>
      <c r="AB40">
        <f>HYPERLINK("https://klasma.github.io/Logging_1783/klagomålsmail/A 16319-2023 FSC-klagomål mail.docx", "A 16319-2023")</f>
        <v/>
      </c>
      <c r="AC40">
        <f>HYPERLINK("https://klasma.github.io/Logging_1783/tillsyn/A 16319-2023 tillsynsbegäran.docx", "A 16319-2023")</f>
        <v/>
      </c>
      <c r="AD40">
        <f>HYPERLINK("https://klasma.github.io/Logging_1783/tillsynsmail/A 16319-2023 tillsynsbegäran mail.docx", "A 16319-2023")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24659-2026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46314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24659-2026 artfynd.xlsx", "A 24659-2026")</f>
        <v/>
      </c>
      <c r="X42">
        <f>HYPERLINK("https://klasma.github.io/Logging_1783/kartor/A 24659-2026 karta.png", "A 24659-2026")</f>
        <v/>
      </c>
      <c r="Y42">
        <f>HYPERLINK("https://klasma.github.io/Logging_1783/kartor_geotiff/A 24659-2026 georefererad karta.tif", "A 24659-2026")</f>
        <v/>
      </c>
      <c r="AA42">
        <f>HYPERLINK("https://klasma.github.io/Logging_1783/klagomål/A 24659-2026 FSC-klagomål.docx", "A 24659-2026")</f>
        <v/>
      </c>
      <c r="AB42">
        <f>HYPERLINK("https://klasma.github.io/Logging_1783/klagomålsmail/A 24659-2026 FSC-klagomål mail.docx", "A 24659-2026")</f>
        <v/>
      </c>
      <c r="AC42">
        <f>HYPERLINK("https://klasma.github.io/Logging_1783/tillsyn/A 24659-2026 tillsynsbegäran.docx", "A 24659-2026")</f>
        <v/>
      </c>
      <c r="AD42">
        <f>HYPERLINK("https://klasma.github.io/Logging_1783/tillsynsmail/A 24659-2026 tillsynsbegäran mail.docx", "A 24659-2026")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46314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24716-2026 artfynd.xlsx", "A 24716-2026")</f>
        <v/>
      </c>
      <c r="X43">
        <f>HYPERLINK("https://klasma.github.io/Logging_1783/kartor/A 24716-2026 karta.png", "A 24716-2026")</f>
        <v/>
      </c>
      <c r="Y43">
        <f>HYPERLINK("https://klasma.github.io/Logging_1783/kartor_geotiff/A 24716-2026 georefererad karta.tif", "A 24716-2026")</f>
        <v/>
      </c>
      <c r="AA43">
        <f>HYPERLINK("https://klasma.github.io/Logging_1783/klagomål/A 24716-2026 FSC-klagomål.docx", "A 24716-2026")</f>
        <v/>
      </c>
      <c r="AB43">
        <f>HYPERLINK("https://klasma.github.io/Logging_1783/klagomålsmail/A 24716-2026 FSC-klagomål mail.docx", "A 24716-2026")</f>
        <v/>
      </c>
      <c r="AC43">
        <f>HYPERLINK("https://klasma.github.io/Logging_1783/tillsyn/A 24716-2026 tillsynsbegäran.docx", "A 24716-2026")</f>
        <v/>
      </c>
      <c r="AD43">
        <f>HYPERLINK("https://klasma.github.io/Logging_1783/tillsynsmail/A 24716-2026 tillsynsbegäran mail.docx", "A 24716-2026")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46314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26189-2026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46314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Sävsparv</t>
        </is>
      </c>
      <c r="W45">
        <f>HYPERLINK("https://klasma.github.io/Logging_1783/artfynd/A 26189-2026 artfynd.xlsx", "A 26189-2026")</f>
        <v/>
      </c>
      <c r="X45">
        <f>HYPERLINK("https://klasma.github.io/Logging_1783/kartor/A 26189-2026 karta.png", "A 26189-2026")</f>
        <v/>
      </c>
      <c r="Y45">
        <f>HYPERLINK("https://klasma.github.io/Logging_1783/kartor_geotiff/A 26189-2026 georefererad karta.tif", "A 26189-2026")</f>
        <v/>
      </c>
      <c r="AA45">
        <f>HYPERLINK("https://klasma.github.io/Logging_1783/klagomål/A 26189-2026 FSC-klagomål.docx", "A 26189-2026")</f>
        <v/>
      </c>
      <c r="AB45">
        <f>HYPERLINK("https://klasma.github.io/Logging_1783/klagomålsmail/A 26189-2026 FSC-klagomål mail.docx", "A 26189-2026")</f>
        <v/>
      </c>
      <c r="AC45">
        <f>HYPERLINK("https://klasma.github.io/Logging_1783/tillsyn/A 26189-2026 tillsynsbegäran.docx", "A 26189-2026")</f>
        <v/>
      </c>
      <c r="AD45">
        <f>HYPERLINK("https://klasma.github.io/Logging_1783/tillsynsmail/A 26189-2026 tillsynsbegäran mail.docx", "A 26189-2026")</f>
        <v/>
      </c>
      <c r="AE45">
        <f>HYPERLINK("https://klasma.github.io/Logging_1783/fåglar/A 26189-2026 prioriterade fågelarter.docx", "A 26189-2026")</f>
        <v/>
      </c>
    </row>
    <row r="46" ht="15" customHeight="1">
      <c r="A46" t="inlineStr">
        <is>
          <t>A 30524-2022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44762</v>
      </c>
      <c r="E46" s="1" t="n">
        <v>46314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Kolflarnlav</t>
        </is>
      </c>
      <c r="W46">
        <f>HYPERLINK("https://klasma.github.io/Logging_1783/artfynd/A 30524-2022 artfynd.xlsx", "A 30524-2022")</f>
        <v/>
      </c>
      <c r="X46">
        <f>HYPERLINK("https://klasma.github.io/Logging_1783/kartor/A 30524-2022 karta.png", "A 30524-2022")</f>
        <v/>
      </c>
      <c r="Y46">
        <f>HYPERLINK("https://klasma.github.io/Logging_1783/kartor_geotiff/A 30524-2022 georefererad karta.tif", "A 30524-2022")</f>
        <v/>
      </c>
      <c r="AA46">
        <f>HYPERLINK("https://klasma.github.io/Logging_1783/klagomål/A 30524-2022 FSC-klagomål.docx", "A 30524-2022")</f>
        <v/>
      </c>
      <c r="AB46">
        <f>HYPERLINK("https://klasma.github.io/Logging_1783/klagomålsmail/A 30524-2022 FSC-klagomål mail.docx", "A 30524-2022")</f>
        <v/>
      </c>
      <c r="AC46">
        <f>HYPERLINK("https://klasma.github.io/Logging_1783/tillsyn/A 30524-2022 tillsynsbegäran.docx", "A 30524-2022")</f>
        <v/>
      </c>
      <c r="AD46">
        <f>HYPERLINK("https://klasma.github.io/Logging_1783/tillsynsmail/A 30524-2022 tillsynsbegäran mail.docx", "A 30524-2022")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46314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46314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46314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HYPERLINK("https://klasma.github.io/Logging_1783/artfynd/A 38267-2024 artfynd.xlsx", "A 38267-2024")</f>
        <v/>
      </c>
      <c r="X50">
        <f>HYPERLINK("https://klasma.github.io/Logging_1783/kartor/A 38267-2024 karta.png", "A 38267-2024")</f>
        <v/>
      </c>
      <c r="Y50">
        <f>HYPERLINK("https://klasma.github.io/Logging_1783/kartor_geotiff/A 38267-2024 georefererad karta.tif", "A 38267-2024")</f>
        <v/>
      </c>
      <c r="AA50">
        <f>HYPERLINK("https://klasma.github.io/Logging_1783/klagomål/A 38267-2024 FSC-klagomål.docx", "A 38267-2024")</f>
        <v/>
      </c>
      <c r="AB50">
        <f>HYPERLINK("https://klasma.github.io/Logging_1783/klagomålsmail/A 38267-2024 FSC-klagomål mail.docx", "A 38267-2024")</f>
        <v/>
      </c>
      <c r="AC50">
        <f>HYPERLINK("https://klasma.github.io/Logging_1783/tillsyn/A 38267-2024 tillsynsbegäran.docx", "A 38267-2024")</f>
        <v/>
      </c>
      <c r="AD50">
        <f>HYPERLINK("https://klasma.github.io/Logging_1783/tillsynsmail/A 38267-2024 tillsynsbegäran mail.docx", "A 38267-2024")</f>
        <v/>
      </c>
    </row>
    <row r="51" ht="15" customHeight="1">
      <c r="A51" t="inlineStr">
        <is>
          <t>A 56083-2022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46314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19.1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Dropptaggsvamp</t>
        </is>
      </c>
      <c r="W51">
        <f>HYPERLINK("https://klasma.github.io/Logging_1783/artfynd/A 56083-2022 artfynd.xlsx", "A 56083-2022")</f>
        <v/>
      </c>
      <c r="X51">
        <f>HYPERLINK("https://klasma.github.io/Logging_1783/kartor/A 56083-2022 karta.png", "A 56083-2022")</f>
        <v/>
      </c>
      <c r="Y51">
        <f>HYPERLINK("https://klasma.github.io/Logging_1783/kartor_geotiff/A 56083-2022 georefererad karta.tif", "A 56083-2022")</f>
        <v/>
      </c>
      <c r="AA51">
        <f>HYPERLINK("https://klasma.github.io/Logging_1783/klagomål/A 56083-2022 FSC-klagomål.docx", "A 56083-2022")</f>
        <v/>
      </c>
      <c r="AB51">
        <f>HYPERLINK("https://klasma.github.io/Logging_1783/klagomålsmail/A 56083-2022 FSC-klagomål mail.docx", "A 56083-2022")</f>
        <v/>
      </c>
      <c r="AC51">
        <f>HYPERLINK("https://klasma.github.io/Logging_1783/tillsyn/A 56083-2022 tillsynsbegäran.docx", "A 56083-2022")</f>
        <v/>
      </c>
      <c r="AD51">
        <f>HYPERLINK("https://klasma.github.io/Logging_1783/tillsynsmail/A 56083-2022 tillsynsbegäran mail.docx", "A 56083-2022")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46314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46314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46314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46314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40211-2026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46290</v>
      </c>
      <c r="E56" s="1" t="n">
        <v>46314</v>
      </c>
      <c r="F56" t="inlineStr">
        <is>
          <t>VÄRMLANDS LÄN</t>
        </is>
      </c>
      <c r="G56" t="inlineStr">
        <is>
          <t>HAGFORS</t>
        </is>
      </c>
      <c r="I56" t="n">
        <v>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HYPERLINK("https://klasma.github.io/Logging_1783/artfynd/A 40211-2026 artfynd.xlsx", "A 40211-2026")</f>
        <v/>
      </c>
      <c r="X56">
        <f>HYPERLINK("https://klasma.github.io/Logging_1783/kartor/A 40211-2026 karta.png", "A 40211-2026")</f>
        <v/>
      </c>
      <c r="Y56">
        <f>HYPERLINK("https://klasma.github.io/Logging_1783/kartor_geotiff/A 40211-2026 georefererad karta.tif", "A 40211-2026")</f>
        <v/>
      </c>
      <c r="AA56">
        <f>HYPERLINK("https://klasma.github.io/Logging_1783/klagomål/A 40211-2026 FSC-klagomål.docx", "A 40211-2026")</f>
        <v/>
      </c>
      <c r="AB56">
        <f>HYPERLINK("https://klasma.github.io/Logging_1783/klagomålsmail/A 40211-2026 FSC-klagomål mail.docx", "A 40211-2026")</f>
        <v/>
      </c>
      <c r="AC56">
        <f>HYPERLINK("https://klasma.github.io/Logging_1783/tillsyn/A 40211-2026 tillsynsbegäran.docx", "A 40211-2026")</f>
        <v/>
      </c>
      <c r="AD56">
        <f>HYPERLINK("https://klasma.github.io/Logging_1783/tillsynsmail/A 40211-2026 tillsynsbegäran mail.docx", "A 40211-2026")</f>
        <v/>
      </c>
    </row>
    <row r="57" ht="15" customHeight="1">
      <c r="A57" t="inlineStr">
        <is>
          <t>A 22484-2025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46314</v>
      </c>
      <c r="F57" t="inlineStr">
        <is>
          <t>VÄRMLANDS LÄN</t>
        </is>
      </c>
      <c r="G57" t="inlineStr">
        <is>
          <t>HAGFORS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HYPERLINK("https://klasma.github.io/Logging_1783/artfynd/A 22484-2025 artfynd.xlsx", "A 22484-2025")</f>
        <v/>
      </c>
      <c r="X57">
        <f>HYPERLINK("https://klasma.github.io/Logging_1783/kartor/A 22484-2025 karta.png", "A 22484-2025")</f>
        <v/>
      </c>
      <c r="Y57">
        <f>HYPERLINK("https://klasma.github.io/Logging_1783/kartor_geotiff/A 22484-2025 georefererad karta.tif", "A 22484-2025")</f>
        <v/>
      </c>
      <c r="AA57">
        <f>HYPERLINK("https://klasma.github.io/Logging_1783/klagomål/A 22484-2025 FSC-klagomål.docx", "A 22484-2025")</f>
        <v/>
      </c>
      <c r="AB57">
        <f>HYPERLINK("https://klasma.github.io/Logging_1783/klagomålsmail/A 22484-2025 FSC-klagomål mail.docx", "A 22484-2025")</f>
        <v/>
      </c>
      <c r="AC57">
        <f>HYPERLINK("https://klasma.github.io/Logging_1783/tillsyn/A 22484-2025 tillsynsbegäran.docx", "A 22484-2025")</f>
        <v/>
      </c>
      <c r="AD57">
        <f>HYPERLINK("https://klasma.github.io/Logging_1783/tillsynsmail/A 22484-2025 tillsynsbegäran mail.docx", "A 22484-2025")</f>
        <v/>
      </c>
    </row>
    <row r="58" ht="15" customHeight="1">
      <c r="A58" t="inlineStr">
        <is>
          <t>A 3199-2022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46314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3199-2022 artfynd.xlsx", "A 3199-2022")</f>
        <v/>
      </c>
      <c r="X58">
        <f>HYPERLINK("https://klasma.github.io/Logging_1783/kartor/A 3199-2022 karta.png", "A 3199-2022")</f>
        <v/>
      </c>
      <c r="Y58">
        <f>HYPERLINK("https://klasma.github.io/Logging_1783/kartor_geotiff/A 3199-2022 georefererad karta.tif", "A 3199-2022")</f>
        <v/>
      </c>
      <c r="AA58">
        <f>HYPERLINK("https://klasma.github.io/Logging_1783/klagomål/A 3199-2022 FSC-klagomål.docx", "A 3199-2022")</f>
        <v/>
      </c>
      <c r="AB58">
        <f>HYPERLINK("https://klasma.github.io/Logging_1783/klagomålsmail/A 3199-2022 FSC-klagomål mail.docx", "A 3199-2022")</f>
        <v/>
      </c>
      <c r="AC58">
        <f>HYPERLINK("https://klasma.github.io/Logging_1783/tillsyn/A 3199-2022 tillsynsbegäran.docx", "A 3199-2022")</f>
        <v/>
      </c>
      <c r="AD58">
        <f>HYPERLINK("https://klasma.github.io/Logging_1783/tillsynsmail/A 3199-2022 tillsynsbegäran mail.docx", "A 3199-2022")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46314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46314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26624-2025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45810</v>
      </c>
      <c r="E61" s="1" t="n">
        <v>46314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HYPERLINK("https://klasma.github.io/Logging_1783/artfynd/A 26624-2025 artfynd.xlsx", "A 26624-2025")</f>
        <v/>
      </c>
      <c r="X61">
        <f>HYPERLINK("https://klasma.github.io/Logging_1783/kartor/A 26624-2025 karta.png", "A 26624-2025")</f>
        <v/>
      </c>
      <c r="Y61">
        <f>HYPERLINK("https://klasma.github.io/Logging_1783/kartor_geotiff/A 26624-2025 georefererad karta.tif", "A 26624-2025")</f>
        <v/>
      </c>
      <c r="AA61">
        <f>HYPERLINK("https://klasma.github.io/Logging_1783/klagomål/A 26624-2025 FSC-klagomål.docx", "A 26624-2025")</f>
        <v/>
      </c>
      <c r="AB61">
        <f>HYPERLINK("https://klasma.github.io/Logging_1783/klagomålsmail/A 26624-2025 FSC-klagomål mail.docx", "A 26624-2025")</f>
        <v/>
      </c>
      <c r="AC61">
        <f>HYPERLINK("https://klasma.github.io/Logging_1783/tillsyn/A 26624-2025 tillsynsbegäran.docx", "A 26624-2025")</f>
        <v/>
      </c>
      <c r="AD61">
        <f>HYPERLINK("https://klasma.github.io/Logging_1783/tillsynsmail/A 26624-2025 tillsynsbegäran mail.docx", "A 26624-2025")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46314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46314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33848-2025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45842</v>
      </c>
      <c r="E64" s="1" t="n">
        <v>46314</v>
      </c>
      <c r="F64" t="inlineStr">
        <is>
          <t>VÄRMLANDS LÄN</t>
        </is>
      </c>
      <c r="G64" t="inlineStr">
        <is>
          <t>HAGFORS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33848-2025 artfynd.xlsx", "A 33848-2025")</f>
        <v/>
      </c>
      <c r="X64">
        <f>HYPERLINK("https://klasma.github.io/Logging_1783/kartor/A 33848-2025 karta.png", "A 33848-2025")</f>
        <v/>
      </c>
      <c r="Y64">
        <f>HYPERLINK("https://klasma.github.io/Logging_1783/kartor_geotiff/A 33848-2025 georefererad karta.tif", "A 33848-2025")</f>
        <v/>
      </c>
      <c r="AA64">
        <f>HYPERLINK("https://klasma.github.io/Logging_1783/klagomål/A 33848-2025 FSC-klagomål.docx", "A 33848-2025")</f>
        <v/>
      </c>
      <c r="AB64">
        <f>HYPERLINK("https://klasma.github.io/Logging_1783/klagomålsmail/A 33848-2025 FSC-klagomål mail.docx", "A 33848-2025")</f>
        <v/>
      </c>
      <c r="AC64">
        <f>HYPERLINK("https://klasma.github.io/Logging_1783/tillsyn/A 33848-2025 tillsynsbegäran.docx", "A 33848-2025")</f>
        <v/>
      </c>
      <c r="AD64">
        <f>HYPERLINK("https://klasma.github.io/Logging_1783/tillsynsmail/A 33848-2025 tillsynsbegäran mail.docx", "A 33848-2025")</f>
        <v/>
      </c>
    </row>
    <row r="65" ht="15" customHeight="1">
      <c r="A65" t="inlineStr">
        <is>
          <t>A 33905-2025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45842</v>
      </c>
      <c r="E65" s="1" t="n">
        <v>46314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7.8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HYPERLINK("https://klasma.github.io/Logging_1783/artfynd/A 33905-2025 artfynd.xlsx", "A 33905-2025")</f>
        <v/>
      </c>
      <c r="X65">
        <f>HYPERLINK("https://klasma.github.io/Logging_1783/kartor/A 33905-2025 karta.png", "A 33905-2025")</f>
        <v/>
      </c>
      <c r="Y65">
        <f>HYPERLINK("https://klasma.github.io/Logging_1783/kartor_geotiff/A 33905-2025 georefererad karta.tif", "A 33905-2025")</f>
        <v/>
      </c>
      <c r="AA65">
        <f>HYPERLINK("https://klasma.github.io/Logging_1783/klagomål/A 33905-2025 FSC-klagomål.docx", "A 33905-2025")</f>
        <v/>
      </c>
      <c r="AB65">
        <f>HYPERLINK("https://klasma.github.io/Logging_1783/klagomålsmail/A 33905-2025 FSC-klagomål mail.docx", "A 33905-2025")</f>
        <v/>
      </c>
      <c r="AC65">
        <f>HYPERLINK("https://klasma.github.io/Logging_1783/tillsyn/A 33905-2025 tillsynsbegäran.docx", "A 33905-2025")</f>
        <v/>
      </c>
      <c r="AD65">
        <f>HYPERLINK("https://klasma.github.io/Logging_1783/tillsynsmail/A 33905-2025 tillsynsbegäran mail.docx", "A 33905-2025")</f>
        <v/>
      </c>
    </row>
    <row r="66" ht="15" customHeight="1">
      <c r="A66" t="inlineStr">
        <is>
          <t>A 20119-2025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45772</v>
      </c>
      <c r="E66" s="1" t="n">
        <v>46314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HYPERLINK("https://klasma.github.io/Logging_1783/artfynd/A 20119-2025 artfynd.xlsx", "A 20119-2025")</f>
        <v/>
      </c>
      <c r="X66">
        <f>HYPERLINK("https://klasma.github.io/Logging_1783/kartor/A 20119-2025 karta.png", "A 20119-2025")</f>
        <v/>
      </c>
      <c r="Y66">
        <f>HYPERLINK("https://klasma.github.io/Logging_1783/kartor_geotiff/A 20119-2025 georefererad karta.tif", "A 20119-2025")</f>
        <v/>
      </c>
      <c r="AA66">
        <f>HYPERLINK("https://klasma.github.io/Logging_1783/klagomål/A 20119-2025 FSC-klagomål.docx", "A 20119-2025")</f>
        <v/>
      </c>
      <c r="AB66">
        <f>HYPERLINK("https://klasma.github.io/Logging_1783/klagomålsmail/A 20119-2025 FSC-klagomål mail.docx", "A 20119-2025")</f>
        <v/>
      </c>
      <c r="AC66">
        <f>HYPERLINK("https://klasma.github.io/Logging_1783/tillsyn/A 20119-2025 tillsynsbegäran.docx", "A 20119-2025")</f>
        <v/>
      </c>
      <c r="AD66">
        <f>HYPERLINK("https://klasma.github.io/Logging_1783/tillsynsmail/A 20119-2025 tillsynsbegäran mail.docx", "A 20119-2025")</f>
        <v/>
      </c>
      <c r="AE66">
        <f>HYPERLINK("https://klasma.github.io/Logging_1783/fåglar/A 20119-2025 prioriterade fågelarter.docx", "A 20119-2025")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46314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46314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46314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46314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46314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46314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46314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46314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46314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46314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46314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46314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46314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46314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46314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46314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46314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46314</v>
      </c>
      <c r="F114" t="inlineStr">
        <is>
          <t>VÄRMLANDS LÄN</t>
        </is>
      </c>
      <c r="G114" t="inlineStr">
        <is>
          <t>HAGFORS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46314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46314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46314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46314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46314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46314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46314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46314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46314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46314</v>
      </c>
      <c r="F124" t="inlineStr">
        <is>
          <t>VÄRMLANDS LÄN</t>
        </is>
      </c>
      <c r="G124" t="inlineStr">
        <is>
          <t>HAGFORS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46314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45037</v>
      </c>
      <c r="E126" s="1" t="n">
        <v>46314</v>
      </c>
      <c r="F126" t="inlineStr">
        <is>
          <t>VÄRMLANDS LÄN</t>
        </is>
      </c>
      <c r="G126" t="inlineStr">
        <is>
          <t>HAGFORS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46314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46314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46314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58210-2022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44901</v>
      </c>
      <c r="E130" s="1" t="n">
        <v>46314</v>
      </c>
      <c r="F130" t="inlineStr">
        <is>
          <t>VÄRMLANDS LÄN</t>
        </is>
      </c>
      <c r="G130" t="inlineStr">
        <is>
          <t>HAGFORS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46314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46314</v>
      </c>
      <c r="F132" t="inlineStr">
        <is>
          <t>VÄRMLANDS LÄN</t>
        </is>
      </c>
      <c r="G132" t="inlineStr">
        <is>
          <t>HAGFORS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46314</v>
      </c>
      <c r="F133" t="inlineStr">
        <is>
          <t>VÄRMLANDS LÄN</t>
        </is>
      </c>
      <c r="G133" t="inlineStr">
        <is>
          <t>HAGFORS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46314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46314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46314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46314</v>
      </c>
      <c r="F137" t="inlineStr">
        <is>
          <t>VÄRMLANDS LÄN</t>
        </is>
      </c>
      <c r="G137" t="inlineStr">
        <is>
          <t>HAGFORS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60221-2023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45258</v>
      </c>
      <c r="E138" s="1" t="n">
        <v>46314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46314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46314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46314</v>
      </c>
      <c r="F141" t="inlineStr">
        <is>
          <t>VÄRMLANDS LÄN</t>
        </is>
      </c>
      <c r="G141" t="inlineStr">
        <is>
          <t>HAGFORS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46314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46314</v>
      </c>
      <c r="F143" t="inlineStr">
        <is>
          <t>VÄRMLANDS LÄN</t>
        </is>
      </c>
      <c r="G143" t="inlineStr">
        <is>
          <t>HAGFORS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46314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46314</v>
      </c>
      <c r="F145" t="inlineStr">
        <is>
          <t>VÄRMLANDS LÄN</t>
        </is>
      </c>
      <c r="G145" t="inlineStr">
        <is>
          <t>HAGFORS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46314</v>
      </c>
      <c r="F146" t="inlineStr">
        <is>
          <t>VÄRMLANDS LÄN</t>
        </is>
      </c>
      <c r="G146" t="inlineStr">
        <is>
          <t>HAGFORS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46314</v>
      </c>
      <c r="F147" t="inlineStr">
        <is>
          <t>VÄRMLANDS LÄN</t>
        </is>
      </c>
      <c r="G147" t="inlineStr">
        <is>
          <t>HAGFORS</t>
        </is>
      </c>
      <c r="H147" t="inlineStr">
        <is>
          <t>Kommuner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46314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46314</v>
      </c>
      <c r="F149" t="inlineStr">
        <is>
          <t>VÄRMLANDS LÄN</t>
        </is>
      </c>
      <c r="G149" t="inlineStr">
        <is>
          <t>HAGFORS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46314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46314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46314</v>
      </c>
      <c r="F152" t="inlineStr">
        <is>
          <t>VÄRMLANDS LÄN</t>
        </is>
      </c>
      <c r="G152" t="inlineStr">
        <is>
          <t>HAGFORS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46314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46314</v>
      </c>
      <c r="F154" t="inlineStr">
        <is>
          <t>VÄRMLANDS LÄN</t>
        </is>
      </c>
      <c r="G154" t="inlineStr">
        <is>
          <t>HAGFORS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46314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46314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46314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46314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46314</v>
      </c>
      <c r="F159" t="inlineStr">
        <is>
          <t>VÄRMLANDS LÄN</t>
        </is>
      </c>
      <c r="G159" t="inlineStr">
        <is>
          <t>HAGFORS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61140-2023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45261</v>
      </c>
      <c r="E160" s="1" t="n">
        <v>46314</v>
      </c>
      <c r="F160" t="inlineStr">
        <is>
          <t>VÄRMLANDS LÄN</t>
        </is>
      </c>
      <c r="G160" t="inlineStr">
        <is>
          <t>HAGFORS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46314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46314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46314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46314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44566</v>
      </c>
      <c r="E165" s="1" t="n">
        <v>46314</v>
      </c>
      <c r="F165" t="inlineStr">
        <is>
          <t>VÄRMLANDS LÄN</t>
        </is>
      </c>
      <c r="G165" t="inlineStr">
        <is>
          <t>HAGFORS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57379-2022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44896</v>
      </c>
      <c r="E166" s="1" t="n">
        <v>46314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46314</v>
      </c>
      <c r="F167" t="inlineStr">
        <is>
          <t>VÄRMLANDS LÄN</t>
        </is>
      </c>
      <c r="G167" t="inlineStr">
        <is>
          <t>HAGFORS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46314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46314</v>
      </c>
      <c r="F169" t="inlineStr">
        <is>
          <t>VÄRMLANDS LÄN</t>
        </is>
      </c>
      <c r="G169" t="inlineStr">
        <is>
          <t>HAGFORS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45224</v>
      </c>
      <c r="E170" s="1" t="n">
        <v>46314</v>
      </c>
      <c r="F170" t="inlineStr">
        <is>
          <t>VÄRMLANDS LÄN</t>
        </is>
      </c>
      <c r="G170" t="inlineStr">
        <is>
          <t>HAGFORS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46314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46314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46314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46314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46314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46314</v>
      </c>
      <c r="F176" t="inlineStr">
        <is>
          <t>VÄRMLANDS LÄN</t>
        </is>
      </c>
      <c r="G176" t="inlineStr">
        <is>
          <t>HAGFORS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46314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46314</v>
      </c>
      <c r="F178" t="inlineStr">
        <is>
          <t>VÄRMLANDS LÄN</t>
        </is>
      </c>
      <c r="G178" t="inlineStr">
        <is>
          <t>HAGFORS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46314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46314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46314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11104-2022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44628</v>
      </c>
      <c r="E182" s="1" t="n">
        <v>46314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46314</v>
      </c>
      <c r="F183" t="inlineStr">
        <is>
          <t>VÄRMLANDS LÄN</t>
        </is>
      </c>
      <c r="G183" t="inlineStr">
        <is>
          <t>HAGFORS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45033</v>
      </c>
      <c r="E184" s="1" t="n">
        <v>46314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46314</v>
      </c>
      <c r="F185" t="inlineStr">
        <is>
          <t>VÄRMLANDS LÄN</t>
        </is>
      </c>
      <c r="G185" t="inlineStr">
        <is>
          <t>HAGFORS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46314</v>
      </c>
      <c r="F186" t="inlineStr">
        <is>
          <t>VÄRMLANDS LÄN</t>
        </is>
      </c>
      <c r="G186" t="inlineStr">
        <is>
          <t>HAGFORS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46314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46314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46314</v>
      </c>
      <c r="F189" t="inlineStr">
        <is>
          <t>VÄRMLANDS LÄN</t>
        </is>
      </c>
      <c r="G189" t="inlineStr">
        <is>
          <t>HAGFORS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46314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46314</v>
      </c>
      <c r="F191" t="inlineStr">
        <is>
          <t>VÄRMLANDS LÄN</t>
        </is>
      </c>
      <c r="G191" t="inlineStr">
        <is>
          <t>HAGFORS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46314</v>
      </c>
      <c r="F192" t="inlineStr">
        <is>
          <t>VÄRMLANDS LÄN</t>
        </is>
      </c>
      <c r="G192" t="inlineStr">
        <is>
          <t>HAGFORS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46314</v>
      </c>
      <c r="F193" t="inlineStr">
        <is>
          <t>VÄRMLANDS LÄN</t>
        </is>
      </c>
      <c r="G193" t="inlineStr">
        <is>
          <t>HAGFORS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46314</v>
      </c>
      <c r="F194" t="inlineStr">
        <is>
          <t>VÄRMLANDS LÄN</t>
        </is>
      </c>
      <c r="G194" t="inlineStr">
        <is>
          <t>HAGFORS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46314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46314</v>
      </c>
      <c r="F196" t="inlineStr">
        <is>
          <t>VÄRMLANDS LÄN</t>
        </is>
      </c>
      <c r="G196" t="inlineStr">
        <is>
          <t>HAGFORS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46314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46314</v>
      </c>
      <c r="F198" t="inlineStr">
        <is>
          <t>VÄRMLANDS LÄN</t>
        </is>
      </c>
      <c r="G198" t="inlineStr">
        <is>
          <t>HAGFORS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46314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46314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46314</v>
      </c>
      <c r="F201" t="inlineStr">
        <is>
          <t>VÄRMLANDS LÄN</t>
        </is>
      </c>
      <c r="G201" t="inlineStr">
        <is>
          <t>HAGFORS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46314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46314</v>
      </c>
      <c r="F203" t="inlineStr">
        <is>
          <t>VÄRMLANDS LÄN</t>
        </is>
      </c>
      <c r="G203" t="inlineStr">
        <is>
          <t>HAGFORS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45783</v>
      </c>
      <c r="E204" s="1" t="n">
        <v>46314</v>
      </c>
      <c r="F204" t="inlineStr">
        <is>
          <t>VÄRMLANDS LÄN</t>
        </is>
      </c>
      <c r="G204" t="inlineStr">
        <is>
          <t>HAGFORS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46314</v>
      </c>
      <c r="F205" t="inlineStr">
        <is>
          <t>VÄRMLANDS LÄN</t>
        </is>
      </c>
      <c r="G205" t="inlineStr">
        <is>
          <t>HAGFORS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46314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46314</v>
      </c>
      <c r="F207" t="inlineStr">
        <is>
          <t>VÄRMLANDS LÄN</t>
        </is>
      </c>
      <c r="G207" t="inlineStr">
        <is>
          <t>HAGFORS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45323</v>
      </c>
      <c r="E208" s="1" t="n">
        <v>46314</v>
      </c>
      <c r="F208" t="inlineStr">
        <is>
          <t>VÄRMLANDS LÄN</t>
        </is>
      </c>
      <c r="G208" t="inlineStr">
        <is>
          <t>HAGFORS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46314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46314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46314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46314</v>
      </c>
      <c r="F212" t="inlineStr">
        <is>
          <t>VÄRMLANDS LÄN</t>
        </is>
      </c>
      <c r="G212" t="inlineStr">
        <is>
          <t>HAGFORS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46314</v>
      </c>
      <c r="F213" t="inlineStr">
        <is>
          <t>VÄRMLANDS LÄN</t>
        </is>
      </c>
      <c r="G213" t="inlineStr">
        <is>
          <t>HAGFORS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46314</v>
      </c>
      <c r="F214" t="inlineStr">
        <is>
          <t>VÄRMLANDS LÄN</t>
        </is>
      </c>
      <c r="G214" t="inlineStr">
        <is>
          <t>HAGFORS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46314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46314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46314</v>
      </c>
      <c r="F217" t="inlineStr">
        <is>
          <t>VÄRMLANDS LÄN</t>
        </is>
      </c>
      <c r="G217" t="inlineStr">
        <is>
          <t>HAGFORS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45739</v>
      </c>
      <c r="E218" s="1" t="n">
        <v>46314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46314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46314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46314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46314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46314</v>
      </c>
      <c r="F223" t="inlineStr">
        <is>
          <t>VÄRMLANDS LÄN</t>
        </is>
      </c>
      <c r="G223" t="inlineStr">
        <is>
          <t>HAGFORS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46314</v>
      </c>
      <c r="F224" t="inlineStr">
        <is>
          <t>VÄRMLANDS LÄN</t>
        </is>
      </c>
      <c r="G224" t="inlineStr">
        <is>
          <t>HAGFORS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46314</v>
      </c>
      <c r="F225" t="inlineStr">
        <is>
          <t>VÄRMLANDS LÄN</t>
        </is>
      </c>
      <c r="G225" t="inlineStr">
        <is>
          <t>HAGFORS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46314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68252-2021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44526</v>
      </c>
      <c r="E227" s="1" t="n">
        <v>46314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46314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46314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46314</v>
      </c>
      <c r="F230" t="inlineStr">
        <is>
          <t>VÄRMLANDS LÄN</t>
        </is>
      </c>
      <c r="G230" t="inlineStr">
        <is>
          <t>HAGFORS</t>
        </is>
      </c>
      <c r="H230" t="inlineStr">
        <is>
          <t>Kyrkan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46314</v>
      </c>
      <c r="F231" t="inlineStr">
        <is>
          <t>VÄRMLANDS LÄN</t>
        </is>
      </c>
      <c r="G231" t="inlineStr">
        <is>
          <t>HAGFORS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46314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46314</v>
      </c>
      <c r="F233" t="inlineStr">
        <is>
          <t>VÄRMLANDS LÄN</t>
        </is>
      </c>
      <c r="G233" t="inlineStr">
        <is>
          <t>HAGFORS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46314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46314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46314</v>
      </c>
      <c r="F236" t="inlineStr">
        <is>
          <t>VÄRMLANDS LÄN</t>
        </is>
      </c>
      <c r="G236" t="inlineStr">
        <is>
          <t>HAGFORS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41739-2025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45902</v>
      </c>
      <c r="E237" s="1" t="n">
        <v>46314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46314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46314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46314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46314</v>
      </c>
      <c r="F241" t="inlineStr">
        <is>
          <t>VÄRMLANDS LÄN</t>
        </is>
      </c>
      <c r="G241" t="inlineStr">
        <is>
          <t>HAGFORS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46314</v>
      </c>
      <c r="F242" t="inlineStr">
        <is>
          <t>VÄRMLANDS LÄN</t>
        </is>
      </c>
      <c r="G242" t="inlineStr">
        <is>
          <t>HAGFORS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20752-2026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46141</v>
      </c>
      <c r="E243" s="1" t="n">
        <v>46314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46314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46314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46314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15538-2024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45401</v>
      </c>
      <c r="E247" s="1" t="n">
        <v>46314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46314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46314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46314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46314</v>
      </c>
      <c r="F251" t="inlineStr">
        <is>
          <t>VÄRMLANDS LÄN</t>
        </is>
      </c>
      <c r="G251" t="inlineStr">
        <is>
          <t>HAGFORS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46314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46314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46314</v>
      </c>
      <c r="F254" t="inlineStr">
        <is>
          <t>VÄRMLANDS LÄN</t>
        </is>
      </c>
      <c r="G254" t="inlineStr">
        <is>
          <t>HAGFORS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46314</v>
      </c>
      <c r="F255" t="inlineStr">
        <is>
          <t>VÄRMLANDS LÄN</t>
        </is>
      </c>
      <c r="G255" t="inlineStr">
        <is>
          <t>HAGFORS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46314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46314</v>
      </c>
      <c r="F257" t="inlineStr">
        <is>
          <t>VÄRMLANDS LÄN</t>
        </is>
      </c>
      <c r="G257" t="inlineStr">
        <is>
          <t>HAGFORS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44924</v>
      </c>
      <c r="E258" s="1" t="n">
        <v>46314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46314</v>
      </c>
      <c r="F259" t="inlineStr">
        <is>
          <t>VÄRMLANDS LÄN</t>
        </is>
      </c>
      <c r="G259" t="inlineStr">
        <is>
          <t>HAGFORS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20880-2026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46142</v>
      </c>
      <c r="E260" s="1" t="n">
        <v>46314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46314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46314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46314</v>
      </c>
      <c r="F263" t="inlineStr">
        <is>
          <t>VÄRMLANDS LÄN</t>
        </is>
      </c>
      <c r="G263" t="inlineStr">
        <is>
          <t>HAGFORS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46314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46314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46314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46314</v>
      </c>
      <c r="F267" t="inlineStr">
        <is>
          <t>VÄRMLANDS LÄN</t>
        </is>
      </c>
      <c r="G267" t="inlineStr">
        <is>
          <t>HAGFORS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46314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46314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46314</v>
      </c>
      <c r="F270" t="inlineStr">
        <is>
          <t>VÄRMLANDS LÄN</t>
        </is>
      </c>
      <c r="G270" t="inlineStr">
        <is>
          <t>HAGFORS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46314</v>
      </c>
      <c r="F271" t="inlineStr">
        <is>
          <t>VÄRMLANDS LÄN</t>
        </is>
      </c>
      <c r="G271" t="inlineStr">
        <is>
          <t>HAGFORS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46314</v>
      </c>
      <c r="F272" t="inlineStr">
        <is>
          <t>VÄRMLANDS LÄN</t>
        </is>
      </c>
      <c r="G272" t="inlineStr">
        <is>
          <t>HAGFORS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46314</v>
      </c>
      <c r="F273" t="inlineStr">
        <is>
          <t>VÄRMLANDS LÄN</t>
        </is>
      </c>
      <c r="G273" t="inlineStr">
        <is>
          <t>HAGFORS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46314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46314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46314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44824</v>
      </c>
      <c r="E277" s="1" t="n">
        <v>46314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46314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45928</v>
      </c>
      <c r="E279" s="1" t="n">
        <v>46314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46314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46314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46314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46314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46314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46150</v>
      </c>
      <c r="E285" s="1" t="n">
        <v>46314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46314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46314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46314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46314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46314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46314</v>
      </c>
      <c r="F291" t="inlineStr">
        <is>
          <t>VÄRMLANDS LÄN</t>
        </is>
      </c>
      <c r="G291" t="inlineStr">
        <is>
          <t>HAGFORS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46314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71447-2021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44540</v>
      </c>
      <c r="E293" s="1" t="n">
        <v>46314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46314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46314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46314</v>
      </c>
      <c r="F296" t="inlineStr">
        <is>
          <t>VÄRMLANDS LÄN</t>
        </is>
      </c>
      <c r="G296" t="inlineStr">
        <is>
          <t>HAGFORS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46314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46314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45720</v>
      </c>
      <c r="E299" s="1" t="n">
        <v>46314</v>
      </c>
      <c r="F299" t="inlineStr">
        <is>
          <t>VÄRMLANDS LÄN</t>
        </is>
      </c>
      <c r="G299" t="inlineStr">
        <is>
          <t>HAGFORS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45941</v>
      </c>
      <c r="E300" s="1" t="n">
        <v>46314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46314</v>
      </c>
      <c r="F301" t="inlineStr">
        <is>
          <t>VÄRMLANDS LÄN</t>
        </is>
      </c>
      <c r="G301" t="inlineStr">
        <is>
          <t>HAGFORS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46314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46314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46314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46314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46314</v>
      </c>
      <c r="F306" t="inlineStr">
        <is>
          <t>VÄRMLANDS LÄN</t>
        </is>
      </c>
      <c r="G306" t="inlineStr">
        <is>
          <t>HAGFORS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46314</v>
      </c>
      <c r="F307" t="inlineStr">
        <is>
          <t>VÄRMLANDS LÄN</t>
        </is>
      </c>
      <c r="G307" t="inlineStr">
        <is>
          <t>HAGFORS</t>
        </is>
      </c>
      <c r="H307" t="inlineStr">
        <is>
          <t>Kommuner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46314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9.300000000000001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46314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46314</v>
      </c>
      <c r="F310" t="inlineStr">
        <is>
          <t>VÄRMLANDS LÄN</t>
        </is>
      </c>
      <c r="G310" t="inlineStr">
        <is>
          <t>HAGFORS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46314</v>
      </c>
      <c r="F311" t="inlineStr">
        <is>
          <t>VÄRMLANDS LÄN</t>
        </is>
      </c>
      <c r="G311" t="inlineStr">
        <is>
          <t>HAGFORS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44937</v>
      </c>
      <c r="E312" s="1" t="n">
        <v>46314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46314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45949</v>
      </c>
      <c r="E314" s="1" t="n">
        <v>46314</v>
      </c>
      <c r="F314" t="inlineStr">
        <is>
          <t>VÄRMLANDS LÄN</t>
        </is>
      </c>
      <c r="G314" t="inlineStr">
        <is>
          <t>HAGFORS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45087</v>
      </c>
      <c r="E315" s="1" t="n">
        <v>46314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46314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46314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46314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46314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52479-2025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46314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46314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46314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46314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46314</v>
      </c>
      <c r="F324" t="inlineStr">
        <is>
          <t>VÄRMLANDS LÄN</t>
        </is>
      </c>
      <c r="G324" t="inlineStr">
        <is>
          <t>HAGFORS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46314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46314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46314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46314</v>
      </c>
      <c r="F328" t="inlineStr">
        <is>
          <t>VÄRMLANDS LÄN</t>
        </is>
      </c>
      <c r="G328" t="inlineStr">
        <is>
          <t>HAGFORS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46314</v>
      </c>
      <c r="F329" t="inlineStr">
        <is>
          <t>VÄRMLANDS LÄN</t>
        </is>
      </c>
      <c r="G329" t="inlineStr">
        <is>
          <t>HAGFORS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46314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46314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46314</v>
      </c>
      <c r="F332" t="inlineStr">
        <is>
          <t>VÄRMLANDS LÄN</t>
        </is>
      </c>
      <c r="G332" t="inlineStr">
        <is>
          <t>HAGFORS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46314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46314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46314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46314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44876</v>
      </c>
      <c r="E337" s="1" t="n">
        <v>46314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46314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46314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45967</v>
      </c>
      <c r="E340" s="1" t="n">
        <v>46314</v>
      </c>
      <c r="F340" t="inlineStr">
        <is>
          <t>VÄRMLANDS LÄN</t>
        </is>
      </c>
      <c r="G340" t="inlineStr">
        <is>
          <t>HAGFORS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46314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46314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44502</v>
      </c>
      <c r="E343" s="1" t="n">
        <v>46314</v>
      </c>
      <c r="F343" t="inlineStr">
        <is>
          <t>VÄRMLANDS LÄN</t>
        </is>
      </c>
      <c r="G343" t="inlineStr">
        <is>
          <t>HAGFORS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46314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46314</v>
      </c>
      <c r="F345" t="inlineStr">
        <is>
          <t>VÄRMLANDS LÄN</t>
        </is>
      </c>
      <c r="G345" t="inlineStr">
        <is>
          <t>HAGFORS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45006</v>
      </c>
      <c r="E346" s="1" t="n">
        <v>46314</v>
      </c>
      <c r="F346" t="inlineStr">
        <is>
          <t>VÄRMLANDS LÄN</t>
        </is>
      </c>
      <c r="G346" t="inlineStr">
        <is>
          <t>HAGFORS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46314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46314</v>
      </c>
      <c r="F348" t="inlineStr">
        <is>
          <t>VÄRMLANDS LÄN</t>
        </is>
      </c>
      <c r="G348" t="inlineStr">
        <is>
          <t>HAGFORS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46314</v>
      </c>
      <c r="F349" t="inlineStr">
        <is>
          <t>VÄRMLANDS LÄN</t>
        </is>
      </c>
      <c r="G349" t="inlineStr">
        <is>
          <t>HAGFORS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46314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46314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46314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46314</v>
      </c>
      <c r="F353" t="inlineStr">
        <is>
          <t>VÄRMLANDS LÄN</t>
        </is>
      </c>
      <c r="G353" t="inlineStr">
        <is>
          <t>HAGFORS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46314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46314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46314</v>
      </c>
      <c r="F356" t="inlineStr">
        <is>
          <t>VÄRMLANDS LÄN</t>
        </is>
      </c>
      <c r="G356" t="inlineStr">
        <is>
          <t>HAGFORS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46314</v>
      </c>
      <c r="F357" t="inlineStr">
        <is>
          <t>VÄRMLANDS LÄN</t>
        </is>
      </c>
      <c r="G357" t="inlineStr">
        <is>
          <t>HAGFORS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46314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46314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46314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46314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61169-2024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45645</v>
      </c>
      <c r="E362" s="1" t="n">
        <v>46314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46314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46314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46314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45461</v>
      </c>
      <c r="E366" s="1" t="n">
        <v>46314</v>
      </c>
      <c r="F366" t="inlineStr">
        <is>
          <t>VÄRMLANDS LÄN</t>
        </is>
      </c>
      <c r="G366" t="inlineStr">
        <is>
          <t>HAGFORS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46314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46314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45152</v>
      </c>
      <c r="E369" s="1" t="n">
        <v>46314</v>
      </c>
      <c r="F369" t="inlineStr">
        <is>
          <t>VÄRMLANDS LÄN</t>
        </is>
      </c>
      <c r="G369" t="inlineStr">
        <is>
          <t>HAGFORS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46164</v>
      </c>
      <c r="E370" s="1" t="n">
        <v>46314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46314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46314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46314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46314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46314</v>
      </c>
      <c r="F375" t="inlineStr">
        <is>
          <t>VÄRMLANDS LÄN</t>
        </is>
      </c>
      <c r="G375" t="inlineStr">
        <is>
          <t>HAGFORS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46314</v>
      </c>
      <c r="F376" t="inlineStr">
        <is>
          <t>VÄRMLANDS LÄN</t>
        </is>
      </c>
      <c r="G376" t="inlineStr">
        <is>
          <t>HAGFORS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59047-2025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45988</v>
      </c>
      <c r="E377" s="1" t="n">
        <v>46314</v>
      </c>
      <c r="F377" t="inlineStr">
        <is>
          <t>VÄRMLANDS LÄN</t>
        </is>
      </c>
      <c r="G377" t="inlineStr">
        <is>
          <t>HAGFORS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59048-2022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44903</v>
      </c>
      <c r="E378" s="1" t="n">
        <v>46314</v>
      </c>
      <c r="F378" t="inlineStr">
        <is>
          <t>VÄRMLANDS LÄN</t>
        </is>
      </c>
      <c r="G378" t="inlineStr">
        <is>
          <t>HAGFORS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46314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46314</v>
      </c>
      <c r="F380" t="inlineStr">
        <is>
          <t>VÄRMLANDS LÄN</t>
        </is>
      </c>
      <c r="G380" t="inlineStr">
        <is>
          <t>HAGFORS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46314</v>
      </c>
      <c r="F381" t="inlineStr">
        <is>
          <t>VÄRMLANDS LÄN</t>
        </is>
      </c>
      <c r="G381" t="inlineStr">
        <is>
          <t>HAGFORS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45758</v>
      </c>
      <c r="E382" s="1" t="n">
        <v>46314</v>
      </c>
      <c r="F382" t="inlineStr">
        <is>
          <t>VÄRMLANDS LÄN</t>
        </is>
      </c>
      <c r="G382" t="inlineStr">
        <is>
          <t>HAGFORS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19554-2024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45429</v>
      </c>
      <c r="E383" s="1" t="n">
        <v>46314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46314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46314</v>
      </c>
      <c r="F385" t="inlineStr">
        <is>
          <t>VÄRMLANDS LÄN</t>
        </is>
      </c>
      <c r="G385" t="inlineStr">
        <is>
          <t>HAGFORS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60648-2025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45996</v>
      </c>
      <c r="E386" s="1" t="n">
        <v>46314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44763</v>
      </c>
      <c r="E387" s="1" t="n">
        <v>46314</v>
      </c>
      <c r="F387" t="inlineStr">
        <is>
          <t>VÄRMLANDS LÄN</t>
        </is>
      </c>
      <c r="G387" t="inlineStr">
        <is>
          <t>HAGFORS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46314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45476</v>
      </c>
      <c r="E389" s="1" t="n">
        <v>46314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46314</v>
      </c>
      <c r="F390" t="inlineStr">
        <is>
          <t>VÄRMLANDS LÄN</t>
        </is>
      </c>
      <c r="G390" t="inlineStr">
        <is>
          <t>HAGFORS</t>
        </is>
      </c>
      <c r="I390" t="n">
        <v>11.5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24625-2026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46314</v>
      </c>
      <c r="F391" t="inlineStr">
        <is>
          <t>VÄRMLANDS LÄN</t>
        </is>
      </c>
      <c r="G391" t="inlineStr">
        <is>
          <t>HAGFORS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61843-2025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46003</v>
      </c>
      <c r="E392" s="1" t="n">
        <v>46314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46314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61718-2025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46002</v>
      </c>
      <c r="E394" s="1" t="n">
        <v>46314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46314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46314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61910-2025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46314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46314</v>
      </c>
      <c r="F399" t="inlineStr">
        <is>
          <t>VÄRMLANDS LÄN</t>
        </is>
      </c>
      <c r="G399" t="inlineStr">
        <is>
          <t>HAGFORS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46314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24677-2026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46314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46314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24761-2026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46171</v>
      </c>
      <c r="E403" s="1" t="n">
        <v>46314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62168-2025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46006</v>
      </c>
      <c r="E404" s="1" t="n">
        <v>46314</v>
      </c>
      <c r="F404" t="inlineStr">
        <is>
          <t>VÄRMLANDS LÄN</t>
        </is>
      </c>
      <c r="G404" t="inlineStr">
        <is>
          <t>HAGFORS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46314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46314</v>
      </c>
      <c r="F406" t="inlineStr">
        <is>
          <t>VÄRMLANDS LÄN</t>
        </is>
      </c>
      <c r="G406" t="inlineStr">
        <is>
          <t>HAGFORS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46314</v>
      </c>
      <c r="F407" t="inlineStr">
        <is>
          <t>VÄRMLANDS LÄN</t>
        </is>
      </c>
      <c r="G407" t="inlineStr">
        <is>
          <t>HAGFORS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46314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46314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24628-2026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46171</v>
      </c>
      <c r="E410" s="1" t="n">
        <v>46314</v>
      </c>
      <c r="F410" t="inlineStr">
        <is>
          <t>VÄRMLANDS LÄN</t>
        </is>
      </c>
      <c r="G410" t="inlineStr">
        <is>
          <t>HAGFORS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46314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46314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46314</v>
      </c>
      <c r="F413" t="inlineStr">
        <is>
          <t>VÄRMLANDS LÄN</t>
        </is>
      </c>
      <c r="G413" t="inlineStr">
        <is>
          <t>HAGFORS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46314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46314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46314</v>
      </c>
      <c r="F416" t="inlineStr">
        <is>
          <t>VÄRMLANDS LÄN</t>
        </is>
      </c>
      <c r="G416" t="inlineStr">
        <is>
          <t>HAGFORS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24699-2026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46314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46314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46314</v>
      </c>
      <c r="F419" t="inlineStr">
        <is>
          <t>VÄRMLANDS LÄN</t>
        </is>
      </c>
      <c r="G419" t="inlineStr">
        <is>
          <t>HAGFORS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46314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65065-2023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45287</v>
      </c>
      <c r="E421" s="1" t="n">
        <v>46314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46314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45226</v>
      </c>
      <c r="E423" s="1" t="n">
        <v>46314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46314</v>
      </c>
      <c r="F424" t="inlineStr">
        <is>
          <t>VÄRMLANDS LÄN</t>
        </is>
      </c>
      <c r="G424" t="inlineStr">
        <is>
          <t>HAGFORS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46314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46314</v>
      </c>
      <c r="F426" t="inlineStr">
        <is>
          <t>VÄRMLANDS LÄN</t>
        </is>
      </c>
      <c r="G426" t="inlineStr">
        <is>
          <t>HAGFORS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46018</v>
      </c>
      <c r="E427" s="1" t="n">
        <v>46314</v>
      </c>
      <c r="F427" t="inlineStr">
        <is>
          <t>VÄRMLANDS LÄN</t>
        </is>
      </c>
      <c r="G427" t="inlineStr">
        <is>
          <t>HAGFORS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46018</v>
      </c>
      <c r="E428" s="1" t="n">
        <v>46314</v>
      </c>
      <c r="F428" t="inlineStr">
        <is>
          <t>VÄRMLANDS LÄN</t>
        </is>
      </c>
      <c r="G428" t="inlineStr">
        <is>
          <t>HAGFORS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46020</v>
      </c>
      <c r="E429" s="1" t="n">
        <v>46314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24626-2026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46171</v>
      </c>
      <c r="E430" s="1" t="n">
        <v>46314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46314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46314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45624</v>
      </c>
      <c r="E433" s="1" t="n">
        <v>46314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48807-2025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45937</v>
      </c>
      <c r="E434" s="1" t="n">
        <v>46314</v>
      </c>
      <c r="F434" t="inlineStr">
        <is>
          <t>VÄRMLANDS LÄN</t>
        </is>
      </c>
      <c r="G434" t="inlineStr">
        <is>
          <t>HAGFORS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46314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46314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46314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46314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46314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44582</v>
      </c>
      <c r="E440" s="1" t="n">
        <v>46314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46030</v>
      </c>
      <c r="E441" s="1" t="n">
        <v>46314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46314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46314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45725</v>
      </c>
      <c r="E444" s="1" t="n">
        <v>46314</v>
      </c>
      <c r="F444" t="inlineStr">
        <is>
          <t>VÄRMLANDS LÄN</t>
        </is>
      </c>
      <c r="G444" t="inlineStr">
        <is>
          <t>HAGFORS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45400</v>
      </c>
      <c r="E445" s="1" t="n">
        <v>46314</v>
      </c>
      <c r="F445" t="inlineStr">
        <is>
          <t>VÄRMLANDS LÄN</t>
        </is>
      </c>
      <c r="G445" t="inlineStr">
        <is>
          <t>HAGFORS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46314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46314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46314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46314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45582</v>
      </c>
      <c r="E450" s="1" t="n">
        <v>46314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46314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46314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44567</v>
      </c>
      <c r="E453" s="1" t="n">
        <v>46314</v>
      </c>
      <c r="F453" t="inlineStr">
        <is>
          <t>VÄRMLANDS LÄN</t>
        </is>
      </c>
      <c r="G453" t="inlineStr">
        <is>
          <t>HAGFORS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34636-2024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46314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46314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46314</v>
      </c>
      <c r="F456" t="inlineStr">
        <is>
          <t>VÄRMLANDS LÄN</t>
        </is>
      </c>
      <c r="G456" t="inlineStr">
        <is>
          <t>HAGFORS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46314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46314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46314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46314</v>
      </c>
      <c r="F460" t="inlineStr">
        <is>
          <t>VÄRMLANDS LÄN</t>
        </is>
      </c>
      <c r="G460" t="inlineStr">
        <is>
          <t>HAGFORS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46314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46314</v>
      </c>
      <c r="F462" t="inlineStr">
        <is>
          <t>VÄRMLANDS LÄN</t>
        </is>
      </c>
      <c r="G462" t="inlineStr">
        <is>
          <t>HAGFORS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46314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46314</v>
      </c>
      <c r="F464" t="inlineStr">
        <is>
          <t>VÄRMLANDS LÄN</t>
        </is>
      </c>
      <c r="G464" t="inlineStr">
        <is>
          <t>HAGFORS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46314</v>
      </c>
      <c r="F465" t="inlineStr">
        <is>
          <t>VÄRMLANDS LÄN</t>
        </is>
      </c>
      <c r="G465" t="inlineStr">
        <is>
          <t>HAGFORS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46314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46314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54757-2022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44883</v>
      </c>
      <c r="E468" s="1" t="n">
        <v>46314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46314</v>
      </c>
      <c r="F469" t="inlineStr">
        <is>
          <t>VÄRMLANDS LÄN</t>
        </is>
      </c>
      <c r="G469" t="inlineStr">
        <is>
          <t>HAGFORS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46314</v>
      </c>
      <c r="F470" t="inlineStr">
        <is>
          <t>VÄRMLANDS LÄN</t>
        </is>
      </c>
      <c r="G470" t="inlineStr">
        <is>
          <t>HAGFORS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46314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45575</v>
      </c>
      <c r="E472" s="1" t="n">
        <v>46314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46314</v>
      </c>
      <c r="F473" t="inlineStr">
        <is>
          <t>VÄRMLANDS LÄN</t>
        </is>
      </c>
      <c r="G473" t="inlineStr">
        <is>
          <t>HAGFORS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46314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46314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46314</v>
      </c>
      <c r="F476" t="inlineStr">
        <is>
          <t>VÄRMLANDS LÄN</t>
        </is>
      </c>
      <c r="G476" t="inlineStr">
        <is>
          <t>HAGFORS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45155</v>
      </c>
      <c r="E477" s="1" t="n">
        <v>46314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44809</v>
      </c>
      <c r="E478" s="1" t="n">
        <v>46314</v>
      </c>
      <c r="F478" t="inlineStr">
        <is>
          <t>VÄRMLANDS LÄN</t>
        </is>
      </c>
      <c r="G478" t="inlineStr">
        <is>
          <t>HAGFORS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45268</v>
      </c>
      <c r="E479" s="1" t="n">
        <v>46314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45057</v>
      </c>
      <c r="E480" s="1" t="n">
        <v>46314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46314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53813-2024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46314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46314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46314</v>
      </c>
      <c r="F484" t="inlineStr">
        <is>
          <t>VÄRMLANDS LÄN</t>
        </is>
      </c>
      <c r="G484" t="inlineStr">
        <is>
          <t>HAGFORS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46314</v>
      </c>
      <c r="F485" t="inlineStr">
        <is>
          <t>VÄRMLANDS LÄN</t>
        </is>
      </c>
      <c r="G485" t="inlineStr">
        <is>
          <t>HAGFORS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46314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46314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46314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46314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46314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46314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25258-2023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45079</v>
      </c>
      <c r="E492" s="1" t="n">
        <v>46314</v>
      </c>
      <c r="F492" t="inlineStr">
        <is>
          <t>VÄRMLANDS LÄN</t>
        </is>
      </c>
      <c r="G492" t="inlineStr">
        <is>
          <t>HAGFORS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46314</v>
      </c>
      <c r="F493" t="inlineStr">
        <is>
          <t>VÄRMLANDS LÄN</t>
        </is>
      </c>
      <c r="G493" t="inlineStr">
        <is>
          <t>HAGFORS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46314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46314</v>
      </c>
      <c r="F496" t="inlineStr">
        <is>
          <t>VÄRMLANDS LÄN</t>
        </is>
      </c>
      <c r="G496" t="inlineStr">
        <is>
          <t>HAGFORS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45441</v>
      </c>
      <c r="E497" s="1" t="n">
        <v>46314</v>
      </c>
      <c r="F497" t="inlineStr">
        <is>
          <t>VÄRMLANDS LÄN</t>
        </is>
      </c>
      <c r="G497" t="inlineStr">
        <is>
          <t>HAGFORS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46314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18.2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46314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46314</v>
      </c>
      <c r="F500" t="inlineStr">
        <is>
          <t>VÄRMLANDS LÄN</t>
        </is>
      </c>
      <c r="G500" t="inlineStr">
        <is>
          <t>HAGFORS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49766-2023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46314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47516-2023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45203</v>
      </c>
      <c r="E502" s="1" t="n">
        <v>46314</v>
      </c>
      <c r="F502" t="inlineStr">
        <is>
          <t>VÄRMLANDS LÄN</t>
        </is>
      </c>
      <c r="G502" t="inlineStr">
        <is>
          <t>HAGFORS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45506</v>
      </c>
      <c r="E503" s="1" t="n">
        <v>46314</v>
      </c>
      <c r="F503" t="inlineStr">
        <is>
          <t>VÄRMLANDS LÄN</t>
        </is>
      </c>
      <c r="G503" t="inlineStr">
        <is>
          <t>HAGFORS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46090</v>
      </c>
      <c r="E504" s="1" t="n">
        <v>46314</v>
      </c>
      <c r="F504" t="inlineStr">
        <is>
          <t>VÄRMLANDS LÄN</t>
        </is>
      </c>
      <c r="G504" t="inlineStr">
        <is>
          <t>HAGFORS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46314</v>
      </c>
      <c r="F505" t="inlineStr">
        <is>
          <t>VÄRMLANDS LÄN</t>
        </is>
      </c>
      <c r="G505" t="inlineStr">
        <is>
          <t>HAGFORS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46314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44951</v>
      </c>
      <c r="E507" s="1" t="n">
        <v>46314</v>
      </c>
      <c r="F507" t="inlineStr">
        <is>
          <t>VÄRMLANDS LÄN</t>
        </is>
      </c>
      <c r="G507" t="inlineStr">
        <is>
          <t>HAGFORS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46091</v>
      </c>
      <c r="E508" s="1" t="n">
        <v>46314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46314</v>
      </c>
      <c r="F509" t="inlineStr">
        <is>
          <t>VÄRMLANDS LÄN</t>
        </is>
      </c>
      <c r="G509" t="inlineStr">
        <is>
          <t>HAGFORS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64936-2023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45282</v>
      </c>
      <c r="E510" s="1" t="n">
        <v>46314</v>
      </c>
      <c r="F510" t="inlineStr">
        <is>
          <t>VÄRMLANDS LÄN</t>
        </is>
      </c>
      <c r="G510" t="inlineStr">
        <is>
          <t>HAGFORS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46314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46314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46314</v>
      </c>
      <c r="F513" t="inlineStr">
        <is>
          <t>VÄRMLANDS LÄN</t>
        </is>
      </c>
      <c r="G513" t="inlineStr">
        <is>
          <t>HAGFORS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46314</v>
      </c>
      <c r="F514" t="inlineStr">
        <is>
          <t>VÄRMLANDS LÄN</t>
        </is>
      </c>
      <c r="G514" t="inlineStr">
        <is>
          <t>HAGFORS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46314</v>
      </c>
      <c r="F515" t="inlineStr">
        <is>
          <t>VÄRMLANDS LÄN</t>
        </is>
      </c>
      <c r="G515" t="inlineStr">
        <is>
          <t>HAGFORS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46314</v>
      </c>
      <c r="F516" t="inlineStr">
        <is>
          <t>VÄRMLANDS LÄN</t>
        </is>
      </c>
      <c r="G516" t="inlineStr">
        <is>
          <t>HAGFORS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45436</v>
      </c>
      <c r="E517" s="1" t="n">
        <v>46314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46314</v>
      </c>
      <c r="F518" t="inlineStr">
        <is>
          <t>VÄRMLANDS LÄN</t>
        </is>
      </c>
      <c r="G518" t="inlineStr">
        <is>
          <t>HAGFORS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27799-2026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46314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46314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46314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46314</v>
      </c>
      <c r="F522" t="inlineStr">
        <is>
          <t>VÄRMLANDS LÄN</t>
        </is>
      </c>
      <c r="G522" t="inlineStr">
        <is>
          <t>HAGFORS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44760</v>
      </c>
      <c r="E524" s="1" t="n">
        <v>46314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46314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46314</v>
      </c>
      <c r="F526" t="inlineStr">
        <is>
          <t>VÄRMLANDS LÄN</t>
        </is>
      </c>
      <c r="G526" t="inlineStr">
        <is>
          <t>HAGFORS</t>
        </is>
      </c>
      <c r="H526" t="inlineStr">
        <is>
          <t>Kommuner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46314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46314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46314</v>
      </c>
      <c r="F529" t="inlineStr">
        <is>
          <t>VÄRMLANDS LÄN</t>
        </is>
      </c>
      <c r="G529" t="inlineStr">
        <is>
          <t>HAGFORS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46314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46314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46314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9.6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46314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46314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46314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39029-2022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44817</v>
      </c>
      <c r="E537" s="1" t="n">
        <v>46314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46314</v>
      </c>
      <c r="F538" t="inlineStr">
        <is>
          <t>VÄRMLANDS LÄN</t>
        </is>
      </c>
      <c r="G538" t="inlineStr">
        <is>
          <t>HAGFORS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46314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46314</v>
      </c>
      <c r="F540" t="inlineStr">
        <is>
          <t>VÄRMLANDS LÄN</t>
        </is>
      </c>
      <c r="G540" t="inlineStr">
        <is>
          <t>HAGFORS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15228-2024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45400</v>
      </c>
      <c r="E541" s="1" t="n">
        <v>46314</v>
      </c>
      <c r="F541" t="inlineStr">
        <is>
          <t>VÄRMLANDS LÄN</t>
        </is>
      </c>
      <c r="G541" t="inlineStr">
        <is>
          <t>HAGFORS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46314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46108</v>
      </c>
      <c r="E543" s="1" t="n">
        <v>46314</v>
      </c>
      <c r="F543" t="inlineStr">
        <is>
          <t>VÄRMLANDS LÄN</t>
        </is>
      </c>
      <c r="G543" t="inlineStr">
        <is>
          <t>HAGFORS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46314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9.4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46314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46314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11744-2024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46314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46314</v>
      </c>
      <c r="F548" t="inlineStr">
        <is>
          <t>VÄRMLANDS LÄN</t>
        </is>
      </c>
      <c r="G548" t="inlineStr">
        <is>
          <t>HAGFORS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46314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46314</v>
      </c>
      <c r="F550" t="inlineStr">
        <is>
          <t>VÄRMLANDS LÄN</t>
        </is>
      </c>
      <c r="G550" t="inlineStr">
        <is>
          <t>HAGFORS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46314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46200</v>
      </c>
      <c r="E552" s="1" t="n">
        <v>46314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46200</v>
      </c>
      <c r="E553" s="1" t="n">
        <v>46314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27855-2026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46191</v>
      </c>
      <c r="E554" s="1" t="n">
        <v>46314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46314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46314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46314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46314</v>
      </c>
      <c r="F558" t="inlineStr">
        <is>
          <t>VÄRMLANDS LÄN</t>
        </is>
      </c>
      <c r="G558" t="inlineStr">
        <is>
          <t>HAGFORS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46314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46314</v>
      </c>
      <c r="F560" t="inlineStr">
        <is>
          <t>VÄRMLANDS LÄN</t>
        </is>
      </c>
      <c r="G560" t="inlineStr">
        <is>
          <t>HAGFORS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20652-2022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44700</v>
      </c>
      <c r="E561" s="1" t="n">
        <v>46314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18895-2026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46129</v>
      </c>
      <c r="E562" s="1" t="n">
        <v>46314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46314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46314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46314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45420</v>
      </c>
      <c r="E566" s="1" t="n">
        <v>46314</v>
      </c>
      <c r="F566" t="inlineStr">
        <is>
          <t>VÄRMLANDS LÄN</t>
        </is>
      </c>
      <c r="G566" t="inlineStr">
        <is>
          <t>HAGFORS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58132-2024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46314</v>
      </c>
      <c r="F567" t="inlineStr">
        <is>
          <t>VÄRMLANDS LÄN</t>
        </is>
      </c>
      <c r="G567" t="inlineStr">
        <is>
          <t>HAGFORS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46314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46314</v>
      </c>
      <c r="F569" t="inlineStr">
        <is>
          <t>VÄRMLANDS LÄN</t>
        </is>
      </c>
      <c r="G569" t="inlineStr">
        <is>
          <t>HAGFORS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46314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46314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46314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46314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19421-2026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46314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46314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46314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46314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46314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46314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46314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46314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46314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46314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29400-2026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46314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20260-2026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46314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46020</v>
      </c>
      <c r="E586" s="1" t="n">
        <v>46314</v>
      </c>
      <c r="F586" t="inlineStr">
        <is>
          <t>VÄRMLANDS LÄN</t>
        </is>
      </c>
      <c r="G586" t="inlineStr">
        <is>
          <t>HAGFORS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46314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46314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46314</v>
      </c>
      <c r="F589" t="inlineStr">
        <is>
          <t>VÄRMLANDS LÄN</t>
        </is>
      </c>
      <c r="G589" t="inlineStr">
        <is>
          <t>HAGFORS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44596</v>
      </c>
      <c r="E590" s="1" t="n">
        <v>46314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46314</v>
      </c>
      <c r="F591" t="inlineStr">
        <is>
          <t>VÄRMLANDS LÄN</t>
        </is>
      </c>
      <c r="G591" t="inlineStr">
        <is>
          <t>HAGFORS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46314</v>
      </c>
      <c r="F592" t="inlineStr">
        <is>
          <t>VÄRMLANDS LÄN</t>
        </is>
      </c>
      <c r="G592" t="inlineStr">
        <is>
          <t>HAGFORS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46314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46314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46314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49753-2023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45212</v>
      </c>
      <c r="E596" s="1" t="n">
        <v>46314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46314</v>
      </c>
      <c r="F597" t="inlineStr">
        <is>
          <t>VÄRMLANDS LÄN</t>
        </is>
      </c>
      <c r="G597" t="inlineStr">
        <is>
          <t>HAGFORS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46314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46314</v>
      </c>
      <c r="F599" t="inlineStr">
        <is>
          <t>VÄRMLANDS LÄN</t>
        </is>
      </c>
      <c r="G599" t="inlineStr">
        <is>
          <t>HAGFORS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44610</v>
      </c>
      <c r="E600" s="1" t="n">
        <v>46314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46314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46314</v>
      </c>
      <c r="F602" t="inlineStr">
        <is>
          <t>VÄRMLANDS LÄN</t>
        </is>
      </c>
      <c r="G602" t="inlineStr">
        <is>
          <t>HAGFORS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44950</v>
      </c>
      <c r="E603" s="1" t="n">
        <v>46314</v>
      </c>
      <c r="F603" t="inlineStr">
        <is>
          <t>VÄRMLANDS LÄN</t>
        </is>
      </c>
      <c r="G603" t="inlineStr">
        <is>
          <t>HAGFORS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44950</v>
      </c>
      <c r="E604" s="1" t="n">
        <v>46314</v>
      </c>
      <c r="F604" t="inlineStr">
        <is>
          <t>VÄRMLANDS LÄN</t>
        </is>
      </c>
      <c r="G604" t="inlineStr">
        <is>
          <t>HAGFORS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45518</v>
      </c>
      <c r="E605" s="1" t="n">
        <v>46314</v>
      </c>
      <c r="F605" t="inlineStr">
        <is>
          <t>VÄRMLANDS LÄN</t>
        </is>
      </c>
      <c r="G605" t="inlineStr">
        <is>
          <t>HAGFORS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42223-2022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46314</v>
      </c>
      <c r="F606" t="inlineStr">
        <is>
          <t>VÄRMLANDS LÄN</t>
        </is>
      </c>
      <c r="G606" t="inlineStr">
        <is>
          <t>HAGFORS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46314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46226</v>
      </c>
      <c r="E608" s="1" t="n">
        <v>46314</v>
      </c>
      <c r="F608" t="inlineStr">
        <is>
          <t>VÄRMLANDS LÄN</t>
        </is>
      </c>
      <c r="G608" t="inlineStr">
        <is>
          <t>HAGFORS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46314</v>
      </c>
      <c r="F609" t="inlineStr">
        <is>
          <t>VÄRMLANDS LÄN</t>
        </is>
      </c>
      <c r="G609" t="inlineStr">
        <is>
          <t>HAGFORS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46314</v>
      </c>
      <c r="F610" t="inlineStr">
        <is>
          <t>VÄRMLANDS LÄN</t>
        </is>
      </c>
      <c r="G610" t="inlineStr">
        <is>
          <t>HAGFORS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46314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46314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11241-2024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45371</v>
      </c>
      <c r="E614" s="1" t="n">
        <v>46314</v>
      </c>
      <c r="F614" t="inlineStr">
        <is>
          <t>VÄRMLANDS LÄN</t>
        </is>
      </c>
      <c r="G614" t="inlineStr">
        <is>
          <t>HAGFORS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46314</v>
      </c>
      <c r="F615" t="inlineStr">
        <is>
          <t>VÄRMLANDS LÄN</t>
        </is>
      </c>
      <c r="G615" t="inlineStr">
        <is>
          <t>HAGFORS</t>
        </is>
      </c>
      <c r="H615" t="inlineStr">
        <is>
          <t>Kyrkan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46314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37497-2026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46275</v>
      </c>
      <c r="E617" s="1" t="n">
        <v>46314</v>
      </c>
      <c r="F617" t="inlineStr">
        <is>
          <t>VÄRMLANDS LÄN</t>
        </is>
      </c>
      <c r="G617" t="inlineStr">
        <is>
          <t>HAGFORS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46274</v>
      </c>
      <c r="E618" s="1" t="n">
        <v>46314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46274</v>
      </c>
      <c r="E619" s="1" t="n">
        <v>46314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46314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46275</v>
      </c>
      <c r="E621" s="1" t="n">
        <v>46314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46274</v>
      </c>
      <c r="E622" s="1" t="n">
        <v>46314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45259</v>
      </c>
      <c r="E623" s="1" t="n">
        <v>46314</v>
      </c>
      <c r="F623" t="inlineStr">
        <is>
          <t>VÄRMLANDS LÄN</t>
        </is>
      </c>
      <c r="G623" t="inlineStr">
        <is>
          <t>HAGFORS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35775-2024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45532</v>
      </c>
      <c r="E624" s="1" t="n">
        <v>46314</v>
      </c>
      <c r="F624" t="inlineStr">
        <is>
          <t>VÄRMLANDS LÄN</t>
        </is>
      </c>
      <c r="G624" t="inlineStr">
        <is>
          <t>HAGFORS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46314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46314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45211</v>
      </c>
      <c r="E627" s="1" t="n">
        <v>46314</v>
      </c>
      <c r="F627" t="inlineStr">
        <is>
          <t>VÄRMLANDS LÄN</t>
        </is>
      </c>
      <c r="G627" t="inlineStr">
        <is>
          <t>HAGFORS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57359-2022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44896</v>
      </c>
      <c r="E628" s="1" t="n">
        <v>46314</v>
      </c>
      <c r="F628" t="inlineStr">
        <is>
          <t>VÄRMLANDS LÄN</t>
        </is>
      </c>
      <c r="G628" t="inlineStr">
        <is>
          <t>HAGFORS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41092-2024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46314</v>
      </c>
      <c r="F629" t="inlineStr">
        <is>
          <t>VÄRMLANDS LÄN</t>
        </is>
      </c>
      <c r="G629" t="inlineStr">
        <is>
          <t>HAGFORS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46314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46314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37842-2026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46314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38050-2026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46314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46280</v>
      </c>
      <c r="E634" s="1" t="n">
        <v>46314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45632</v>
      </c>
      <c r="E635" s="1" t="n">
        <v>46314</v>
      </c>
      <c r="F635" t="inlineStr">
        <is>
          <t>VÄRMLANDS LÄN</t>
        </is>
      </c>
      <c r="G635" t="inlineStr">
        <is>
          <t>HAGFORS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46314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46280</v>
      </c>
      <c r="E637" s="1" t="n">
        <v>46314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46280</v>
      </c>
      <c r="E638" s="1" t="n">
        <v>46314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37924-2026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46280</v>
      </c>
      <c r="E639" s="1" t="n">
        <v>46314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8.5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46314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46314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22503-2024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45447</v>
      </c>
      <c r="E643" s="1" t="n">
        <v>46314</v>
      </c>
      <c r="F643" t="inlineStr">
        <is>
          <t>VÄRMLANDS LÄN</t>
        </is>
      </c>
      <c r="G643" t="inlineStr">
        <is>
          <t>HAGFORS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45324</v>
      </c>
      <c r="E644" s="1" t="n">
        <v>46314</v>
      </c>
      <c r="F644" t="inlineStr">
        <is>
          <t>VÄRMLANDS LÄN</t>
        </is>
      </c>
      <c r="G644" t="inlineStr">
        <is>
          <t>HAGFORS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44571</v>
      </c>
      <c r="E645" s="1" t="n">
        <v>46314</v>
      </c>
      <c r="F645" t="inlineStr">
        <is>
          <t>VÄRMLANDS LÄN</t>
        </is>
      </c>
      <c r="G645" t="inlineStr">
        <is>
          <t>HAGFORS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46282</v>
      </c>
      <c r="E646" s="1" t="n">
        <v>46314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46314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45446</v>
      </c>
      <c r="E648" s="1" t="n">
        <v>46314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12426-2024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46314</v>
      </c>
      <c r="F649" t="inlineStr">
        <is>
          <t>VÄRMLANDS LÄN</t>
        </is>
      </c>
      <c r="G649" t="inlineStr">
        <is>
          <t>HAGFORS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8922-2025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45713</v>
      </c>
      <c r="E650" s="1" t="n">
        <v>46314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46314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46314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32507-2026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46239</v>
      </c>
      <c r="E653" s="1" t="n">
        <v>46314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46282</v>
      </c>
      <c r="E654" s="1" t="n">
        <v>46314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46314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46314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19.3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38645-2026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46283</v>
      </c>
      <c r="E657" s="1" t="n">
        <v>46314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45758</v>
      </c>
      <c r="E658" s="1" t="n">
        <v>46314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46239</v>
      </c>
      <c r="E659" s="1" t="n">
        <v>46314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45703</v>
      </c>
      <c r="E660" s="1" t="n">
        <v>46314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15.9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46282</v>
      </c>
      <c r="E661" s="1" t="n">
        <v>46314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17329-2024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45414</v>
      </c>
      <c r="E662" s="1" t="n">
        <v>46314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46314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46282</v>
      </c>
      <c r="E664" s="1" t="n">
        <v>46314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46314</v>
      </c>
      <c r="F665" t="inlineStr">
        <is>
          <t>VÄRMLANDS LÄN</t>
        </is>
      </c>
      <c r="G665" t="inlineStr">
        <is>
          <t>HAGFORS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46287</v>
      </c>
      <c r="E666" s="1" t="n">
        <v>46314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46314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46314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46314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46314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46314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46314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46287</v>
      </c>
      <c r="E673" s="1" t="n">
        <v>46314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45671</v>
      </c>
      <c r="E674" s="1" t="n">
        <v>46314</v>
      </c>
      <c r="F674" t="inlineStr">
        <is>
          <t>VÄRMLANDS LÄN</t>
        </is>
      </c>
      <c r="G674" t="inlineStr">
        <is>
          <t>HAGFORS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48276-2024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46314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46314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46314</v>
      </c>
      <c r="F677" t="inlineStr">
        <is>
          <t>VÄRMLANDS LÄN</t>
        </is>
      </c>
      <c r="G677" t="inlineStr">
        <is>
          <t>HAGFORS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46314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45692</v>
      </c>
      <c r="E679" s="1" t="n">
        <v>46314</v>
      </c>
      <c r="F679" t="inlineStr">
        <is>
          <t>VÄRMLANDS LÄN</t>
        </is>
      </c>
      <c r="G679" t="inlineStr">
        <is>
          <t>HAGFORS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10562-2024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45366</v>
      </c>
      <c r="E680" s="1" t="n">
        <v>46314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44595</v>
      </c>
      <c r="E681" s="1" t="n">
        <v>46314</v>
      </c>
      <c r="F681" t="inlineStr">
        <is>
          <t>VÄRMLANDS LÄN</t>
        </is>
      </c>
      <c r="G681" t="inlineStr">
        <is>
          <t>HAGFORS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46314</v>
      </c>
      <c r="F682" t="inlineStr">
        <is>
          <t>VÄRMLANDS LÄN</t>
        </is>
      </c>
      <c r="G682" t="inlineStr">
        <is>
          <t>HAGFORS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60167-2023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45258</v>
      </c>
      <c r="E683" s="1" t="n">
        <v>46314</v>
      </c>
      <c r="F683" t="inlineStr">
        <is>
          <t>VÄRMLANDS LÄN</t>
        </is>
      </c>
      <c r="G683" t="inlineStr">
        <is>
          <t>HAGFORS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60178-2023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45258</v>
      </c>
      <c r="E684" s="1" t="n">
        <v>46314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39566-2026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46289</v>
      </c>
      <c r="E685" s="1" t="n">
        <v>46314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46314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39345-2026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46314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45029</v>
      </c>
      <c r="E688" s="1" t="n">
        <v>46314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41603-2023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45175</v>
      </c>
      <c r="E689" s="1" t="n">
        <v>46314</v>
      </c>
      <c r="F689" t="inlineStr">
        <is>
          <t>VÄRMLANDS LÄN</t>
        </is>
      </c>
      <c r="G689" t="inlineStr">
        <is>
          <t>HAGFORS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39347-2026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46288</v>
      </c>
      <c r="E690" s="1" t="n">
        <v>46314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39382-2026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46314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39532-2026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46289</v>
      </c>
      <c r="E692" s="1" t="n">
        <v>46314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39577-2026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46289</v>
      </c>
      <c r="E693" s="1" t="n">
        <v>46314</v>
      </c>
      <c r="F693" t="inlineStr">
        <is>
          <t>VÄRMLANDS LÄN</t>
        </is>
      </c>
      <c r="G693" t="inlineStr">
        <is>
          <t>HAGFORS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46289</v>
      </c>
      <c r="E694" s="1" t="n">
        <v>46314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46245</v>
      </c>
      <c r="E695" s="1" t="n">
        <v>46314</v>
      </c>
      <c r="F695" t="inlineStr">
        <is>
          <t>VÄRMLANDS LÄN</t>
        </is>
      </c>
      <c r="G695" t="inlineStr">
        <is>
          <t>HAGFORS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11367-2025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45726</v>
      </c>
      <c r="E696" s="1" t="n">
        <v>46314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46314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45673</v>
      </c>
      <c r="E698" s="1" t="n">
        <v>46314</v>
      </c>
      <c r="F698" t="inlineStr">
        <is>
          <t>VÄRMLANDS LÄN</t>
        </is>
      </c>
      <c r="G698" t="inlineStr">
        <is>
          <t>HAGFORS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46248</v>
      </c>
      <c r="E699" s="1" t="n">
        <v>46314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42150-2024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45562</v>
      </c>
      <c r="E700" s="1" t="n">
        <v>46314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46314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46314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46314</v>
      </c>
      <c r="F703" t="inlineStr">
        <is>
          <t>VÄRMLANDS LÄN</t>
        </is>
      </c>
      <c r="G703" t="inlineStr">
        <is>
          <t>HAGFORS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46293</v>
      </c>
      <c r="E704" s="1" t="n">
        <v>46314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40835-2023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45172</v>
      </c>
      <c r="E705" s="1" t="n">
        <v>46314</v>
      </c>
      <c r="F705" t="inlineStr">
        <is>
          <t>VÄRMLANDS LÄN</t>
        </is>
      </c>
      <c r="G705" t="inlineStr">
        <is>
          <t>HAGFORS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46293</v>
      </c>
      <c r="E706" s="1" t="n">
        <v>46314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46314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47028-2023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45201</v>
      </c>
      <c r="E708" s="1" t="n">
        <v>46314</v>
      </c>
      <c r="F708" t="inlineStr">
        <is>
          <t>VÄRMLANDS LÄN</t>
        </is>
      </c>
      <c r="G708" t="inlineStr">
        <is>
          <t>HAGFORS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46293</v>
      </c>
      <c r="E709" s="1" t="n">
        <v>46314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45492</v>
      </c>
      <c r="E710" s="1" t="n">
        <v>46314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46293</v>
      </c>
      <c r="E711" s="1" t="n">
        <v>46314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46314</v>
      </c>
      <c r="F712" t="inlineStr">
        <is>
          <t>VÄRMLANDS LÄN</t>
        </is>
      </c>
      <c r="G712" t="inlineStr">
        <is>
          <t>HAGFORS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46314</v>
      </c>
      <c r="F713" t="inlineStr">
        <is>
          <t>VÄRMLANDS LÄN</t>
        </is>
      </c>
      <c r="G713" t="inlineStr">
        <is>
          <t>HAGFORS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45519</v>
      </c>
      <c r="E714" s="1" t="n">
        <v>46314</v>
      </c>
      <c r="F714" t="inlineStr">
        <is>
          <t>VÄRMLANDS LÄN</t>
        </is>
      </c>
      <c r="G714" t="inlineStr">
        <is>
          <t>HAGFORS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46314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44622</v>
      </c>
      <c r="E717" s="1" t="n">
        <v>46314</v>
      </c>
      <c r="F717" t="inlineStr">
        <is>
          <t>VÄRMLANDS LÄN</t>
        </is>
      </c>
      <c r="G717" t="inlineStr">
        <is>
          <t>HAGFORS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46293</v>
      </c>
      <c r="E718" s="1" t="n">
        <v>46314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46314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46248</v>
      </c>
      <c r="E720" s="1" t="n">
        <v>46314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46290</v>
      </c>
      <c r="E722" s="1" t="n">
        <v>46314</v>
      </c>
      <c r="F722" t="inlineStr">
        <is>
          <t>VÄRMLANDS LÄN</t>
        </is>
      </c>
      <c r="G722" t="inlineStr">
        <is>
          <t>HAGFORS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46314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46792-2022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44851</v>
      </c>
      <c r="E724" s="1" t="n">
        <v>46314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46314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46314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45618</v>
      </c>
      <c r="E727" s="1" t="n">
        <v>46314</v>
      </c>
      <c r="F727" t="inlineStr">
        <is>
          <t>VÄRMLANDS LÄN</t>
        </is>
      </c>
      <c r="G727" t="inlineStr">
        <is>
          <t>HAGFORS</t>
        </is>
      </c>
      <c r="H727" t="inlineStr">
        <is>
          <t>Kyrkan</t>
        </is>
      </c>
      <c r="I727" t="n">
        <v>8.800000000000001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40207-2026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46314</v>
      </c>
      <c r="F728" t="inlineStr">
        <is>
          <t>VÄRMLANDS LÄN</t>
        </is>
      </c>
      <c r="G728" t="inlineStr">
        <is>
          <t>HAGFORS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46314</v>
      </c>
      <c r="F729" t="inlineStr">
        <is>
          <t>VÄRMLANDS LÄN</t>
        </is>
      </c>
      <c r="G729" t="inlineStr">
        <is>
          <t>HAGFORS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39640-2022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44817</v>
      </c>
      <c r="E730" s="1" t="n">
        <v>46314</v>
      </c>
      <c r="F730" t="inlineStr">
        <is>
          <t>VÄRMLANDS LÄN</t>
        </is>
      </c>
      <c r="G730" t="inlineStr">
        <is>
          <t>HAGFORS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46314</v>
      </c>
      <c r="F731" t="inlineStr">
        <is>
          <t>VÄRMLANDS LÄN</t>
        </is>
      </c>
      <c r="G731" t="inlineStr">
        <is>
          <t>HAGFORS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57159-2024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45629</v>
      </c>
      <c r="E732" s="1" t="n">
        <v>46314</v>
      </c>
      <c r="F732" t="inlineStr">
        <is>
          <t>VÄRMLANDS LÄN</t>
        </is>
      </c>
      <c r="G732" t="inlineStr">
        <is>
          <t>HAGFORS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46314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11160-2025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45723</v>
      </c>
      <c r="E734" s="1" t="n">
        <v>46314</v>
      </c>
      <c r="F734" t="inlineStr">
        <is>
          <t>VÄRMLANDS LÄN</t>
        </is>
      </c>
      <c r="G734" t="inlineStr">
        <is>
          <t>HAGFORS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40436-2026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46294</v>
      </c>
      <c r="E735" s="1" t="n">
        <v>46314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45572</v>
      </c>
      <c r="E736" s="1" t="n">
        <v>46314</v>
      </c>
      <c r="F736" t="inlineStr">
        <is>
          <t>VÄRMLANDS LÄN</t>
        </is>
      </c>
      <c r="G736" t="inlineStr">
        <is>
          <t>HAGFORS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13282-2024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45386</v>
      </c>
      <c r="E737" s="1" t="n">
        <v>46314</v>
      </c>
      <c r="F737" t="inlineStr">
        <is>
          <t>VÄRMLANDS LÄN</t>
        </is>
      </c>
      <c r="G737" t="inlineStr">
        <is>
          <t>HAGFORS</t>
        </is>
      </c>
      <c r="H737" t="inlineStr">
        <is>
          <t>Kommuner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46314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46314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46314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44728-2023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45190</v>
      </c>
      <c r="E741" s="1" t="n">
        <v>46314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46314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46295</v>
      </c>
      <c r="E743" s="1" t="n">
        <v>46314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40537-2026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46295</v>
      </c>
      <c r="E744" s="1" t="n">
        <v>46314</v>
      </c>
      <c r="F744" t="inlineStr">
        <is>
          <t>VÄRMLANDS LÄN</t>
        </is>
      </c>
      <c r="G744" t="inlineStr">
        <is>
          <t>HAGFORS</t>
        </is>
      </c>
      <c r="H744" t="inlineStr">
        <is>
          <t>Kommuner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46314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46314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45562</v>
      </c>
      <c r="E748" s="1" t="n">
        <v>46314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42243-2024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45562</v>
      </c>
      <c r="E749" s="1" t="n">
        <v>46314</v>
      </c>
      <c r="F749" t="inlineStr">
        <is>
          <t>VÄRMLANDS LÄN</t>
        </is>
      </c>
      <c r="G749" t="inlineStr">
        <is>
          <t>HAGFORS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44603</v>
      </c>
      <c r="E750" s="1" t="n">
        <v>46314</v>
      </c>
      <c r="F750" t="inlineStr">
        <is>
          <t>VÄRMLANDS LÄN</t>
        </is>
      </c>
      <c r="G750" t="inlineStr">
        <is>
          <t>HAGFORS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40440-2026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46294</v>
      </c>
      <c r="E751" s="1" t="n">
        <v>46314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40351-2026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46314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46314</v>
      </c>
      <c r="F753" t="inlineStr">
        <is>
          <t>VÄRMLANDS LÄN</t>
        </is>
      </c>
      <c r="G753" t="inlineStr">
        <is>
          <t>HAGFORS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61311-2023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45264</v>
      </c>
      <c r="E754" s="1" t="n">
        <v>46314</v>
      </c>
      <c r="F754" t="inlineStr">
        <is>
          <t>VÄRMLANDS LÄN</t>
        </is>
      </c>
      <c r="G754" t="inlineStr">
        <is>
          <t>HAGFORS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45264</v>
      </c>
      <c r="E755" s="1" t="n">
        <v>46314</v>
      </c>
      <c r="F755" t="inlineStr">
        <is>
          <t>VÄRMLANDS LÄN</t>
        </is>
      </c>
      <c r="G755" t="inlineStr">
        <is>
          <t>HAGFORS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18907-2025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45764</v>
      </c>
      <c r="E756" s="1" t="n">
        <v>46314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46314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34399-2026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46254</v>
      </c>
      <c r="E758" s="1" t="n">
        <v>46314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46254</v>
      </c>
      <c r="E759" s="1" t="n">
        <v>46314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46314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34552-2026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46314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46314</v>
      </c>
      <c r="F762" t="inlineStr">
        <is>
          <t>VÄRMLANDS LÄN</t>
        </is>
      </c>
      <c r="G762" t="inlineStr">
        <is>
          <t>HAGFORS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17305-2023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45035</v>
      </c>
      <c r="E763" s="1" t="n">
        <v>46314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46314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31178-2022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44770</v>
      </c>
      <c r="E765" s="1" t="n">
        <v>46314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45638</v>
      </c>
      <c r="E766" s="1" t="n">
        <v>46314</v>
      </c>
      <c r="F766" t="inlineStr">
        <is>
          <t>VÄRMLANDS LÄN</t>
        </is>
      </c>
      <c r="G766" t="inlineStr">
        <is>
          <t>HAGFORS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46314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46314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21723-2025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46314</v>
      </c>
      <c r="F769" t="inlineStr">
        <is>
          <t>VÄRMLANDS LÄN</t>
        </is>
      </c>
      <c r="G769" t="inlineStr">
        <is>
          <t>HAGFORS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46314</v>
      </c>
      <c r="F770" t="inlineStr">
        <is>
          <t>VÄRMLANDS LÄN</t>
        </is>
      </c>
      <c r="G770" t="inlineStr">
        <is>
          <t>HAGFORS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24680-2024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45460</v>
      </c>
      <c r="E771" s="1" t="n">
        <v>46314</v>
      </c>
      <c r="F771" t="inlineStr">
        <is>
          <t>VÄRMLANDS LÄN</t>
        </is>
      </c>
      <c r="G771" t="inlineStr">
        <is>
          <t>HAGFORS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17833-2022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44683</v>
      </c>
      <c r="E772" s="1" t="n">
        <v>46314</v>
      </c>
      <c r="F772" t="inlineStr">
        <is>
          <t>VÄRMLANDS LÄN</t>
        </is>
      </c>
      <c r="G772" t="inlineStr">
        <is>
          <t>HAGFORS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45587</v>
      </c>
      <c r="E773" s="1" t="n">
        <v>46314</v>
      </c>
      <c r="F773" t="inlineStr">
        <is>
          <t>VÄRMLANDS LÄN</t>
        </is>
      </c>
      <c r="G773" t="inlineStr">
        <is>
          <t>HAGFORS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46314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46314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46314</v>
      </c>
      <c r="F776" t="inlineStr">
        <is>
          <t>VÄRMLANDS LÄN</t>
        </is>
      </c>
      <c r="G776" t="inlineStr">
        <is>
          <t>HAGFORS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35184-2026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46260</v>
      </c>
      <c r="E777" s="1" t="n">
        <v>46314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22461-2025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46314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41581-2026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46301</v>
      </c>
      <c r="E779" s="1" t="n">
        <v>46314</v>
      </c>
      <c r="F779" t="inlineStr">
        <is>
          <t>VÄRMLANDS LÄN</t>
        </is>
      </c>
      <c r="G779" t="inlineStr">
        <is>
          <t>HAGFORS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45791</v>
      </c>
      <c r="E780" s="1" t="n">
        <v>46314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45790</v>
      </c>
      <c r="E781" s="1" t="n">
        <v>46314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46260</v>
      </c>
      <c r="E782" s="1" t="n">
        <v>46314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38239-2024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45545</v>
      </c>
      <c r="E783" s="1" t="n">
        <v>46314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46314</v>
      </c>
      <c r="F784" t="inlineStr">
        <is>
          <t>VÄRMLANDS LÄN</t>
        </is>
      </c>
      <c r="G784" t="inlineStr">
        <is>
          <t>HAGFORS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46314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46260</v>
      </c>
      <c r="E786" s="1" t="n">
        <v>46314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46314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23556-2025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45792</v>
      </c>
      <c r="E788" s="1" t="n">
        <v>46314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46307</v>
      </c>
      <c r="E789" s="1" t="n">
        <v>46314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23525-2025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45792</v>
      </c>
      <c r="E790" s="1" t="n">
        <v>46314</v>
      </c>
      <c r="F790" t="inlineStr">
        <is>
          <t>VÄRMLANDS LÄN</t>
        </is>
      </c>
      <c r="G790" t="inlineStr">
        <is>
          <t>HAGFORS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46307</v>
      </c>
      <c r="E791" s="1" t="n">
        <v>46314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23674-2025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46314</v>
      </c>
      <c r="F792" t="inlineStr">
        <is>
          <t>VÄRMLANDS LÄN</t>
        </is>
      </c>
      <c r="G792" t="inlineStr">
        <is>
          <t>HAGFORS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23712-2025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46314</v>
      </c>
      <c r="F793" t="inlineStr">
        <is>
          <t>VÄRMLANDS LÄN</t>
        </is>
      </c>
      <c r="G793" t="inlineStr">
        <is>
          <t>HAGFORS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46307</v>
      </c>
      <c r="E794" s="1" t="n">
        <v>46314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35574-2026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46262</v>
      </c>
      <c r="E795" s="1" t="n">
        <v>46314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54008-2024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45615</v>
      </c>
      <c r="E796" s="1" t="n">
        <v>46314</v>
      </c>
      <c r="F796" t="inlineStr">
        <is>
          <t>VÄRMLANDS LÄN</t>
        </is>
      </c>
      <c r="G796" t="inlineStr">
        <is>
          <t>HAGFORS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42279-2026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46307</v>
      </c>
      <c r="E797" s="1" t="n">
        <v>46314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16798-2025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45754</v>
      </c>
      <c r="E798" s="1" t="n">
        <v>46314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46261</v>
      </c>
      <c r="E799" s="1" t="n">
        <v>46314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46261</v>
      </c>
      <c r="E800" s="1" t="n">
        <v>46314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15643-2024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45404</v>
      </c>
      <c r="E801" s="1" t="n">
        <v>46314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46307</v>
      </c>
      <c r="E802" s="1" t="n">
        <v>46314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24434-2025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45797</v>
      </c>
      <c r="E803" s="1" t="n">
        <v>46314</v>
      </c>
      <c r="F803" t="inlineStr">
        <is>
          <t>VÄRMLANDS LÄN</t>
        </is>
      </c>
      <c r="G803" t="inlineStr">
        <is>
          <t>HAGFORS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24435-2025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45797</v>
      </c>
      <c r="E804" s="1" t="n">
        <v>46314</v>
      </c>
      <c r="F804" t="inlineStr">
        <is>
          <t>VÄRMLANDS LÄN</t>
        </is>
      </c>
      <c r="G804" t="inlineStr">
        <is>
          <t>HAGFORS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24438-2025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45797</v>
      </c>
      <c r="E805" s="1" t="n">
        <v>46314</v>
      </c>
      <c r="F805" t="inlineStr">
        <is>
          <t>VÄRMLANDS LÄN</t>
        </is>
      </c>
      <c r="G805" t="inlineStr">
        <is>
          <t>HAGFORS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13524-2025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46314</v>
      </c>
      <c r="F806" t="inlineStr">
        <is>
          <t>VÄRMLANDS LÄN</t>
        </is>
      </c>
      <c r="G806" t="inlineStr">
        <is>
          <t>HAGFORS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46307</v>
      </c>
      <c r="E807" s="1" t="n">
        <v>46314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46307</v>
      </c>
      <c r="E808" s="1" t="n">
        <v>46314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31.1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24895-2025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45799</v>
      </c>
      <c r="E809" s="1" t="n">
        <v>46314</v>
      </c>
      <c r="F809" t="inlineStr">
        <is>
          <t>VÄRMLANDS LÄN</t>
        </is>
      </c>
      <c r="G809" t="inlineStr">
        <is>
          <t>HAGFORS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24793-2025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45799</v>
      </c>
      <c r="E810" s="1" t="n">
        <v>46314</v>
      </c>
      <c r="F810" t="inlineStr">
        <is>
          <t>VÄRMLANDS LÄN</t>
        </is>
      </c>
      <c r="G810" t="inlineStr">
        <is>
          <t>HAGFORS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45799</v>
      </c>
      <c r="E811" s="1" t="n">
        <v>46314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46265</v>
      </c>
      <c r="E813" s="1" t="n">
        <v>46314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46309</v>
      </c>
      <c r="E814" s="1" t="n">
        <v>46314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35749-2026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46265</v>
      </c>
      <c r="E815" s="1" t="n">
        <v>46314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33823-2025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45842</v>
      </c>
      <c r="E816" s="1" t="n">
        <v>46314</v>
      </c>
      <c r="F816" t="inlineStr">
        <is>
          <t>VÄRMLANDS LÄN</t>
        </is>
      </c>
      <c r="G816" t="inlineStr">
        <is>
          <t>HAGFORS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46309</v>
      </c>
      <c r="E817" s="1" t="n">
        <v>46314</v>
      </c>
      <c r="F817" t="inlineStr">
        <is>
          <t>VÄRMLANDS LÄN</t>
        </is>
      </c>
      <c r="G817" t="inlineStr">
        <is>
          <t>HAGFORS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42691-2026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46309</v>
      </c>
      <c r="E818" s="1" t="n">
        <v>46314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26463-2025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45807</v>
      </c>
      <c r="E819" s="1" t="n">
        <v>46314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16755-2025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45754</v>
      </c>
      <c r="E820" s="1" t="n">
        <v>46314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7.7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38474-2024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45546</v>
      </c>
      <c r="E821" s="1" t="n">
        <v>46314</v>
      </c>
      <c r="F821" t="inlineStr">
        <is>
          <t>VÄRMLANDS LÄN</t>
        </is>
      </c>
      <c r="G821" t="inlineStr">
        <is>
          <t>HAGFORS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27071-2025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45811</v>
      </c>
      <c r="E822" s="1" t="n">
        <v>46314</v>
      </c>
      <c r="F822" t="inlineStr">
        <is>
          <t>VÄRMLANDS LÄN</t>
        </is>
      </c>
      <c r="G822" t="inlineStr">
        <is>
          <t>HAGFORS</t>
        </is>
      </c>
      <c r="I822" t="n">
        <v>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46314</v>
      </c>
      <c r="F823" t="inlineStr">
        <is>
          <t>VÄRMLANDS LÄN</t>
        </is>
      </c>
      <c r="G823" t="inlineStr">
        <is>
          <t>HAGFORS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46309</v>
      </c>
      <c r="E824" s="1" t="n">
        <v>46314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42776-2026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46309</v>
      </c>
      <c r="E825" s="1" t="n">
        <v>46314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26617-2025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45810</v>
      </c>
      <c r="E826" s="1" t="n">
        <v>46314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45811</v>
      </c>
      <c r="E827" s="1" t="n">
        <v>46314</v>
      </c>
      <c r="F827" t="inlineStr">
        <is>
          <t>VÄRMLANDS LÄN</t>
        </is>
      </c>
      <c r="G827" t="inlineStr">
        <is>
          <t>HAGFORS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45811</v>
      </c>
      <c r="E828" s="1" t="n">
        <v>46314</v>
      </c>
      <c r="F828" t="inlineStr">
        <is>
          <t>VÄRMLANDS LÄN</t>
        </is>
      </c>
      <c r="G828" t="inlineStr">
        <is>
          <t>HAGFORS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46314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46311</v>
      </c>
      <c r="E830" s="1" t="n">
        <v>46314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27263-2025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45812</v>
      </c>
      <c r="E831" s="1" t="n">
        <v>46314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45812</v>
      </c>
      <c r="E832" s="1" t="n">
        <v>46314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45812</v>
      </c>
      <c r="E833" s="1" t="n">
        <v>46314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45811</v>
      </c>
      <c r="E834" s="1" t="n">
        <v>46314</v>
      </c>
      <c r="F834" t="inlineStr">
        <is>
          <t>VÄRMLANDS LÄN</t>
        </is>
      </c>
      <c r="G834" t="inlineStr">
        <is>
          <t>HAGFORS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27181-2025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46314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27195-2025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45812</v>
      </c>
      <c r="E836" s="1" t="n">
        <v>46314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36447-2026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46269</v>
      </c>
      <c r="E837" s="1" t="n">
        <v>46314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36055-2026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46267</v>
      </c>
      <c r="E838" s="1" t="n">
        <v>46314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9.699999999999999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46269</v>
      </c>
      <c r="E839" s="1" t="n">
        <v>46314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50922-2023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45211</v>
      </c>
      <c r="E840" s="1" t="n">
        <v>46314</v>
      </c>
      <c r="F840" t="inlineStr">
        <is>
          <t>VÄRMLANDS LÄN</t>
        </is>
      </c>
      <c r="G840" t="inlineStr">
        <is>
          <t>HAGFORS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28437-2025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46314</v>
      </c>
      <c r="F841" t="inlineStr">
        <is>
          <t>VÄRMLANDS LÄN</t>
        </is>
      </c>
      <c r="G841" t="inlineStr">
        <is>
          <t>HAGFORS</t>
        </is>
      </c>
      <c r="H841" t="inlineStr">
        <is>
          <t>Kyrkan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28309-2025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45818</v>
      </c>
      <c r="E842" s="1" t="n">
        <v>46314</v>
      </c>
      <c r="F842" t="inlineStr">
        <is>
          <t>VÄRMLANDS LÄN</t>
        </is>
      </c>
      <c r="G842" t="inlineStr">
        <is>
          <t>HAGFORS</t>
        </is>
      </c>
      <c r="H842" t="inlineStr">
        <is>
          <t>Kyrkan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36110-2026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46267</v>
      </c>
      <c r="E843" s="1" t="n">
        <v>46314</v>
      </c>
      <c r="F843" t="inlineStr">
        <is>
          <t>VÄRMLANDS LÄN</t>
        </is>
      </c>
      <c r="G843" t="inlineStr">
        <is>
          <t>HAGFORS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45821</v>
      </c>
      <c r="E844" s="1" t="n">
        <v>46314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29115-2025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45821</v>
      </c>
      <c r="E845" s="1" t="n">
        <v>46314</v>
      </c>
      <c r="F845" t="inlineStr">
        <is>
          <t>VÄRMLANDS LÄN</t>
        </is>
      </c>
      <c r="G845" t="inlineStr">
        <is>
          <t>HAGFORS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46314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36221-2026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46268</v>
      </c>
      <c r="E847" s="1" t="n">
        <v>46314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46269</v>
      </c>
      <c r="E848" s="1" t="n">
        <v>46314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5.6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36281-2026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46314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36446-2026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46269</v>
      </c>
      <c r="E850" s="1" t="n">
        <v>46314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30124-2025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45826</v>
      </c>
      <c r="E851" s="1" t="n">
        <v>46314</v>
      </c>
      <c r="F851" t="inlineStr">
        <is>
          <t>VÄRMLANDS LÄN</t>
        </is>
      </c>
      <c r="G851" t="inlineStr">
        <is>
          <t>HAGFORS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29949-2025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45826</v>
      </c>
      <c r="E852" s="1" t="n">
        <v>46314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29958-2025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45826</v>
      </c>
      <c r="E853" s="1" t="n">
        <v>46314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45831</v>
      </c>
      <c r="E854" s="1" t="n">
        <v>46314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45841</v>
      </c>
      <c r="E855" s="1" t="n">
        <v>46314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33440-2025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45841</v>
      </c>
      <c r="E856" s="1" t="n">
        <v>46314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33454-2025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45841</v>
      </c>
      <c r="E857" s="1" t="n">
        <v>46314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46314</v>
      </c>
      <c r="F858" t="inlineStr">
        <is>
          <t>VÄRMLANDS LÄN</t>
        </is>
      </c>
      <c r="G858" t="inlineStr">
        <is>
          <t>HAGFORS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34133-2025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46314</v>
      </c>
      <c r="F859" t="inlineStr">
        <is>
          <t>VÄRMLANDS LÄN</t>
        </is>
      </c>
      <c r="G859" t="inlineStr">
        <is>
          <t>HAGFORS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34149-2025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46314</v>
      </c>
      <c r="F860" t="inlineStr">
        <is>
          <t>VÄRMLANDS LÄN</t>
        </is>
      </c>
      <c r="G860" t="inlineStr">
        <is>
          <t>HAGFORS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19515-2025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45770</v>
      </c>
      <c r="E861" s="1" t="n">
        <v>46314</v>
      </c>
      <c r="F861" t="inlineStr">
        <is>
          <t>VÄRMLANDS LÄN</t>
        </is>
      </c>
      <c r="G861" t="inlineStr">
        <is>
          <t>HAGFORS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45565</v>
      </c>
      <c r="E862" s="1" t="n">
        <v>46314</v>
      </c>
      <c r="F862" t="inlineStr">
        <is>
          <t>VÄRMLANDS LÄN</t>
        </is>
      </c>
      <c r="G862" t="inlineStr">
        <is>
          <t>HAGFORS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21954-2025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45784</v>
      </c>
      <c r="E863" s="1" t="n">
        <v>46314</v>
      </c>
      <c r="F863" t="inlineStr">
        <is>
          <t>VÄRMLANDS LÄN</t>
        </is>
      </c>
      <c r="G863" t="inlineStr">
        <is>
          <t>HAGFORS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45854</v>
      </c>
      <c r="E864" s="1" t="n">
        <v>46314</v>
      </c>
      <c r="F864" t="inlineStr">
        <is>
          <t>VÄRMLANDS LÄN</t>
        </is>
      </c>
      <c r="G864" t="inlineStr">
        <is>
          <t>HAGFORS</t>
        </is>
      </c>
      <c r="H864" t="inlineStr">
        <is>
          <t>Kyrkan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35289-2025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45854</v>
      </c>
      <c r="E865" s="1" t="n">
        <v>46314</v>
      </c>
      <c r="F865" t="inlineStr">
        <is>
          <t>VÄRMLANDS LÄN</t>
        </is>
      </c>
      <c r="G865" t="inlineStr">
        <is>
          <t>HAGFORS</t>
        </is>
      </c>
      <c r="H865" t="inlineStr">
        <is>
          <t>Kyrkan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23813-2025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45793</v>
      </c>
      <c r="E866" s="1" t="n">
        <v>46314</v>
      </c>
      <c r="F866" t="inlineStr">
        <is>
          <t>VÄRMLANDS LÄN</t>
        </is>
      </c>
      <c r="G866" t="inlineStr">
        <is>
          <t>HAGFORS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32604-2025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45838</v>
      </c>
      <c r="E867" s="1" t="n">
        <v>46314</v>
      </c>
      <c r="F867" t="inlineStr">
        <is>
          <t>VÄRMLANDS LÄN</t>
        </is>
      </c>
      <c r="G867" t="inlineStr">
        <is>
          <t>HAGFORS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29269-2025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45824</v>
      </c>
      <c r="E868" s="1" t="n">
        <v>46314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26.5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37027-2025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45874</v>
      </c>
      <c r="E869" s="1" t="n">
        <v>46314</v>
      </c>
      <c r="F869" t="inlineStr">
        <is>
          <t>VÄRMLANDS LÄN</t>
        </is>
      </c>
      <c r="G869" t="inlineStr">
        <is>
          <t>HAGFORS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43558-2024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45569</v>
      </c>
      <c r="E870" s="1" t="n">
        <v>46314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8830-2024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45356</v>
      </c>
      <c r="E871" s="1" t="n">
        <v>46314</v>
      </c>
      <c r="F871" t="inlineStr">
        <is>
          <t>VÄRMLANDS LÄN</t>
        </is>
      </c>
      <c r="G871" t="inlineStr">
        <is>
          <t>HAGFORS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16153-2025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45750</v>
      </c>
      <c r="E872" s="1" t="n">
        <v>46314</v>
      </c>
      <c r="F872" t="inlineStr">
        <is>
          <t>VÄRMLANDS LÄN</t>
        </is>
      </c>
      <c r="G872" t="inlineStr">
        <is>
          <t>HAGFORS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27185-2025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45812</v>
      </c>
      <c r="E873" s="1" t="n">
        <v>46314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2225-2020</t>
        </is>
      </c>
      <c r="B874" t="inlineStr">
        <is>
          <t>samrådsanmälan</t>
        </is>
      </c>
      <c r="C874" t="inlineStr">
        <is>
          <t>Åtgärd i nyckelbiotop</t>
        </is>
      </c>
      <c r="D874" s="1" t="n">
        <v>44127</v>
      </c>
      <c r="E874" s="1" t="n">
        <v>46314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2050-2022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44671</v>
      </c>
      <c r="E875" s="1" t="n">
        <v>46314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4419-2023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45266</v>
      </c>
      <c r="E876" s="1" t="n">
        <v>46314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35.6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4420-2023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46314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44.2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937-2022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46314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59.4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4426-2023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46314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9.699999999999999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5512-2022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44834</v>
      </c>
      <c r="E880" s="1" t="n">
        <v>46314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29.9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931-2022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46314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49.5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4415-2023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46314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9.199999999999999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44578</v>
      </c>
      <c r="E883" s="1" t="n">
        <v>46314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78.90000000000001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6970-2022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44901</v>
      </c>
      <c r="E884" s="1" t="n">
        <v>46314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29.3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4408-2023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46314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6968-2022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44901</v>
      </c>
      <c r="E886" s="1" t="n">
        <v>46314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4423-2023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46314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4418-2023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46314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907-2022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44606</v>
      </c>
      <c r="E889" s="1" t="n">
        <v>46314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43.5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651-2024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45356</v>
      </c>
      <c r="E890" s="1" t="n">
        <v>46314</v>
      </c>
      <c r="F890" t="inlineStr">
        <is>
          <t>VÄRMLANDS LÄN</t>
        </is>
      </c>
      <c r="G890" t="inlineStr">
        <is>
          <t>HAGFORS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913-2022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44606</v>
      </c>
      <c r="E891" s="1" t="n">
        <v>46314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4145-2023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45247</v>
      </c>
      <c r="E892" s="1" t="n">
        <v>46314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26.1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6967-2022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46314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89-2025</t>
        </is>
      </c>
      <c r="B894" t="inlineStr">
        <is>
          <t>samrådsanmälan</t>
        </is>
      </c>
      <c r="C894" t="inlineStr">
        <is>
          <t>Åtgärd i nyckelbiotop</t>
        </is>
      </c>
      <c r="D894" s="1" t="n">
        <v>45316</v>
      </c>
      <c r="E894" s="1" t="n">
        <v>46314</v>
      </c>
      <c r="F894" t="inlineStr">
        <is>
          <t>VÄRMLANDS LÄN</t>
        </is>
      </c>
      <c r="G894" t="inlineStr">
        <is>
          <t>HAGFORS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6969-2022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46314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220-2025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45680</v>
      </c>
      <c r="E896" s="1" t="n">
        <v>46314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898-2022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44606</v>
      </c>
      <c r="E897" s="1" t="n">
        <v>46314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24.9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4150-2023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46314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34.4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4410-2023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46314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39.3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900-2022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44606</v>
      </c>
      <c r="E900" s="1" t="n">
        <v>46314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914-2022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44606</v>
      </c>
      <c r="E901" s="1" t="n">
        <v>46314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19.3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4409-2023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45266</v>
      </c>
      <c r="E902" s="1" t="n">
        <v>46314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4155-2023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46314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40.9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4140-2023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45247</v>
      </c>
      <c r="E904" s="1" t="n">
        <v>46314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6977-2022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46314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6973-2022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44901</v>
      </c>
      <c r="E906" s="1" t="n">
        <v>46314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30.1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4143-2023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46314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4407-2023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45266</v>
      </c>
      <c r="E908" s="1" t="n">
        <v>46314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12.1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6965-2022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46314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662-2025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45716</v>
      </c>
      <c r="E910" s="1" t="n">
        <v>46314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52.4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108-2026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46037</v>
      </c>
      <c r="E911" s="1" t="n">
        <v>46314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204.4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102-2026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46036</v>
      </c>
      <c r="E912" s="1" t="n">
        <v>46314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57.9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46013</v>
      </c>
      <c r="E913" s="1" t="n">
        <v>46314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10.6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>
      <c r="A914" t="inlineStr">
        <is>
          <t>S 382-2025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45691</v>
      </c>
      <c r="E914" s="1" t="n">
        <v>46314</v>
      </c>
      <c r="F914" t="inlineStr">
        <is>
          <t>VÄRMLANDS LÄN</t>
        </is>
      </c>
      <c r="G914" t="inlineStr">
        <is>
          <t>HAGFORS</t>
        </is>
      </c>
      <c r="I914" t="n">
        <v>5.8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2026-10-19T02:01:04Z</dcterms:created>
  <dcterms:modified xmlns:dcterms="http://purl.org/dc/terms/" xmlns:xsi="http://www.w3.org/2001/XMLSchema-instance" xsi:type="dcterms:W3CDTF">2026-10-19T02:01:05Z</dcterms:modified>
</cp:coreProperties>
</file>