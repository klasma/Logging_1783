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46322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46322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46322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46322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46322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46322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46322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46322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46322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46322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46322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46322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46322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46322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46322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46322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46322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46322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46322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46322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46322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46322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46322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46322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46322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42725-2026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46309</v>
      </c>
      <c r="E27" s="1" t="n">
        <v>46322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3.1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Luddfingersvamp
Slaguggla</t>
        </is>
      </c>
      <c r="W27">
        <f>HYPERLINK("https://klasma.github.io/Logging_1783/artfynd/A 42725-2026 artfynd.xlsx", "A 42725-2026")</f>
        <v/>
      </c>
      <c r="X27">
        <f>HYPERLINK("https://klasma.github.io/Logging_1783/kartor/A 42725-2026 karta.png", "A 42725-2026")</f>
        <v/>
      </c>
      <c r="Y27">
        <f>HYPERLINK("https://klasma.github.io/Logging_1783/kartor_geotiff/A 42725-2026 georefererad karta.tif", "A 42725-2026")</f>
        <v/>
      </c>
      <c r="AA27">
        <f>HYPERLINK("https://klasma.github.io/Logging_1783/klagomål/A 42725-2026 FSC-klagomål.docx", "A 42725-2026")</f>
        <v/>
      </c>
      <c r="AB27">
        <f>HYPERLINK("https://klasma.github.io/Logging_1783/klagomålsmail/A 42725-2026 FSC-klagomål mail.docx", "A 42725-2026")</f>
        <v/>
      </c>
      <c r="AC27">
        <f>HYPERLINK("https://klasma.github.io/Logging_1783/tillsyn/A 42725-2026 tillsynsbegäran.docx", "A 42725-2026")</f>
        <v/>
      </c>
      <c r="AD27">
        <f>HYPERLINK("https://klasma.github.io/Logging_1783/tillsynsmail/A 42725-2026 tillsynsbegäran mail.docx", "A 42725-2026")</f>
        <v/>
      </c>
      <c r="AE27">
        <f>HYPERLINK("https://klasma.github.io/Logging_1783/fåglar/A 42725-2026 prioriterade fågelarter.docx", "A 42725-2026")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46322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46322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46322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46322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46322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50030-2025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46322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9.9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HYPERLINK("https://klasma.github.io/Logging_1783/artfynd/A 50030-2025 artfynd.xlsx", "A 50030-2025")</f>
        <v/>
      </c>
      <c r="X33">
        <f>HYPERLINK("https://klasma.github.io/Logging_1783/kartor/A 50030-2025 karta.png", "A 50030-2025")</f>
        <v/>
      </c>
      <c r="Y33">
        <f>HYPERLINK("https://klasma.github.io/Logging_1783/kartor_geotiff/A 50030-2025 georefererad karta.tif", "A 50030-2025")</f>
        <v/>
      </c>
      <c r="AA33">
        <f>HYPERLINK("https://klasma.github.io/Logging_1783/klagomål/A 50030-2025 FSC-klagomål.docx", "A 50030-2025")</f>
        <v/>
      </c>
      <c r="AB33">
        <f>HYPERLINK("https://klasma.github.io/Logging_1783/klagomålsmail/A 50030-2025 FSC-klagomål mail.docx", "A 50030-2025")</f>
        <v/>
      </c>
      <c r="AC33">
        <f>HYPERLINK("https://klasma.github.io/Logging_1783/tillsyn/A 50030-2025 tillsynsbegäran.docx", "A 50030-2025")</f>
        <v/>
      </c>
      <c r="AD33">
        <f>HYPERLINK("https://klasma.github.io/Logging_1783/tillsynsmail/A 50030-2025 tillsynsbegäran mail.docx", "A 50030-2025")</f>
        <v/>
      </c>
    </row>
    <row r="34" ht="15" customHeight="1">
      <c r="A34" t="inlineStr">
        <is>
          <t>A 55484-2025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46322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HYPERLINK("https://klasma.github.io/Logging_1783/artfynd/A 55484-2025 artfynd.xlsx", "A 55484-2025")</f>
        <v/>
      </c>
      <c r="X34">
        <f>HYPERLINK("https://klasma.github.io/Logging_1783/kartor/A 55484-2025 karta.png", "A 55484-2025")</f>
        <v/>
      </c>
      <c r="Y34">
        <f>HYPERLINK("https://klasma.github.io/Logging_1783/kartor_geotiff/A 55484-2025 georefererad karta.tif", "A 55484-2025")</f>
        <v/>
      </c>
      <c r="AA34">
        <f>HYPERLINK("https://klasma.github.io/Logging_1783/klagomål/A 55484-2025 FSC-klagomål.docx", "A 55484-2025")</f>
        <v/>
      </c>
      <c r="AB34">
        <f>HYPERLINK("https://klasma.github.io/Logging_1783/klagomålsmail/A 55484-2025 FSC-klagomål mail.docx", "A 55484-2025")</f>
        <v/>
      </c>
      <c r="AC34">
        <f>HYPERLINK("https://klasma.github.io/Logging_1783/tillsyn/A 55484-2025 tillsynsbegäran.docx", "A 55484-2025")</f>
        <v/>
      </c>
      <c r="AD34">
        <f>HYPERLINK("https://klasma.github.io/Logging_1783/tillsynsmail/A 55484-2025 tillsynsbegäran mail.docx", "A 55484-2025")</f>
        <v/>
      </c>
    </row>
    <row r="35" ht="15" customHeight="1">
      <c r="A35" t="inlineStr">
        <is>
          <t>A 22484-2025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45786</v>
      </c>
      <c r="E35" s="1" t="n">
        <v>46322</v>
      </c>
      <c r="F35" t="inlineStr">
        <is>
          <t>VÄRMLANDS LÄN</t>
        </is>
      </c>
      <c r="G35" t="inlineStr">
        <is>
          <t>HAGFORS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Rödlånke</t>
        </is>
      </c>
      <c r="W35">
        <f>HYPERLINK("https://klasma.github.io/Logging_1783/artfynd/A 22484-2025 artfynd.xlsx", "A 22484-2025")</f>
        <v/>
      </c>
      <c r="X35">
        <f>HYPERLINK("https://klasma.github.io/Logging_1783/kartor/A 22484-2025 karta.png", "A 22484-2025")</f>
        <v/>
      </c>
      <c r="Y35">
        <f>HYPERLINK("https://klasma.github.io/Logging_1783/kartor_geotiff/A 22484-2025 georefererad karta.tif", "A 22484-2025")</f>
        <v/>
      </c>
      <c r="AA35">
        <f>HYPERLINK("https://klasma.github.io/Logging_1783/klagomål/A 22484-2025 FSC-klagomål.docx", "A 22484-2025")</f>
        <v/>
      </c>
      <c r="AB35">
        <f>HYPERLINK("https://klasma.github.io/Logging_1783/klagomålsmail/A 22484-2025 FSC-klagomål mail.docx", "A 22484-2025")</f>
        <v/>
      </c>
      <c r="AC35">
        <f>HYPERLINK("https://klasma.github.io/Logging_1783/tillsyn/A 22484-2025 tillsynsbegäran.docx", "A 22484-2025")</f>
        <v/>
      </c>
      <c r="AD35">
        <f>HYPERLINK("https://klasma.github.io/Logging_1783/tillsynsmail/A 22484-2025 tillsynsbegäran mail.docx", "A 22484-2025")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46322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46322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26624-2025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45810</v>
      </c>
      <c r="E38" s="1" t="n">
        <v>46322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HYPERLINK("https://klasma.github.io/Logging_1783/artfynd/A 26624-2025 artfynd.xlsx", "A 26624-2025")</f>
        <v/>
      </c>
      <c r="X38">
        <f>HYPERLINK("https://klasma.github.io/Logging_1783/kartor/A 26624-2025 karta.png", "A 26624-2025")</f>
        <v/>
      </c>
      <c r="Y38">
        <f>HYPERLINK("https://klasma.github.io/Logging_1783/kartor_geotiff/A 26624-2025 georefererad karta.tif", "A 26624-2025")</f>
        <v/>
      </c>
      <c r="AA38">
        <f>HYPERLINK("https://klasma.github.io/Logging_1783/klagomål/A 26624-2025 FSC-klagomål.docx", "A 26624-2025")</f>
        <v/>
      </c>
      <c r="AB38">
        <f>HYPERLINK("https://klasma.github.io/Logging_1783/klagomålsmail/A 26624-2025 FSC-klagomål mail.docx", "A 26624-2025")</f>
        <v/>
      </c>
      <c r="AC38">
        <f>HYPERLINK("https://klasma.github.io/Logging_1783/tillsyn/A 26624-2025 tillsynsbegäran.docx", "A 26624-2025")</f>
        <v/>
      </c>
      <c r="AD38">
        <f>HYPERLINK("https://klasma.github.io/Logging_1783/tillsynsmail/A 26624-2025 tillsynsbegäran mail.docx", "A 26624-2025")</f>
        <v/>
      </c>
    </row>
    <row r="39" ht="15" customHeight="1">
      <c r="A39" t="inlineStr">
        <is>
          <t>A 21309-2023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46322</v>
      </c>
      <c r="F39" t="inlineStr">
        <is>
          <t>VÄRMLANDS LÄN</t>
        </is>
      </c>
      <c r="G39" t="inlineStr">
        <is>
          <t>HAGFORS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Kattfot</t>
        </is>
      </c>
      <c r="W39">
        <f>HYPERLINK("https://klasma.github.io/Logging_1783/artfynd/A 21309-2023 artfynd.xlsx", "A 21309-2023")</f>
        <v/>
      </c>
      <c r="X39">
        <f>HYPERLINK("https://klasma.github.io/Logging_1783/kartor/A 21309-2023 karta.png", "A 21309-2023")</f>
        <v/>
      </c>
      <c r="Y39">
        <f>HYPERLINK("https://klasma.github.io/Logging_1783/kartor_geotiff/A 21309-2023 georefererad karta.tif", "A 21309-2023")</f>
        <v/>
      </c>
      <c r="AA39">
        <f>HYPERLINK("https://klasma.github.io/Logging_1783/klagomål/A 21309-2023 FSC-klagomål.docx", "A 21309-2023")</f>
        <v/>
      </c>
      <c r="AB39">
        <f>HYPERLINK("https://klasma.github.io/Logging_1783/klagomålsmail/A 21309-2023 FSC-klagomål mail.docx", "A 21309-2023")</f>
        <v/>
      </c>
      <c r="AC39">
        <f>HYPERLINK("https://klasma.github.io/Logging_1783/tillsyn/A 21309-2023 tillsynsbegäran.docx", "A 21309-2023")</f>
        <v/>
      </c>
      <c r="AD39">
        <f>HYPERLINK("https://klasma.github.io/Logging_1783/tillsynsmail/A 21309-2023 tillsynsbegäran mail.docx", "A 21309-2023")</f>
        <v/>
      </c>
    </row>
    <row r="40" ht="15" customHeight="1">
      <c r="A40" t="inlineStr">
        <is>
          <t>A 51194-2022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46322</v>
      </c>
      <c r="F40" t="inlineStr">
        <is>
          <t>VÄRMLANDS LÄN</t>
        </is>
      </c>
      <c r="G40" t="inlineStr">
        <is>
          <t>HAGFORS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HYPERLINK("https://klasma.github.io/Logging_1783/artfynd/A 51194-2022 artfynd.xlsx", "A 51194-2022")</f>
        <v/>
      </c>
      <c r="X40">
        <f>HYPERLINK("https://klasma.github.io/Logging_1783/kartor/A 51194-2022 karta.png", "A 51194-2022")</f>
        <v/>
      </c>
      <c r="Y40">
        <f>HYPERLINK("https://klasma.github.io/Logging_1783/kartor_geotiff/A 51194-2022 georefererad karta.tif", "A 51194-2022")</f>
        <v/>
      </c>
      <c r="AA40">
        <f>HYPERLINK("https://klasma.github.io/Logging_1783/klagomål/A 51194-2022 FSC-klagomål.docx", "A 51194-2022")</f>
        <v/>
      </c>
      <c r="AB40">
        <f>HYPERLINK("https://klasma.github.io/Logging_1783/klagomålsmail/A 51194-2022 FSC-klagomål mail.docx", "A 51194-2022")</f>
        <v/>
      </c>
      <c r="AC40">
        <f>HYPERLINK("https://klasma.github.io/Logging_1783/tillsyn/A 51194-2022 tillsynsbegäran.docx", "A 51194-2022")</f>
        <v/>
      </c>
      <c r="AD40">
        <f>HYPERLINK("https://klasma.github.io/Logging_1783/tillsynsmail/A 51194-2022 tillsynsbegäran mail.docx", "A 51194-2022")</f>
        <v/>
      </c>
    </row>
    <row r="41" ht="15" customHeight="1">
      <c r="A41" t="inlineStr">
        <is>
          <t>A 33848-2025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45842</v>
      </c>
      <c r="E41" s="1" t="n">
        <v>46322</v>
      </c>
      <c r="F41" t="inlineStr">
        <is>
          <t>VÄRMLANDS LÄN</t>
        </is>
      </c>
      <c r="G41" t="inlineStr">
        <is>
          <t>HAGFORS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33848-2025 artfynd.xlsx", "A 33848-2025")</f>
        <v/>
      </c>
      <c r="X41">
        <f>HYPERLINK("https://klasma.github.io/Logging_1783/kartor/A 33848-2025 karta.png", "A 33848-2025")</f>
        <v/>
      </c>
      <c r="Y41">
        <f>HYPERLINK("https://klasma.github.io/Logging_1783/kartor_geotiff/A 33848-2025 georefererad karta.tif", "A 33848-2025")</f>
        <v/>
      </c>
      <c r="AA41">
        <f>HYPERLINK("https://klasma.github.io/Logging_1783/klagomål/A 33848-2025 FSC-klagomål.docx", "A 33848-2025")</f>
        <v/>
      </c>
      <c r="AB41">
        <f>HYPERLINK("https://klasma.github.io/Logging_1783/klagomålsmail/A 33848-2025 FSC-klagomål mail.docx", "A 33848-2025")</f>
        <v/>
      </c>
      <c r="AC41">
        <f>HYPERLINK("https://klasma.github.io/Logging_1783/tillsyn/A 33848-2025 tillsynsbegäran.docx", "A 33848-2025")</f>
        <v/>
      </c>
      <c r="AD41">
        <f>HYPERLINK("https://klasma.github.io/Logging_1783/tillsynsmail/A 33848-2025 tillsynsbegäran mail.docx", "A 33848-2025")</f>
        <v/>
      </c>
    </row>
    <row r="42" ht="15" customHeight="1">
      <c r="A42" t="inlineStr">
        <is>
          <t>A 29432-2026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46322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3.1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HYPERLINK("https://klasma.github.io/Logging_1783/artfynd/A 29432-2026 artfynd.xlsx", "A 29432-2026")</f>
        <v/>
      </c>
      <c r="X42">
        <f>HYPERLINK("https://klasma.github.io/Logging_1783/kartor/A 29432-2026 karta.png", "A 29432-2026")</f>
        <v/>
      </c>
      <c r="Y42">
        <f>HYPERLINK("https://klasma.github.io/Logging_1783/kartor_geotiff/A 29432-2026 georefererad karta.tif", "A 29432-2026")</f>
        <v/>
      </c>
      <c r="AA42">
        <f>HYPERLINK("https://klasma.github.io/Logging_1783/klagomål/A 29432-2026 FSC-klagomål.docx", "A 29432-2026")</f>
        <v/>
      </c>
      <c r="AB42">
        <f>HYPERLINK("https://klasma.github.io/Logging_1783/klagomålsmail/A 29432-2026 FSC-klagomål mail.docx", "A 29432-2026")</f>
        <v/>
      </c>
      <c r="AC42">
        <f>HYPERLINK("https://klasma.github.io/Logging_1783/tillsyn/A 29432-2026 tillsynsbegäran.docx", "A 29432-2026")</f>
        <v/>
      </c>
      <c r="AD42">
        <f>HYPERLINK("https://klasma.github.io/Logging_1783/tillsynsmail/A 29432-2026 tillsynsbegäran mail.docx", "A 29432-2026")</f>
        <v/>
      </c>
    </row>
    <row r="43" ht="15" customHeight="1">
      <c r="A43" t="inlineStr">
        <is>
          <t>A 62954-2025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46322</v>
      </c>
      <c r="F43" t="inlineStr">
        <is>
          <t>VÄRMLANDS LÄN</t>
        </is>
      </c>
      <c r="G43" t="inlineStr">
        <is>
          <t>HAGFORS</t>
        </is>
      </c>
      <c r="I43" t="n">
        <v>9.1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Kråka</t>
        </is>
      </c>
      <c r="W43">
        <f>HYPERLINK("https://klasma.github.io/Logging_1783/artfynd/A 62954-2025 artfynd.xlsx", "A 62954-2025")</f>
        <v/>
      </c>
      <c r="X43">
        <f>HYPERLINK("https://klasma.github.io/Logging_1783/kartor/A 62954-2025 karta.png", "A 62954-2025")</f>
        <v/>
      </c>
      <c r="Y43">
        <f>HYPERLINK("https://klasma.github.io/Logging_1783/kartor_geotiff/A 62954-2025 georefererad karta.tif", "A 62954-2025")</f>
        <v/>
      </c>
      <c r="AA43">
        <f>HYPERLINK("https://klasma.github.io/Logging_1783/klagomål/A 62954-2025 FSC-klagomål.docx", "A 62954-2025")</f>
        <v/>
      </c>
      <c r="AB43">
        <f>HYPERLINK("https://klasma.github.io/Logging_1783/klagomålsmail/A 62954-2025 FSC-klagomål mail.docx", "A 62954-2025")</f>
        <v/>
      </c>
      <c r="AC43">
        <f>HYPERLINK("https://klasma.github.io/Logging_1783/tillsyn/A 62954-2025 tillsynsbegäran.docx", "A 62954-2025")</f>
        <v/>
      </c>
      <c r="AD43">
        <f>HYPERLINK("https://klasma.github.io/Logging_1783/tillsynsmail/A 62954-2025 tillsynsbegäran mail.docx", "A 62954-2025")</f>
        <v/>
      </c>
    </row>
    <row r="44" ht="15" customHeight="1">
      <c r="A44" t="inlineStr">
        <is>
          <t>A 33905-2025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45842</v>
      </c>
      <c r="E44" s="1" t="n">
        <v>46322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33905-2025 artfynd.xlsx", "A 33905-2025")</f>
        <v/>
      </c>
      <c r="X44">
        <f>HYPERLINK("https://klasma.github.io/Logging_1783/kartor/A 33905-2025 karta.png", "A 33905-2025")</f>
        <v/>
      </c>
      <c r="Y44">
        <f>HYPERLINK("https://klasma.github.io/Logging_1783/kartor_geotiff/A 33905-2025 georefererad karta.tif", "A 33905-2025")</f>
        <v/>
      </c>
      <c r="AA44">
        <f>HYPERLINK("https://klasma.github.io/Logging_1783/klagomål/A 33905-2025 FSC-klagomål.docx", "A 33905-2025")</f>
        <v/>
      </c>
      <c r="AB44">
        <f>HYPERLINK("https://klasma.github.io/Logging_1783/klagomålsmail/A 33905-2025 FSC-klagomål mail.docx", "A 33905-2025")</f>
        <v/>
      </c>
      <c r="AC44">
        <f>HYPERLINK("https://klasma.github.io/Logging_1783/tillsyn/A 33905-2025 tillsynsbegäran.docx", "A 33905-2025")</f>
        <v/>
      </c>
      <c r="AD44">
        <f>HYPERLINK("https://klasma.github.io/Logging_1783/tillsynsmail/A 33905-2025 tillsynsbegäran mail.docx", "A 33905-2025")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46322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46322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46322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31742-2026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46227</v>
      </c>
      <c r="E48" s="1" t="n">
        <v>46322</v>
      </c>
      <c r="F48" t="inlineStr">
        <is>
          <t>VÄRMLANDS LÄN</t>
        </is>
      </c>
      <c r="G48" t="inlineStr">
        <is>
          <t>HAGFORS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HYPERLINK("https://klasma.github.io/Logging_1783/artfynd/A 31742-2026 artfynd.xlsx", "A 31742-2026")</f>
        <v/>
      </c>
      <c r="X48">
        <f>HYPERLINK("https://klasma.github.io/Logging_1783/kartor/A 31742-2026 karta.png", "A 31742-2026")</f>
        <v/>
      </c>
      <c r="Y48">
        <f>HYPERLINK("https://klasma.github.io/Logging_1783/kartor_geotiff/A 31742-2026 georefererad karta.tif", "A 31742-2026")</f>
        <v/>
      </c>
      <c r="AA48">
        <f>HYPERLINK("https://klasma.github.io/Logging_1783/klagomål/A 31742-2026 FSC-klagomål.docx", "A 31742-2026")</f>
        <v/>
      </c>
      <c r="AB48">
        <f>HYPERLINK("https://klasma.github.io/Logging_1783/klagomålsmail/A 31742-2026 FSC-klagomål mail.docx", "A 31742-2026")</f>
        <v/>
      </c>
      <c r="AC48">
        <f>HYPERLINK("https://klasma.github.io/Logging_1783/tillsyn/A 31742-2026 tillsynsbegäran.docx", "A 31742-2026")</f>
        <v/>
      </c>
      <c r="AD48">
        <f>HYPERLINK("https://klasma.github.io/Logging_1783/tillsynsmail/A 31742-2026 tillsynsbegäran mail.docx", "A 31742-2026")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46322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46322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46322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32592-2026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46240</v>
      </c>
      <c r="E52" s="1" t="n">
        <v>46322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HYPERLINK("https://klasma.github.io/Logging_1783/artfynd/A 32592-2026 artfynd.xlsx", "A 32592-2026")</f>
        <v/>
      </c>
      <c r="X52">
        <f>HYPERLINK("https://klasma.github.io/Logging_1783/kartor/A 32592-2026 karta.png", "A 32592-2026")</f>
        <v/>
      </c>
      <c r="Y52">
        <f>HYPERLINK("https://klasma.github.io/Logging_1783/kartor_geotiff/A 32592-2026 georefererad karta.tif", "A 32592-2026")</f>
        <v/>
      </c>
      <c r="AA52">
        <f>HYPERLINK("https://klasma.github.io/Logging_1783/klagomål/A 32592-2026 FSC-klagomål.docx", "A 32592-2026")</f>
        <v/>
      </c>
      <c r="AB52">
        <f>HYPERLINK("https://klasma.github.io/Logging_1783/klagomålsmail/A 32592-2026 FSC-klagomål mail.docx", "A 32592-2026")</f>
        <v/>
      </c>
      <c r="AC52">
        <f>HYPERLINK("https://klasma.github.io/Logging_1783/tillsyn/A 32592-2026 tillsynsbegäran.docx", "A 32592-2026")</f>
        <v/>
      </c>
      <c r="AD52">
        <f>HYPERLINK("https://klasma.github.io/Logging_1783/tillsynsmail/A 32592-2026 tillsynsbegäran mail.docx", "A 32592-2026")</f>
        <v/>
      </c>
    </row>
    <row r="53" ht="15" customHeight="1">
      <c r="A53" t="inlineStr">
        <is>
          <t>A 34158-2025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45845</v>
      </c>
      <c r="E53" s="1" t="n">
        <v>46322</v>
      </c>
      <c r="F53" t="inlineStr">
        <is>
          <t>VÄRMLANDS LÄN</t>
        </is>
      </c>
      <c r="G53" t="inlineStr">
        <is>
          <t>HAGFORS</t>
        </is>
      </c>
      <c r="I53" t="n">
        <v>5.8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Korallblylav</t>
        </is>
      </c>
      <c r="W53">
        <f>HYPERLINK("https://klasma.github.io/Logging_1783/artfynd/A 34158-2025 artfynd.xlsx", "A 34158-2025")</f>
        <v/>
      </c>
      <c r="X53">
        <f>HYPERLINK("https://klasma.github.io/Logging_1783/kartor/A 34158-2025 karta.png", "A 34158-2025")</f>
        <v/>
      </c>
      <c r="Y53">
        <f>HYPERLINK("https://klasma.github.io/Logging_1783/kartor_geotiff/A 34158-2025 georefererad karta.tif", "A 34158-2025")</f>
        <v/>
      </c>
      <c r="AA53">
        <f>HYPERLINK("https://klasma.github.io/Logging_1783/klagomål/A 34158-2025 FSC-klagomål.docx", "A 34158-2025")</f>
        <v/>
      </c>
      <c r="AB53">
        <f>HYPERLINK("https://klasma.github.io/Logging_1783/klagomålsmail/A 34158-2025 FSC-klagomål mail.docx", "A 34158-2025")</f>
        <v/>
      </c>
      <c r="AC53">
        <f>HYPERLINK("https://klasma.github.io/Logging_1783/tillsyn/A 34158-2025 tillsynsbegäran.docx", "A 34158-2025")</f>
        <v/>
      </c>
      <c r="AD53">
        <f>HYPERLINK("https://klasma.github.io/Logging_1783/tillsynsmail/A 34158-2025 tillsynsbegäran mail.docx", "A 34158-2025")</f>
        <v/>
      </c>
    </row>
    <row r="54" ht="15" customHeight="1">
      <c r="A54" t="inlineStr">
        <is>
          <t>A 40211-2026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46290</v>
      </c>
      <c r="E54" s="1" t="n">
        <v>46322</v>
      </c>
      <c r="F54" t="inlineStr">
        <is>
          <t>VÄRMLANDS LÄN</t>
        </is>
      </c>
      <c r="G54" t="inlineStr">
        <is>
          <t>HAGFORS</t>
        </is>
      </c>
      <c r="I54" t="n">
        <v>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40211-2026 artfynd.xlsx", "A 40211-2026")</f>
        <v/>
      </c>
      <c r="X54">
        <f>HYPERLINK("https://klasma.github.io/Logging_1783/kartor/A 40211-2026 karta.png", "A 40211-2026")</f>
        <v/>
      </c>
      <c r="Y54">
        <f>HYPERLINK("https://klasma.github.io/Logging_1783/kartor_geotiff/A 40211-2026 georefererad karta.tif", "A 40211-2026")</f>
        <v/>
      </c>
      <c r="AA54">
        <f>HYPERLINK("https://klasma.github.io/Logging_1783/klagomål/A 40211-2026 FSC-klagomål.docx", "A 40211-2026")</f>
        <v/>
      </c>
      <c r="AB54">
        <f>HYPERLINK("https://klasma.github.io/Logging_1783/klagomålsmail/A 40211-2026 FSC-klagomål mail.docx", "A 40211-2026")</f>
        <v/>
      </c>
      <c r="AC54">
        <f>HYPERLINK("https://klasma.github.io/Logging_1783/tillsyn/A 40211-2026 tillsynsbegäran.docx", "A 40211-2026")</f>
        <v/>
      </c>
      <c r="AD54">
        <f>HYPERLINK("https://klasma.github.io/Logging_1783/tillsynsmail/A 40211-2026 tillsynsbegäran mail.docx", "A 40211-2026")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46322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24659-2026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46322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HYPERLINK("https://klasma.github.io/Logging_1783/artfynd/A 24659-2026 artfynd.xlsx", "A 24659-2026")</f>
        <v/>
      </c>
      <c r="X56">
        <f>HYPERLINK("https://klasma.github.io/Logging_1783/kartor/A 24659-2026 karta.png", "A 24659-2026")</f>
        <v/>
      </c>
      <c r="Y56">
        <f>HYPERLINK("https://klasma.github.io/Logging_1783/kartor_geotiff/A 24659-2026 georefererad karta.tif", "A 24659-2026")</f>
        <v/>
      </c>
      <c r="AA56">
        <f>HYPERLINK("https://klasma.github.io/Logging_1783/klagomål/A 24659-2026 FSC-klagomål.docx", "A 24659-2026")</f>
        <v/>
      </c>
      <c r="AB56">
        <f>HYPERLINK("https://klasma.github.io/Logging_1783/klagomålsmail/A 24659-2026 FSC-klagomål mail.docx", "A 24659-2026")</f>
        <v/>
      </c>
      <c r="AC56">
        <f>HYPERLINK("https://klasma.github.io/Logging_1783/tillsyn/A 24659-2026 tillsynsbegäran.docx", "A 24659-2026")</f>
        <v/>
      </c>
      <c r="AD56">
        <f>HYPERLINK("https://klasma.github.io/Logging_1783/tillsynsmail/A 24659-2026 tillsynsbegäran mail.docx", "A 24659-2026")</f>
        <v/>
      </c>
    </row>
    <row r="57" ht="15" customHeight="1">
      <c r="A57" t="inlineStr">
        <is>
          <t>A 24716-2026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46322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24716-2026 artfynd.xlsx", "A 24716-2026")</f>
        <v/>
      </c>
      <c r="X57">
        <f>HYPERLINK("https://klasma.github.io/Logging_1783/kartor/A 24716-2026 karta.png", "A 24716-2026")</f>
        <v/>
      </c>
      <c r="Y57">
        <f>HYPERLINK("https://klasma.github.io/Logging_1783/kartor_geotiff/A 24716-2026 georefererad karta.tif", "A 24716-2026")</f>
        <v/>
      </c>
      <c r="AA57">
        <f>HYPERLINK("https://klasma.github.io/Logging_1783/klagomål/A 24716-2026 FSC-klagomål.docx", "A 24716-2026")</f>
        <v/>
      </c>
      <c r="AB57">
        <f>HYPERLINK("https://klasma.github.io/Logging_1783/klagomålsmail/A 24716-2026 FSC-klagomål mail.docx", "A 24716-2026")</f>
        <v/>
      </c>
      <c r="AC57">
        <f>HYPERLINK("https://klasma.github.io/Logging_1783/tillsyn/A 24716-2026 tillsynsbegäran.docx", "A 24716-2026")</f>
        <v/>
      </c>
      <c r="AD57">
        <f>HYPERLINK("https://klasma.github.io/Logging_1783/tillsynsmail/A 24716-2026 tillsynsbegäran mail.docx", "A 24716-2026")</f>
        <v/>
      </c>
    </row>
    <row r="58" ht="15" customHeight="1">
      <c r="A58" t="inlineStr">
        <is>
          <t>A 26189-2026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46322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Sävsparv</t>
        </is>
      </c>
      <c r="W58">
        <f>HYPERLINK("https://klasma.github.io/Logging_1783/artfynd/A 26189-2026 artfynd.xlsx", "A 26189-2026")</f>
        <v/>
      </c>
      <c r="X58">
        <f>HYPERLINK("https://klasma.github.io/Logging_1783/kartor/A 26189-2026 karta.png", "A 26189-2026")</f>
        <v/>
      </c>
      <c r="Y58">
        <f>HYPERLINK("https://klasma.github.io/Logging_1783/kartor_geotiff/A 26189-2026 georefererad karta.tif", "A 26189-2026")</f>
        <v/>
      </c>
      <c r="AA58">
        <f>HYPERLINK("https://klasma.github.io/Logging_1783/klagomål/A 26189-2026 FSC-klagomål.docx", "A 26189-2026")</f>
        <v/>
      </c>
      <c r="AB58">
        <f>HYPERLINK("https://klasma.github.io/Logging_1783/klagomålsmail/A 26189-2026 FSC-klagomål mail.docx", "A 26189-2026")</f>
        <v/>
      </c>
      <c r="AC58">
        <f>HYPERLINK("https://klasma.github.io/Logging_1783/tillsyn/A 26189-2026 tillsynsbegäran.docx", "A 26189-2026")</f>
        <v/>
      </c>
      <c r="AD58">
        <f>HYPERLINK("https://klasma.github.io/Logging_1783/tillsynsmail/A 26189-2026 tillsynsbegäran mail.docx", "A 26189-2026")</f>
        <v/>
      </c>
      <c r="AE58">
        <f>HYPERLINK("https://klasma.github.io/Logging_1783/fåglar/A 26189-2026 prioriterade fågelarter.docx", "A 26189-2026")</f>
        <v/>
      </c>
    </row>
    <row r="59" ht="15" customHeight="1">
      <c r="A59" t="inlineStr">
        <is>
          <t>A 38267-2024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46322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HYPERLINK("https://klasma.github.io/Logging_1783/artfynd/A 38267-2024 artfynd.xlsx", "A 38267-2024")</f>
        <v/>
      </c>
      <c r="X59">
        <f>HYPERLINK("https://klasma.github.io/Logging_1783/kartor/A 38267-2024 karta.png", "A 38267-2024")</f>
        <v/>
      </c>
      <c r="Y59">
        <f>HYPERLINK("https://klasma.github.io/Logging_1783/kartor_geotiff/A 38267-2024 georefererad karta.tif", "A 38267-2024")</f>
        <v/>
      </c>
      <c r="AA59">
        <f>HYPERLINK("https://klasma.github.io/Logging_1783/klagomål/A 38267-2024 FSC-klagomål.docx", "A 38267-2024")</f>
        <v/>
      </c>
      <c r="AB59">
        <f>HYPERLINK("https://klasma.github.io/Logging_1783/klagomålsmail/A 38267-2024 FSC-klagomål mail.docx", "A 38267-2024")</f>
        <v/>
      </c>
      <c r="AC59">
        <f>HYPERLINK("https://klasma.github.io/Logging_1783/tillsyn/A 38267-2024 tillsynsbegäran.docx", "A 38267-2024")</f>
        <v/>
      </c>
      <c r="AD59">
        <f>HYPERLINK("https://klasma.github.io/Logging_1783/tillsynsmail/A 38267-2024 tillsynsbegäran mail.docx", "A 38267-2024")</f>
        <v/>
      </c>
    </row>
    <row r="60" ht="15" customHeight="1">
      <c r="A60" t="inlineStr">
        <is>
          <t>A 56083-2022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46322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19.1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HYPERLINK("https://klasma.github.io/Logging_1783/artfynd/A 56083-2022 artfynd.xlsx", "A 56083-2022")</f>
        <v/>
      </c>
      <c r="X60">
        <f>HYPERLINK("https://klasma.github.io/Logging_1783/kartor/A 56083-2022 karta.png", "A 56083-2022")</f>
        <v/>
      </c>
      <c r="Y60">
        <f>HYPERLINK("https://klasma.github.io/Logging_1783/kartor_geotiff/A 56083-2022 georefererad karta.tif", "A 56083-2022")</f>
        <v/>
      </c>
      <c r="AA60">
        <f>HYPERLINK("https://klasma.github.io/Logging_1783/klagomål/A 56083-2022 FSC-klagomål.docx", "A 56083-2022")</f>
        <v/>
      </c>
      <c r="AB60">
        <f>HYPERLINK("https://klasma.github.io/Logging_1783/klagomålsmail/A 56083-2022 FSC-klagomål mail.docx", "A 56083-2022")</f>
        <v/>
      </c>
      <c r="AC60">
        <f>HYPERLINK("https://klasma.github.io/Logging_1783/tillsyn/A 56083-2022 tillsynsbegäran.docx", "A 56083-2022")</f>
        <v/>
      </c>
      <c r="AD60">
        <f>HYPERLINK("https://klasma.github.io/Logging_1783/tillsynsmail/A 56083-2022 tillsynsbegäran mail.docx", "A 56083-2022")</f>
        <v/>
      </c>
    </row>
    <row r="61" ht="15" customHeight="1">
      <c r="A61" t="inlineStr">
        <is>
          <t>A 3199-2022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46322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Tofsmes</t>
        </is>
      </c>
      <c r="W61">
        <f>HYPERLINK("https://klasma.github.io/Logging_1783/artfynd/A 3199-2022 artfynd.xlsx", "A 3199-2022")</f>
        <v/>
      </c>
      <c r="X61">
        <f>HYPERLINK("https://klasma.github.io/Logging_1783/kartor/A 3199-2022 karta.png", "A 3199-2022")</f>
        <v/>
      </c>
      <c r="Y61">
        <f>HYPERLINK("https://klasma.github.io/Logging_1783/kartor_geotiff/A 3199-2022 georefererad karta.tif", "A 3199-2022")</f>
        <v/>
      </c>
      <c r="AA61">
        <f>HYPERLINK("https://klasma.github.io/Logging_1783/klagomål/A 3199-2022 FSC-klagomål.docx", "A 3199-2022")</f>
        <v/>
      </c>
      <c r="AB61">
        <f>HYPERLINK("https://klasma.github.io/Logging_1783/klagomålsmail/A 3199-2022 FSC-klagomål mail.docx", "A 3199-2022")</f>
        <v/>
      </c>
      <c r="AC61">
        <f>HYPERLINK("https://klasma.github.io/Logging_1783/tillsyn/A 3199-2022 tillsynsbegäran.docx", "A 3199-2022")</f>
        <v/>
      </c>
      <c r="AD61">
        <f>HYPERLINK("https://klasma.github.io/Logging_1783/tillsynsmail/A 3199-2022 tillsynsbegäran mail.docx", "A 3199-2022")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46322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46322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6986-2022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46322</v>
      </c>
      <c r="F64" t="inlineStr">
        <is>
          <t>VÄRMLANDS LÄN</t>
        </is>
      </c>
      <c r="G64" t="inlineStr">
        <is>
          <t>HAGFORS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Vedticka</t>
        </is>
      </c>
      <c r="W64">
        <f>HYPERLINK("https://klasma.github.io/Logging_1783/artfynd/A 6986-2022 artfynd.xlsx", "A 6986-2022")</f>
        <v/>
      </c>
      <c r="X64">
        <f>HYPERLINK("https://klasma.github.io/Logging_1783/kartor/A 6986-2022 karta.png", "A 6986-2022")</f>
        <v/>
      </c>
      <c r="Y64">
        <f>HYPERLINK("https://klasma.github.io/Logging_1783/kartor_geotiff/A 6986-2022 georefererad karta.tif", "A 6986-2022")</f>
        <v/>
      </c>
      <c r="AA64">
        <f>HYPERLINK("https://klasma.github.io/Logging_1783/klagomål/A 6986-2022 FSC-klagomål.docx", "A 6986-2022")</f>
        <v/>
      </c>
      <c r="AB64">
        <f>HYPERLINK("https://klasma.github.io/Logging_1783/klagomålsmail/A 6986-2022 FSC-klagomål mail.docx", "A 6986-2022")</f>
        <v/>
      </c>
      <c r="AC64">
        <f>HYPERLINK("https://klasma.github.io/Logging_1783/tillsyn/A 6986-2022 tillsynsbegäran.docx", "A 6986-2022")</f>
        <v/>
      </c>
      <c r="AD64">
        <f>HYPERLINK("https://klasma.github.io/Logging_1783/tillsynsmail/A 6986-2022 tillsynsbegäran mail.docx", "A 6986-2022")</f>
        <v/>
      </c>
    </row>
    <row r="65" ht="15" customHeight="1">
      <c r="A65" t="inlineStr">
        <is>
          <t>A 35256-2026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46322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35256-2026 artfynd.xlsx", "A 35256-2026")</f>
        <v/>
      </c>
      <c r="X65">
        <f>HYPERLINK("https://klasma.github.io/Logging_1783/kartor/A 35256-2026 karta.png", "A 35256-2026")</f>
        <v/>
      </c>
      <c r="Y65">
        <f>HYPERLINK("https://klasma.github.io/Logging_1783/kartor_geotiff/A 35256-2026 georefererad karta.tif", "A 35256-2026")</f>
        <v/>
      </c>
      <c r="AA65">
        <f>HYPERLINK("https://klasma.github.io/Logging_1783/klagomål/A 35256-2026 FSC-klagomål.docx", "A 35256-2026")</f>
        <v/>
      </c>
      <c r="AB65">
        <f>HYPERLINK("https://klasma.github.io/Logging_1783/klagomålsmail/A 35256-2026 FSC-klagomål mail.docx", "A 35256-2026")</f>
        <v/>
      </c>
      <c r="AC65">
        <f>HYPERLINK("https://klasma.github.io/Logging_1783/tillsyn/A 35256-2026 tillsynsbegäran.docx", "A 35256-2026")</f>
        <v/>
      </c>
      <c r="AD65">
        <f>HYPERLINK("https://klasma.github.io/Logging_1783/tillsynsmail/A 35256-2026 tillsynsbegäran mail.docx", "A 35256-2026")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46322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46322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46322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46322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46322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46322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46322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46322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46322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46322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46322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46322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46322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46322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46322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46322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46322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46322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46322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46322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46322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46322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46322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46322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46322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46322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46322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46322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46322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46322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46322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46322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46322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46322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46322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46322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46322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46322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46322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46322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46322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46322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46322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46322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46322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45758</v>
      </c>
      <c r="E113" s="1" t="n">
        <v>46322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45703</v>
      </c>
      <c r="E114" s="1" t="n">
        <v>46322</v>
      </c>
      <c r="F114" t="inlineStr">
        <is>
          <t>VÄRMLANDS LÄN</t>
        </is>
      </c>
      <c r="G114" t="inlineStr">
        <is>
          <t>HAGFORS</t>
        </is>
      </c>
      <c r="H114" t="inlineStr">
        <is>
          <t>Kyrkan</t>
        </is>
      </c>
      <c r="I114" t="n">
        <v>15.9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45414</v>
      </c>
      <c r="E115" s="1" t="n">
        <v>46322</v>
      </c>
      <c r="F115" t="inlineStr">
        <is>
          <t>VÄRMLANDS LÄN</t>
        </is>
      </c>
      <c r="G115" t="inlineStr">
        <is>
          <t>HAGFORS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45891</v>
      </c>
      <c r="E116" s="1" t="n">
        <v>46322</v>
      </c>
      <c r="F116" t="inlineStr">
        <is>
          <t>VÄRMLANDS LÄN</t>
        </is>
      </c>
      <c r="G116" t="inlineStr">
        <is>
          <t>HAGFORS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46322</v>
      </c>
      <c r="F117" t="inlineStr">
        <is>
          <t>VÄRMLANDS LÄN</t>
        </is>
      </c>
      <c r="G117" t="inlineStr">
        <is>
          <t>HAGFORS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46322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45226</v>
      </c>
      <c r="E119" s="1" t="n">
        <v>46322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46322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46322</v>
      </c>
      <c r="F121" t="inlineStr">
        <is>
          <t>VÄRMLANDS LÄN</t>
        </is>
      </c>
      <c r="G121" t="inlineStr">
        <is>
          <t>HAGFORS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45739</v>
      </c>
      <c r="E122" s="1" t="n">
        <v>46322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46322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46322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46322</v>
      </c>
      <c r="F125" t="inlineStr">
        <is>
          <t>VÄRMLANDS LÄN</t>
        </is>
      </c>
      <c r="G125" t="inlineStr">
        <is>
          <t>HAGFORS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46322</v>
      </c>
      <c r="F126" t="inlineStr">
        <is>
          <t>VÄRMLANDS LÄN</t>
        </is>
      </c>
      <c r="G126" t="inlineStr">
        <is>
          <t>HAGFORS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46322</v>
      </c>
      <c r="F127" t="inlineStr">
        <is>
          <t>VÄRMLANDS LÄN</t>
        </is>
      </c>
      <c r="G127" t="inlineStr">
        <is>
          <t>HAGFORS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46322</v>
      </c>
      <c r="F128" t="inlineStr">
        <is>
          <t>VÄRMLANDS LÄN</t>
        </is>
      </c>
      <c r="G128" t="inlineStr">
        <is>
          <t>HAGFORS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46322</v>
      </c>
      <c r="F129" t="inlineStr">
        <is>
          <t>VÄRMLANDS LÄN</t>
        </is>
      </c>
      <c r="G129" t="inlineStr">
        <is>
          <t>HAGFORS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46322</v>
      </c>
      <c r="F130" t="inlineStr">
        <is>
          <t>VÄRMLANDS LÄN</t>
        </is>
      </c>
      <c r="G130" t="inlineStr">
        <is>
          <t>HAGFORS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41739-2025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45902</v>
      </c>
      <c r="E131" s="1" t="n">
        <v>46322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44883</v>
      </c>
      <c r="E132" s="1" t="n">
        <v>46322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26612-2026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46322</v>
      </c>
      <c r="F133" t="inlineStr">
        <is>
          <t>VÄRMLANDS LÄN</t>
        </is>
      </c>
      <c r="G133" t="inlineStr">
        <is>
          <t>HAGFORS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46322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45902</v>
      </c>
      <c r="E135" s="1" t="n">
        <v>46322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32149-2023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46322</v>
      </c>
      <c r="F136" t="inlineStr">
        <is>
          <t>VÄRMLANDS LÄN</t>
        </is>
      </c>
      <c r="G136" t="inlineStr">
        <is>
          <t>HAGFORS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46322</v>
      </c>
      <c r="F137" t="inlineStr">
        <is>
          <t>VÄRMLANDS LÄN</t>
        </is>
      </c>
      <c r="G137" t="inlineStr">
        <is>
          <t>HAGFORS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46322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46322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46322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45692</v>
      </c>
      <c r="E141" s="1" t="n">
        <v>46322</v>
      </c>
      <c r="F141" t="inlineStr">
        <is>
          <t>VÄRMLANDS LÄN</t>
        </is>
      </c>
      <c r="G141" t="inlineStr">
        <is>
          <t>HAGFORS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46322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46322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46322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45366</v>
      </c>
      <c r="E145" s="1" t="n">
        <v>46322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46322</v>
      </c>
      <c r="F146" t="inlineStr">
        <is>
          <t>VÄRMLANDS LÄN</t>
        </is>
      </c>
      <c r="G146" t="inlineStr">
        <is>
          <t>HAGFORS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46322</v>
      </c>
      <c r="F147" t="inlineStr">
        <is>
          <t>VÄRMLANDS LÄN</t>
        </is>
      </c>
      <c r="G147" t="inlineStr">
        <is>
          <t>HAGFORS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44595</v>
      </c>
      <c r="E148" s="1" t="n">
        <v>46322</v>
      </c>
      <c r="F148" t="inlineStr">
        <is>
          <t>VÄRMLANDS LÄN</t>
        </is>
      </c>
      <c r="G148" t="inlineStr">
        <is>
          <t>HAGFORS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46322</v>
      </c>
      <c r="F149" t="inlineStr">
        <is>
          <t>VÄRMLANDS LÄN</t>
        </is>
      </c>
      <c r="G149" t="inlineStr">
        <is>
          <t>HAGFORS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46185</v>
      </c>
      <c r="E150" s="1" t="n">
        <v>46322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46322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45152</v>
      </c>
      <c r="E152" s="1" t="n">
        <v>46322</v>
      </c>
      <c r="F152" t="inlineStr">
        <is>
          <t>VÄRMLANDS LÄN</t>
        </is>
      </c>
      <c r="G152" t="inlineStr">
        <is>
          <t>HAGFORS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45258</v>
      </c>
      <c r="E153" s="1" t="n">
        <v>46322</v>
      </c>
      <c r="F153" t="inlineStr">
        <is>
          <t>VÄRMLANDS LÄN</t>
        </is>
      </c>
      <c r="G153" t="inlineStr">
        <is>
          <t>HAGFORS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60178-2023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45258</v>
      </c>
      <c r="E154" s="1" t="n">
        <v>46322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46322</v>
      </c>
      <c r="F155" t="inlineStr">
        <is>
          <t>VÄRMLANDS LÄN</t>
        </is>
      </c>
      <c r="G155" t="inlineStr">
        <is>
          <t>HAGFORS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46322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46322</v>
      </c>
      <c r="F157" t="inlineStr">
        <is>
          <t>VÄRMLANDS LÄN</t>
        </is>
      </c>
      <c r="G157" t="inlineStr">
        <is>
          <t>HAGFORS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46188</v>
      </c>
      <c r="E158" s="1" t="n">
        <v>46322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45029</v>
      </c>
      <c r="E159" s="1" t="n">
        <v>46322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46322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44869</v>
      </c>
      <c r="E161" s="1" t="n">
        <v>46322</v>
      </c>
      <c r="F161" t="inlineStr">
        <is>
          <t>VÄRMLANDS LÄN</t>
        </is>
      </c>
      <c r="G161" t="inlineStr">
        <is>
          <t>HAGFORS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46322</v>
      </c>
      <c r="F162" t="inlineStr">
        <is>
          <t>VÄRMLANDS LÄN</t>
        </is>
      </c>
      <c r="G162" t="inlineStr">
        <is>
          <t>HAGFORS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46322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46322</v>
      </c>
      <c r="F164" t="inlineStr">
        <is>
          <t>VÄRMLANDS LÄN</t>
        </is>
      </c>
      <c r="G164" t="inlineStr">
        <is>
          <t>HAGFORS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46322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45244</v>
      </c>
      <c r="E166" s="1" t="n">
        <v>46322</v>
      </c>
      <c r="F166" t="inlineStr">
        <is>
          <t>VÄRMLANDS LÄN</t>
        </is>
      </c>
      <c r="G166" t="inlineStr">
        <is>
          <t>HAGFORS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46322</v>
      </c>
      <c r="F167" t="inlineStr">
        <is>
          <t>VÄRMLANDS LÄN</t>
        </is>
      </c>
      <c r="G167" t="inlineStr">
        <is>
          <t>HAGFORS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46322</v>
      </c>
      <c r="F168" t="inlineStr">
        <is>
          <t>VÄRMLANDS LÄN</t>
        </is>
      </c>
      <c r="G168" t="inlineStr">
        <is>
          <t>HAGFORS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45922</v>
      </c>
      <c r="E169" s="1" t="n">
        <v>46322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46322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46322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46322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46322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46322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45172</v>
      </c>
      <c r="E175" s="1" t="n">
        <v>46322</v>
      </c>
      <c r="F175" t="inlineStr">
        <is>
          <t>VÄRMLANDS LÄN</t>
        </is>
      </c>
      <c r="G175" t="inlineStr">
        <is>
          <t>HAGFORS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46322</v>
      </c>
      <c r="F176" t="inlineStr">
        <is>
          <t>VÄRMLANDS LÄN</t>
        </is>
      </c>
      <c r="G176" t="inlineStr">
        <is>
          <t>HAGFORS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46322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45928</v>
      </c>
      <c r="E178" s="1" t="n">
        <v>46322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45492</v>
      </c>
      <c r="E179" s="1" t="n">
        <v>46322</v>
      </c>
      <c r="F179" t="inlineStr">
        <is>
          <t>VÄRMLANDS LÄN</t>
        </is>
      </c>
      <c r="G179" t="inlineStr">
        <is>
          <t>HAGFORS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46322</v>
      </c>
      <c r="F180" t="inlineStr">
        <is>
          <t>VÄRMLANDS LÄN</t>
        </is>
      </c>
      <c r="G180" t="inlineStr">
        <is>
          <t>HAGFORS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46322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45927</v>
      </c>
      <c r="E182" s="1" t="n">
        <v>46322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45927</v>
      </c>
      <c r="E183" s="1" t="n">
        <v>46322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46322</v>
      </c>
      <c r="F184" t="inlineStr">
        <is>
          <t>VÄRMLANDS LÄN</t>
        </is>
      </c>
      <c r="G184" t="inlineStr">
        <is>
          <t>HAGFORS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46322</v>
      </c>
      <c r="F185" t="inlineStr">
        <is>
          <t>VÄRMLANDS LÄN</t>
        </is>
      </c>
      <c r="G185" t="inlineStr">
        <is>
          <t>HAGFORS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46322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44622</v>
      </c>
      <c r="E187" s="1" t="n">
        <v>46322</v>
      </c>
      <c r="F187" t="inlineStr">
        <is>
          <t>VÄRMLANDS LÄN</t>
        </is>
      </c>
      <c r="G187" t="inlineStr">
        <is>
          <t>HAGFORS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45933</v>
      </c>
      <c r="E188" s="1" t="n">
        <v>46322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46322</v>
      </c>
      <c r="F189" t="inlineStr">
        <is>
          <t>VÄRMLANDS LÄN</t>
        </is>
      </c>
      <c r="G189" t="inlineStr">
        <is>
          <t>HAGFORS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46322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46322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44851</v>
      </c>
      <c r="E192" s="1" t="n">
        <v>46322</v>
      </c>
      <c r="F192" t="inlineStr">
        <is>
          <t>VÄRMLANDS LÄN</t>
        </is>
      </c>
      <c r="G192" t="inlineStr">
        <is>
          <t>HAGFORS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45933</v>
      </c>
      <c r="E193" s="1" t="n">
        <v>46322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9.699999999999999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45933</v>
      </c>
      <c r="E194" s="1" t="n">
        <v>46322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46322</v>
      </c>
      <c r="F195" t="inlineStr">
        <is>
          <t>VÄRMLANDS LÄN</t>
        </is>
      </c>
      <c r="G195" t="inlineStr">
        <is>
          <t>HAGFORS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46322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44664</v>
      </c>
      <c r="E197" s="1" t="n">
        <v>46322</v>
      </c>
      <c r="F197" t="inlineStr">
        <is>
          <t>VÄRMLANDS LÄN</t>
        </is>
      </c>
      <c r="G197" t="inlineStr">
        <is>
          <t>HAGFORS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45037</v>
      </c>
      <c r="E198" s="1" t="n">
        <v>46322</v>
      </c>
      <c r="F198" t="inlineStr">
        <is>
          <t>VÄRMLANDS LÄN</t>
        </is>
      </c>
      <c r="G198" t="inlineStr">
        <is>
          <t>HAGFORS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45618</v>
      </c>
      <c r="E199" s="1" t="n">
        <v>46322</v>
      </c>
      <c r="F199" t="inlineStr">
        <is>
          <t>VÄRMLANDS LÄN</t>
        </is>
      </c>
      <c r="G199" t="inlineStr">
        <is>
          <t>HAGFORS</t>
        </is>
      </c>
      <c r="H199" t="inlineStr">
        <is>
          <t>Kyrkan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46322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18.2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46322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44953</v>
      </c>
      <c r="E202" s="1" t="n">
        <v>46322</v>
      </c>
      <c r="F202" t="inlineStr">
        <is>
          <t>VÄRMLANDS LÄN</t>
        </is>
      </c>
      <c r="G202" t="inlineStr">
        <is>
          <t>HAGFORS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46322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46322</v>
      </c>
      <c r="F204" t="inlineStr">
        <is>
          <t>VÄRMLANDS LÄN</t>
        </is>
      </c>
      <c r="G204" t="inlineStr">
        <is>
          <t>HAGFORS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46322</v>
      </c>
      <c r="F205" t="inlineStr">
        <is>
          <t>VÄRMLANDS LÄN</t>
        </is>
      </c>
      <c r="G205" t="inlineStr">
        <is>
          <t>HAGFORS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46322</v>
      </c>
      <c r="F206" t="inlineStr">
        <is>
          <t>VÄRMLANDS LÄN</t>
        </is>
      </c>
      <c r="G206" t="inlineStr">
        <is>
          <t>HAGFORS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45308</v>
      </c>
      <c r="E207" s="1" t="n">
        <v>46322</v>
      </c>
      <c r="F207" t="inlineStr">
        <is>
          <t>VÄRMLANDS LÄN</t>
        </is>
      </c>
      <c r="G207" t="inlineStr">
        <is>
          <t>HAGFORS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46322</v>
      </c>
      <c r="F208" t="inlineStr">
        <is>
          <t>VÄRMLANDS LÄN</t>
        </is>
      </c>
      <c r="G208" t="inlineStr">
        <is>
          <t>HAGFORS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45939</v>
      </c>
      <c r="E209" s="1" t="n">
        <v>46322</v>
      </c>
      <c r="F209" t="inlineStr">
        <is>
          <t>VÄRMLANDS LÄN</t>
        </is>
      </c>
      <c r="G209" t="inlineStr">
        <is>
          <t>HAGFORS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49967-2025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45941</v>
      </c>
      <c r="E210" s="1" t="n">
        <v>46322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46322</v>
      </c>
      <c r="F211" t="inlineStr">
        <is>
          <t>VÄRMLANDS LÄN</t>
        </is>
      </c>
      <c r="G211" t="inlineStr">
        <is>
          <t>HAGFORS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46322</v>
      </c>
      <c r="F212" t="inlineStr">
        <is>
          <t>VÄRMLANDS LÄN</t>
        </is>
      </c>
      <c r="G212" t="inlineStr">
        <is>
          <t>HAGFORS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46322</v>
      </c>
      <c r="F213" t="inlineStr">
        <is>
          <t>VÄRMLANDS LÄN</t>
        </is>
      </c>
      <c r="G213" t="inlineStr">
        <is>
          <t>HAGFORS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46322</v>
      </c>
      <c r="F214" t="inlineStr">
        <is>
          <t>VÄRMLANDS LÄN</t>
        </is>
      </c>
      <c r="G214" t="inlineStr">
        <is>
          <t>HAGFORS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43998-2024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45572</v>
      </c>
      <c r="E215" s="1" t="n">
        <v>46322</v>
      </c>
      <c r="F215" t="inlineStr">
        <is>
          <t>VÄRMLANDS LÄN</t>
        </is>
      </c>
      <c r="G215" t="inlineStr">
        <is>
          <t>HAGFORS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58210-2022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44901</v>
      </c>
      <c r="E216" s="1" t="n">
        <v>46322</v>
      </c>
      <c r="F216" t="inlineStr">
        <is>
          <t>VÄRMLANDS LÄN</t>
        </is>
      </c>
      <c r="G216" t="inlineStr">
        <is>
          <t>HAGFORS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46322</v>
      </c>
      <c r="F217" t="inlineStr">
        <is>
          <t>VÄRMLANDS LÄN</t>
        </is>
      </c>
      <c r="G217" t="inlineStr">
        <is>
          <t>HAGFORS</t>
        </is>
      </c>
      <c r="H217" t="inlineStr">
        <is>
          <t>Kommuner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45232</v>
      </c>
      <c r="E218" s="1" t="n">
        <v>46322</v>
      </c>
      <c r="F218" t="inlineStr">
        <is>
          <t>VÄRMLANDS LÄN</t>
        </is>
      </c>
      <c r="G218" t="inlineStr">
        <is>
          <t>HAGFORS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46322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46322</v>
      </c>
      <c r="F220" t="inlineStr">
        <is>
          <t>VÄRMLANDS LÄN</t>
        </is>
      </c>
      <c r="G220" t="inlineStr">
        <is>
          <t>HAGFORS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45190</v>
      </c>
      <c r="E221" s="1" t="n">
        <v>46322</v>
      </c>
      <c r="F221" t="inlineStr">
        <is>
          <t>VÄRMLANDS LÄN</t>
        </is>
      </c>
      <c r="G221" t="inlineStr">
        <is>
          <t>HAGFORS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46322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46322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46322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46322</v>
      </c>
      <c r="F225" t="inlineStr">
        <is>
          <t>VÄRMLANDS LÄN</t>
        </is>
      </c>
      <c r="G225" t="inlineStr">
        <is>
          <t>HAGFORS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44603</v>
      </c>
      <c r="E226" s="1" t="n">
        <v>46322</v>
      </c>
      <c r="F226" t="inlineStr">
        <is>
          <t>VÄRMLANDS LÄN</t>
        </is>
      </c>
      <c r="G226" t="inlineStr">
        <is>
          <t>HAGFORS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46322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46322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46322</v>
      </c>
      <c r="F229" t="inlineStr">
        <is>
          <t>VÄRMLANDS LÄN</t>
        </is>
      </c>
      <c r="G229" t="inlineStr">
        <is>
          <t>HAGFORS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46322</v>
      </c>
      <c r="F230" t="inlineStr">
        <is>
          <t>VÄRMLANDS LÄN</t>
        </is>
      </c>
      <c r="G230" t="inlineStr">
        <is>
          <t>HAGFORS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46322</v>
      </c>
      <c r="F231" t="inlineStr">
        <is>
          <t>VÄRMLANDS LÄN</t>
        </is>
      </c>
      <c r="G231" t="inlineStr">
        <is>
          <t>HAGFORS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46322</v>
      </c>
      <c r="F232" t="inlineStr">
        <is>
          <t>VÄRMLANDS LÄN</t>
        </is>
      </c>
      <c r="G232" t="inlineStr">
        <is>
          <t>HAGFORS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46322</v>
      </c>
      <c r="F233" t="inlineStr">
        <is>
          <t>VÄRMLANDS LÄN</t>
        </is>
      </c>
      <c r="G233" t="inlineStr">
        <is>
          <t>HAGFORS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46322</v>
      </c>
      <c r="F234" t="inlineStr">
        <is>
          <t>VÄRMLANDS LÄN</t>
        </is>
      </c>
      <c r="G234" t="inlineStr">
        <is>
          <t>HAGFORS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45949</v>
      </c>
      <c r="E235" s="1" t="n">
        <v>46322</v>
      </c>
      <c r="F235" t="inlineStr">
        <is>
          <t>VÄRMLANDS LÄN</t>
        </is>
      </c>
      <c r="G235" t="inlineStr">
        <is>
          <t>HAGFORS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46322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46322</v>
      </c>
      <c r="F237" t="inlineStr">
        <is>
          <t>VÄRMLANDS LÄN</t>
        </is>
      </c>
      <c r="G237" t="inlineStr">
        <is>
          <t>HAGFORS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46322</v>
      </c>
      <c r="F238" t="inlineStr">
        <is>
          <t>VÄRMLANDS LÄN</t>
        </is>
      </c>
      <c r="G238" t="inlineStr">
        <is>
          <t>HAGFORS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46322</v>
      </c>
      <c r="F239" t="inlineStr">
        <is>
          <t>VÄRMLANDS LÄN</t>
        </is>
      </c>
      <c r="G239" t="inlineStr">
        <is>
          <t>HAGFORS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17305-2023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45035</v>
      </c>
      <c r="E240" s="1" t="n">
        <v>46322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60221-2023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45258</v>
      </c>
      <c r="E241" s="1" t="n">
        <v>46322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52479-2025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45954</v>
      </c>
      <c r="E242" s="1" t="n">
        <v>46322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44770</v>
      </c>
      <c r="E243" s="1" t="n">
        <v>46322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45954</v>
      </c>
      <c r="E244" s="1" t="n">
        <v>46322</v>
      </c>
      <c r="F244" t="inlineStr">
        <is>
          <t>VÄRMLANDS LÄN</t>
        </is>
      </c>
      <c r="G244" t="inlineStr">
        <is>
          <t>HAGFORS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46322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46322</v>
      </c>
      <c r="F246" t="inlineStr">
        <is>
          <t>VÄRMLANDS LÄN</t>
        </is>
      </c>
      <c r="G246" t="inlineStr">
        <is>
          <t>HAGFORS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45653</v>
      </c>
      <c r="E247" s="1" t="n">
        <v>46322</v>
      </c>
      <c r="F247" t="inlineStr">
        <is>
          <t>VÄRMLANDS LÄN</t>
        </is>
      </c>
      <c r="G247" t="inlineStr">
        <is>
          <t>HAGFORS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46322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46322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46322</v>
      </c>
      <c r="F250" t="inlineStr">
        <is>
          <t>VÄRMLANDS LÄN</t>
        </is>
      </c>
      <c r="G250" t="inlineStr">
        <is>
          <t>HAGFORS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46322</v>
      </c>
      <c r="F251" t="inlineStr">
        <is>
          <t>VÄRMLANDS LÄN</t>
        </is>
      </c>
      <c r="G251" t="inlineStr">
        <is>
          <t>HAGFORS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46322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43309-2022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44834</v>
      </c>
      <c r="E253" s="1" t="n">
        <v>46322</v>
      </c>
      <c r="F253" t="inlineStr">
        <is>
          <t>VÄRMLANDS LÄN</t>
        </is>
      </c>
      <c r="G253" t="inlineStr">
        <is>
          <t>HAGFORS</t>
        </is>
      </c>
      <c r="H253" t="inlineStr">
        <is>
          <t>Kyrkan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46322</v>
      </c>
      <c r="F254" t="inlineStr">
        <is>
          <t>VÄRMLANDS LÄN</t>
        </is>
      </c>
      <c r="G254" t="inlineStr">
        <is>
          <t>HAGFORS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45051</v>
      </c>
      <c r="E255" s="1" t="n">
        <v>46322</v>
      </c>
      <c r="F255" t="inlineStr">
        <is>
          <t>VÄRMLANDS LÄN</t>
        </is>
      </c>
      <c r="G255" t="inlineStr">
        <is>
          <t>HAGFORS</t>
        </is>
      </c>
      <c r="H255" t="inlineStr">
        <is>
          <t>Kommuner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53574-2025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46322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46322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46322</v>
      </c>
      <c r="F258" t="inlineStr">
        <is>
          <t>VÄRMLANDS LÄN</t>
        </is>
      </c>
      <c r="G258" t="inlineStr">
        <is>
          <t>HAGFORS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46322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46322</v>
      </c>
      <c r="F260" t="inlineStr">
        <is>
          <t>VÄRMLANDS LÄN</t>
        </is>
      </c>
      <c r="G260" t="inlineStr">
        <is>
          <t>HAGFORS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45644</v>
      </c>
      <c r="E261" s="1" t="n">
        <v>46322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45460</v>
      </c>
      <c r="E262" s="1" t="n">
        <v>46322</v>
      </c>
      <c r="F262" t="inlineStr">
        <is>
          <t>VÄRMLANDS LÄN</t>
        </is>
      </c>
      <c r="G262" t="inlineStr">
        <is>
          <t>HAGFORS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44683</v>
      </c>
      <c r="E263" s="1" t="n">
        <v>46322</v>
      </c>
      <c r="F263" t="inlineStr">
        <is>
          <t>VÄRMLANDS LÄN</t>
        </is>
      </c>
      <c r="G263" t="inlineStr">
        <is>
          <t>HAGFORS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46322</v>
      </c>
      <c r="F264" t="inlineStr">
        <is>
          <t>VÄRMLANDS LÄN</t>
        </is>
      </c>
      <c r="G264" t="inlineStr">
        <is>
          <t>HAGFORS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13850-2022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44649</v>
      </c>
      <c r="E265" s="1" t="n">
        <v>46322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46322</v>
      </c>
      <c r="F266" t="inlineStr">
        <is>
          <t>VÄRMLANDS LÄN</t>
        </is>
      </c>
      <c r="G266" t="inlineStr">
        <is>
          <t>HAGFORS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46191</v>
      </c>
      <c r="E267" s="1" t="n">
        <v>46322</v>
      </c>
      <c r="F267" t="inlineStr">
        <is>
          <t>VÄRMLANDS LÄN</t>
        </is>
      </c>
      <c r="G267" t="inlineStr">
        <is>
          <t>HAGFORS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46322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46322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70712-2021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44537</v>
      </c>
      <c r="E270" s="1" t="n">
        <v>46322</v>
      </c>
      <c r="F270" t="inlineStr">
        <is>
          <t>VÄRMLANDS LÄN</t>
        </is>
      </c>
      <c r="G270" t="inlineStr">
        <is>
          <t>HAGFORS</t>
        </is>
      </c>
      <c r="H270" t="inlineStr">
        <is>
          <t>Kommuner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46322</v>
      </c>
      <c r="F271" t="inlineStr">
        <is>
          <t>VÄRMLANDS LÄN</t>
        </is>
      </c>
      <c r="G271" t="inlineStr">
        <is>
          <t>HAGFORS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46322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46322</v>
      </c>
      <c r="F273" t="inlineStr">
        <is>
          <t>VÄRMLANDS LÄN</t>
        </is>
      </c>
      <c r="G273" t="inlineStr">
        <is>
          <t>HAGFORS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45250</v>
      </c>
      <c r="E274" s="1" t="n">
        <v>46322</v>
      </c>
      <c r="F274" t="inlineStr">
        <is>
          <t>VÄRMLANDS LÄN</t>
        </is>
      </c>
      <c r="G274" t="inlineStr">
        <is>
          <t>HAGFORS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46322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46322</v>
      </c>
      <c r="F276" t="inlineStr">
        <is>
          <t>VÄRMLANDS LÄN</t>
        </is>
      </c>
      <c r="G276" t="inlineStr">
        <is>
          <t>HAGFORS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40332-2023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45169</v>
      </c>
      <c r="E277" s="1" t="n">
        <v>46322</v>
      </c>
      <c r="F277" t="inlineStr">
        <is>
          <t>VÄRMLANDS LÄN</t>
        </is>
      </c>
      <c r="G277" t="inlineStr">
        <is>
          <t>HAGFORS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46322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46322</v>
      </c>
      <c r="F279" t="inlineStr">
        <is>
          <t>VÄRMLANDS LÄN</t>
        </is>
      </c>
      <c r="G279" t="inlineStr">
        <is>
          <t>HAGFORS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44770</v>
      </c>
      <c r="E280" s="1" t="n">
        <v>46322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46322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46322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45786</v>
      </c>
      <c r="E283" s="1" t="n">
        <v>46322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46322</v>
      </c>
      <c r="F284" t="inlineStr">
        <is>
          <t>VÄRMLANDS LÄN</t>
        </is>
      </c>
      <c r="G284" t="inlineStr">
        <is>
          <t>HAGFORS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46322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46322</v>
      </c>
      <c r="F286" t="inlineStr">
        <is>
          <t>VÄRMLANDS LÄN</t>
        </is>
      </c>
      <c r="G286" t="inlineStr">
        <is>
          <t>HAGFORS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46322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45791</v>
      </c>
      <c r="E288" s="1" t="n">
        <v>46322</v>
      </c>
      <c r="F288" t="inlineStr">
        <is>
          <t>VÄRMLANDS LÄN</t>
        </is>
      </c>
      <c r="G288" t="inlineStr">
        <is>
          <t>HAGFORS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46322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45545</v>
      </c>
      <c r="E290" s="1" t="n">
        <v>46322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46322</v>
      </c>
      <c r="F291" t="inlineStr">
        <is>
          <t>VÄRMLANDS LÄN</t>
        </is>
      </c>
      <c r="G291" t="inlineStr">
        <is>
          <t>HAGFORS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46322</v>
      </c>
      <c r="F292" t="inlineStr">
        <is>
          <t>VÄRMLANDS LÄN</t>
        </is>
      </c>
      <c r="G292" t="inlineStr">
        <is>
          <t>HAGFORS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46322</v>
      </c>
      <c r="F293" t="inlineStr">
        <is>
          <t>VÄRMLANDS LÄN</t>
        </is>
      </c>
      <c r="G293" t="inlineStr">
        <is>
          <t>HAGFORS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46322</v>
      </c>
      <c r="F294" t="inlineStr">
        <is>
          <t>VÄRMLANDS LÄN</t>
        </is>
      </c>
      <c r="G294" t="inlineStr">
        <is>
          <t>HAGFORS</t>
        </is>
      </c>
      <c r="H294" t="inlineStr">
        <is>
          <t>Kyrkan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46322</v>
      </c>
      <c r="F295" t="inlineStr">
        <is>
          <t>VÄRMLANDS LÄN</t>
        </is>
      </c>
      <c r="G295" t="inlineStr">
        <is>
          <t>HAGFORS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46322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23556-2025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45792</v>
      </c>
      <c r="E297" s="1" t="n">
        <v>46322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46322</v>
      </c>
      <c r="F298" t="inlineStr">
        <is>
          <t>VÄRMLANDS LÄN</t>
        </is>
      </c>
      <c r="G298" t="inlineStr">
        <is>
          <t>HAGFORS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46322</v>
      </c>
      <c r="F299" t="inlineStr">
        <is>
          <t>VÄRMLANDS LÄN</t>
        </is>
      </c>
      <c r="G299" t="inlineStr">
        <is>
          <t>HAGFORS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45793</v>
      </c>
      <c r="E300" s="1" t="n">
        <v>46322</v>
      </c>
      <c r="F300" t="inlineStr">
        <is>
          <t>VÄRMLANDS LÄN</t>
        </is>
      </c>
      <c r="G300" t="inlineStr">
        <is>
          <t>HAGFORS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61140-2023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45261</v>
      </c>
      <c r="E301" s="1" t="n">
        <v>46322</v>
      </c>
      <c r="F301" t="inlineStr">
        <is>
          <t>VÄRMLANDS LÄN</t>
        </is>
      </c>
      <c r="G301" t="inlineStr">
        <is>
          <t>HAGFORS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46322</v>
      </c>
      <c r="F302" t="inlineStr">
        <is>
          <t>VÄRMLANDS LÄN</t>
        </is>
      </c>
      <c r="G302" t="inlineStr">
        <is>
          <t>HAGFORS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45461</v>
      </c>
      <c r="E303" s="1" t="n">
        <v>46322</v>
      </c>
      <c r="F303" t="inlineStr">
        <is>
          <t>VÄRMLANDS LÄN</t>
        </is>
      </c>
      <c r="G303" t="inlineStr">
        <is>
          <t>HAGFORS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46322</v>
      </c>
      <c r="F304" t="inlineStr">
        <is>
          <t>VÄRMLANDS LÄN</t>
        </is>
      </c>
      <c r="G304" t="inlineStr">
        <is>
          <t>HAGFORS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46322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46322</v>
      </c>
      <c r="F306" t="inlineStr">
        <is>
          <t>VÄRMLANDS LÄN</t>
        </is>
      </c>
      <c r="G306" t="inlineStr">
        <is>
          <t>HAGFORS</t>
        </is>
      </c>
      <c r="H306" t="inlineStr">
        <is>
          <t>Kyrkan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45385</v>
      </c>
      <c r="E307" s="1" t="n">
        <v>46322</v>
      </c>
      <c r="F307" t="inlineStr">
        <is>
          <t>VÄRMLANDS LÄN</t>
        </is>
      </c>
      <c r="G307" t="inlineStr">
        <is>
          <t>HAGFORS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45754</v>
      </c>
      <c r="E308" s="1" t="n">
        <v>46322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46322</v>
      </c>
      <c r="F309" t="inlineStr">
        <is>
          <t>VÄRMLANDS LÄN</t>
        </is>
      </c>
      <c r="G309" t="inlineStr">
        <is>
          <t>HAGFORS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44924</v>
      </c>
      <c r="E310" s="1" t="n">
        <v>46322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46322</v>
      </c>
      <c r="F311" t="inlineStr">
        <is>
          <t>VÄRMLANDS LÄN</t>
        </is>
      </c>
      <c r="G311" t="inlineStr">
        <is>
          <t>HAGFORS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27739-2024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45475</v>
      </c>
      <c r="E312" s="1" t="n">
        <v>46322</v>
      </c>
      <c r="F312" t="inlineStr">
        <is>
          <t>VÄRMLANDS LÄN</t>
        </is>
      </c>
      <c r="G312" t="inlineStr">
        <is>
          <t>HAGFORS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59047-2025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45988</v>
      </c>
      <c r="E313" s="1" t="n">
        <v>46322</v>
      </c>
      <c r="F313" t="inlineStr">
        <is>
          <t>VÄRMLANDS LÄN</t>
        </is>
      </c>
      <c r="G313" t="inlineStr">
        <is>
          <t>HAGFORS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15643-2024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45404</v>
      </c>
      <c r="E314" s="1" t="n">
        <v>46322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24434-2025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45797</v>
      </c>
      <c r="E315" s="1" t="n">
        <v>46322</v>
      </c>
      <c r="F315" t="inlineStr">
        <is>
          <t>VÄRMLANDS LÄN</t>
        </is>
      </c>
      <c r="G315" t="inlineStr">
        <is>
          <t>HAGFORS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24435-2025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45797</v>
      </c>
      <c r="E316" s="1" t="n">
        <v>46322</v>
      </c>
      <c r="F316" t="inlineStr">
        <is>
          <t>VÄRMLANDS LÄN</t>
        </is>
      </c>
      <c r="G316" t="inlineStr">
        <is>
          <t>HAGFORS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24438-2025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45797</v>
      </c>
      <c r="E317" s="1" t="n">
        <v>46322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46322</v>
      </c>
      <c r="F318" t="inlineStr">
        <is>
          <t>VÄRMLANDS LÄN</t>
        </is>
      </c>
      <c r="G318" t="inlineStr">
        <is>
          <t>HAGFORS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46322</v>
      </c>
      <c r="F319" t="inlineStr">
        <is>
          <t>VÄRMLANDS LÄN</t>
        </is>
      </c>
      <c r="G319" t="inlineStr">
        <is>
          <t>HAGFORS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46322</v>
      </c>
      <c r="F320" t="inlineStr">
        <is>
          <t>VÄRMLANDS LÄN</t>
        </is>
      </c>
      <c r="G320" t="inlineStr">
        <is>
          <t>HAGFORS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46322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46322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46322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45562</v>
      </c>
      <c r="E324" s="1" t="n">
        <v>46322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45996</v>
      </c>
      <c r="E325" s="1" t="n">
        <v>46322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44566</v>
      </c>
      <c r="E326" s="1" t="n">
        <v>46322</v>
      </c>
      <c r="F326" t="inlineStr">
        <is>
          <t>VÄRMLANDS LÄN</t>
        </is>
      </c>
      <c r="G326" t="inlineStr">
        <is>
          <t>HAGFORS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46322</v>
      </c>
      <c r="F327" t="inlineStr">
        <is>
          <t>VÄRMLANDS LÄN</t>
        </is>
      </c>
      <c r="G327" t="inlineStr">
        <is>
          <t>HAGFORS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60648-2025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45996</v>
      </c>
      <c r="E328" s="1" t="n">
        <v>46322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28788-2026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46322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57379-2022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44896</v>
      </c>
      <c r="E330" s="1" t="n">
        <v>46322</v>
      </c>
      <c r="F330" t="inlineStr">
        <is>
          <t>VÄRMLANDS LÄN</t>
        </is>
      </c>
      <c r="G330" t="inlineStr">
        <is>
          <t>HAGFORS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46322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46322</v>
      </c>
      <c r="F332" t="inlineStr">
        <is>
          <t>VÄRMLANDS LÄN</t>
        </is>
      </c>
      <c r="G332" t="inlineStr">
        <is>
          <t>HAGFORS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45807</v>
      </c>
      <c r="E333" s="1" t="n">
        <v>46322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46322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52224-2023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45224</v>
      </c>
      <c r="E335" s="1" t="n">
        <v>46322</v>
      </c>
      <c r="F335" t="inlineStr">
        <is>
          <t>VÄRMLANDS LÄN</t>
        </is>
      </c>
      <c r="G335" t="inlineStr">
        <is>
          <t>HAGFORS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46322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46322</v>
      </c>
      <c r="F337" t="inlineStr">
        <is>
          <t>VÄRMLANDS LÄN</t>
        </is>
      </c>
      <c r="G337" t="inlineStr">
        <is>
          <t>HAGFORS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46322</v>
      </c>
      <c r="F338" t="inlineStr">
        <is>
          <t>VÄRMLANDS LÄN</t>
        </is>
      </c>
      <c r="G338" t="inlineStr">
        <is>
          <t>HAGFORS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52383-2024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46322</v>
      </c>
      <c r="F339" t="inlineStr">
        <is>
          <t>VÄRMLANDS LÄN</t>
        </is>
      </c>
      <c r="G339" t="inlineStr">
        <is>
          <t>HAGFORS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46322</v>
      </c>
      <c r="F340" t="inlineStr">
        <is>
          <t>VÄRMLANDS LÄN</t>
        </is>
      </c>
      <c r="G340" t="inlineStr">
        <is>
          <t>HAGFORS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46198</v>
      </c>
      <c r="E341" s="1" t="n">
        <v>46322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61843-2025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46003</v>
      </c>
      <c r="E342" s="1" t="n">
        <v>46322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26617-2025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45810</v>
      </c>
      <c r="E343" s="1" t="n">
        <v>46322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61850-2025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46322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39211-2022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44817</v>
      </c>
      <c r="E345" s="1" t="n">
        <v>46322</v>
      </c>
      <c r="F345" t="inlineStr">
        <is>
          <t>VÄRMLANDS LÄN</t>
        </is>
      </c>
      <c r="G345" t="inlineStr">
        <is>
          <t>HAGFORS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61718-2025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46002</v>
      </c>
      <c r="E346" s="1" t="n">
        <v>46322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46322</v>
      </c>
      <c r="F347" t="inlineStr">
        <is>
          <t>VÄRMLANDS LÄN</t>
        </is>
      </c>
      <c r="G347" t="inlineStr">
        <is>
          <t>HAGFORS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46322</v>
      </c>
      <c r="F348" t="inlineStr">
        <is>
          <t>VÄRMLANDS LÄN</t>
        </is>
      </c>
      <c r="G348" t="inlineStr">
        <is>
          <t>HAGFORS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46322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45812</v>
      </c>
      <c r="E350" s="1" t="n">
        <v>46322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46322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46322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61910-2025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46003</v>
      </c>
      <c r="E353" s="1" t="n">
        <v>46322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45812</v>
      </c>
      <c r="E354" s="1" t="n">
        <v>46322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46322</v>
      </c>
      <c r="F355" t="inlineStr">
        <is>
          <t>VÄRMLANDS LÄN</t>
        </is>
      </c>
      <c r="G355" t="inlineStr">
        <is>
          <t>HAGFORS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45812</v>
      </c>
      <c r="E356" s="1" t="n">
        <v>46322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45812</v>
      </c>
      <c r="E357" s="1" t="n">
        <v>46322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46200</v>
      </c>
      <c r="E358" s="1" t="n">
        <v>46322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46200</v>
      </c>
      <c r="E359" s="1" t="n">
        <v>46322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46322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27855-2026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46191</v>
      </c>
      <c r="E361" s="1" t="n">
        <v>46322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46322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45433</v>
      </c>
      <c r="E363" s="1" t="n">
        <v>46322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46322</v>
      </c>
      <c r="F364" t="inlineStr">
        <is>
          <t>VÄRMLANDS LÄN</t>
        </is>
      </c>
      <c r="G364" t="inlineStr">
        <is>
          <t>HAGFORS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62168-2025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46006</v>
      </c>
      <c r="E365" s="1" t="n">
        <v>46322</v>
      </c>
      <c r="F365" t="inlineStr">
        <is>
          <t>VÄRMLANDS LÄN</t>
        </is>
      </c>
      <c r="G365" t="inlineStr">
        <is>
          <t>HAGFORS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46006</v>
      </c>
      <c r="E366" s="1" t="n">
        <v>46322</v>
      </c>
      <c r="F366" t="inlineStr">
        <is>
          <t>VÄRMLANDS LÄN</t>
        </is>
      </c>
      <c r="G366" t="inlineStr">
        <is>
          <t>HAGFORS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46322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46322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46322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46322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45821</v>
      </c>
      <c r="E371" s="1" t="n">
        <v>46322</v>
      </c>
      <c r="F371" t="inlineStr">
        <is>
          <t>VÄRMLANDS LÄN</t>
        </is>
      </c>
      <c r="G371" t="inlineStr">
        <is>
          <t>HAGFORS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26777-2023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45093</v>
      </c>
      <c r="E372" s="1" t="n">
        <v>46322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45673</v>
      </c>
      <c r="E373" s="1" t="n">
        <v>46322</v>
      </c>
      <c r="F373" t="inlineStr">
        <is>
          <t>VÄRMLANDS LÄN</t>
        </is>
      </c>
      <c r="G373" t="inlineStr">
        <is>
          <t>HAGFORS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46322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46322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45328</v>
      </c>
      <c r="E376" s="1" t="n">
        <v>46322</v>
      </c>
      <c r="F376" t="inlineStr">
        <is>
          <t>VÄRMLANDS LÄN</t>
        </is>
      </c>
      <c r="G376" t="inlineStr">
        <is>
          <t>HAGFORS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46322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63301-2025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46010</v>
      </c>
      <c r="E378" s="1" t="n">
        <v>46322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33969-2022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44790</v>
      </c>
      <c r="E379" s="1" t="n">
        <v>46322</v>
      </c>
      <c r="F379" t="inlineStr">
        <is>
          <t>VÄRMLANDS LÄN</t>
        </is>
      </c>
      <c r="G379" t="inlineStr">
        <is>
          <t>HAGFORS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25759-2023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46322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63361-2025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46322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31660-2022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44776</v>
      </c>
      <c r="E382" s="1" t="n">
        <v>46322</v>
      </c>
      <c r="F382" t="inlineStr">
        <is>
          <t>VÄRMLANDS LÄN</t>
        </is>
      </c>
      <c r="G382" t="inlineStr">
        <is>
          <t>HAGFORS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46322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59449-2024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45638</v>
      </c>
      <c r="E384" s="1" t="n">
        <v>46322</v>
      </c>
      <c r="F384" t="inlineStr">
        <is>
          <t>VÄRMLANDS LÄN</t>
        </is>
      </c>
      <c r="G384" t="inlineStr">
        <is>
          <t>HAGFORS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46322</v>
      </c>
      <c r="F385" t="inlineStr">
        <is>
          <t>VÄRMLANDS LÄN</t>
        </is>
      </c>
      <c r="G385" t="inlineStr">
        <is>
          <t>HAGFORS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45106</v>
      </c>
      <c r="E386" s="1" t="n">
        <v>46322</v>
      </c>
      <c r="F386" t="inlineStr">
        <is>
          <t>VÄRMLANDS LÄN</t>
        </is>
      </c>
      <c r="G386" t="inlineStr">
        <is>
          <t>HAGFORS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45826</v>
      </c>
      <c r="E387" s="1" t="n">
        <v>46322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46322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59092-2022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44904</v>
      </c>
      <c r="E389" s="1" t="n">
        <v>46322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30778-2025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46322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64155-2023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46322</v>
      </c>
      <c r="F391" t="inlineStr">
        <is>
          <t>VÄRMLANDS LÄN</t>
        </is>
      </c>
      <c r="G391" t="inlineStr">
        <is>
          <t>HAGFORS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46322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46322</v>
      </c>
      <c r="F393" t="inlineStr">
        <is>
          <t>VÄRMLANDS LÄN</t>
        </is>
      </c>
      <c r="G393" t="inlineStr">
        <is>
          <t>HAGFORS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46018</v>
      </c>
      <c r="E394" s="1" t="n">
        <v>46322</v>
      </c>
      <c r="F394" t="inlineStr">
        <is>
          <t>VÄRMLANDS LÄN</t>
        </is>
      </c>
      <c r="G394" t="inlineStr">
        <is>
          <t>HAGFORS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46018</v>
      </c>
      <c r="E395" s="1" t="n">
        <v>46322</v>
      </c>
      <c r="F395" t="inlineStr">
        <is>
          <t>VÄRMLANDS LÄN</t>
        </is>
      </c>
      <c r="G395" t="inlineStr">
        <is>
          <t>HAGFORS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63875-2025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46020</v>
      </c>
      <c r="E396" s="1" t="n">
        <v>46322</v>
      </c>
      <c r="F396" t="inlineStr">
        <is>
          <t>VÄRMLANDS LÄN</t>
        </is>
      </c>
      <c r="G396" t="inlineStr">
        <is>
          <t>HAGFORS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46322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33440-2025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45841</v>
      </c>
      <c r="E398" s="1" t="n">
        <v>46322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48807-2025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45937</v>
      </c>
      <c r="E399" s="1" t="n">
        <v>46322</v>
      </c>
      <c r="F399" t="inlineStr">
        <is>
          <t>VÄRMLANDS LÄN</t>
        </is>
      </c>
      <c r="G399" t="inlineStr">
        <is>
          <t>HAGFORS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46322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11104-2022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44628</v>
      </c>
      <c r="E401" s="1" t="n">
        <v>46322</v>
      </c>
      <c r="F401" t="inlineStr">
        <is>
          <t>VÄRMLANDS LÄN</t>
        </is>
      </c>
      <c r="G401" t="inlineStr">
        <is>
          <t>HAGFORS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45107</v>
      </c>
      <c r="E402" s="1" t="n">
        <v>46322</v>
      </c>
      <c r="F402" t="inlineStr">
        <is>
          <t>VÄRMLANDS LÄN</t>
        </is>
      </c>
      <c r="G402" t="inlineStr">
        <is>
          <t>HAGFORS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46322</v>
      </c>
      <c r="F403" t="inlineStr">
        <is>
          <t>VÄRMLANDS LÄN</t>
        </is>
      </c>
      <c r="G403" t="inlineStr">
        <is>
          <t>HAGFORS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46322</v>
      </c>
      <c r="F404" t="inlineStr">
        <is>
          <t>VÄRMLANDS LÄN</t>
        </is>
      </c>
      <c r="G404" t="inlineStr">
        <is>
          <t>HAGFORS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16824-2023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45033</v>
      </c>
      <c r="E405" s="1" t="n">
        <v>46322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975-2026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46030</v>
      </c>
      <c r="E406" s="1" t="n">
        <v>46322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46322</v>
      </c>
      <c r="F407" t="inlineStr">
        <is>
          <t>VÄRMLANDS LÄN</t>
        </is>
      </c>
      <c r="G407" t="inlineStr">
        <is>
          <t>HAGFORS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46322</v>
      </c>
      <c r="F408" t="inlineStr">
        <is>
          <t>VÄRMLANDS LÄN</t>
        </is>
      </c>
      <c r="G408" t="inlineStr">
        <is>
          <t>HAGFORS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45201</v>
      </c>
      <c r="E409" s="1" t="n">
        <v>46322</v>
      </c>
      <c r="F409" t="inlineStr">
        <is>
          <t>VÄRMLANDS LÄN</t>
        </is>
      </c>
      <c r="G409" t="inlineStr">
        <is>
          <t>HAGFORS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46322</v>
      </c>
      <c r="F410" t="inlineStr">
        <is>
          <t>VÄRMLANDS LÄN</t>
        </is>
      </c>
      <c r="G410" t="inlineStr">
        <is>
          <t>HAGFORS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57162-2024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46322</v>
      </c>
      <c r="F411" t="inlineStr">
        <is>
          <t>VÄRMLANDS LÄN</t>
        </is>
      </c>
      <c r="G411" t="inlineStr">
        <is>
          <t>HAGFORS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45770</v>
      </c>
      <c r="E412" s="1" t="n">
        <v>46322</v>
      </c>
      <c r="F412" t="inlineStr">
        <is>
          <t>VÄRMLANDS LÄN</t>
        </is>
      </c>
      <c r="G412" t="inlineStr">
        <is>
          <t>HAGFORS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46322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29580-2026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46322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46322</v>
      </c>
      <c r="F415" t="inlineStr">
        <is>
          <t>VÄRMLANDS LÄN</t>
        </is>
      </c>
      <c r="G415" t="inlineStr">
        <is>
          <t>HAGFORS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45784</v>
      </c>
      <c r="E416" s="1" t="n">
        <v>46322</v>
      </c>
      <c r="F416" t="inlineStr">
        <is>
          <t>VÄRMLANDS LÄN</t>
        </is>
      </c>
      <c r="G416" t="inlineStr">
        <is>
          <t>HAGFORS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46322</v>
      </c>
      <c r="F417" t="inlineStr">
        <is>
          <t>VÄRMLANDS LÄN</t>
        </is>
      </c>
      <c r="G417" t="inlineStr">
        <is>
          <t>HAGFORS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46322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35312-2025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45854</v>
      </c>
      <c r="E419" s="1" t="n">
        <v>46322</v>
      </c>
      <c r="F419" t="inlineStr">
        <is>
          <t>VÄRMLANDS LÄN</t>
        </is>
      </c>
      <c r="G419" t="inlineStr">
        <is>
          <t>HAGFORS</t>
        </is>
      </c>
      <c r="H419" t="inlineStr">
        <is>
          <t>Kyrkan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35289-2025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45854</v>
      </c>
      <c r="E420" s="1" t="n">
        <v>46322</v>
      </c>
      <c r="F420" t="inlineStr">
        <is>
          <t>VÄRMLANDS LÄN</t>
        </is>
      </c>
      <c r="G420" t="inlineStr">
        <is>
          <t>HAGFORS</t>
        </is>
      </c>
      <c r="H420" t="inlineStr">
        <is>
          <t>Kyrkan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45793</v>
      </c>
      <c r="E421" s="1" t="n">
        <v>46322</v>
      </c>
      <c r="F421" t="inlineStr">
        <is>
          <t>VÄRMLANDS LÄN</t>
        </is>
      </c>
      <c r="G421" t="inlineStr">
        <is>
          <t>HAGFORS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46322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46322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46322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46322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29427-2026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46203</v>
      </c>
      <c r="E426" s="1" t="n">
        <v>46322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46322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46322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46322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46322</v>
      </c>
      <c r="F430" t="inlineStr">
        <is>
          <t>VÄRMLANDS LÄN</t>
        </is>
      </c>
      <c r="G430" t="inlineStr">
        <is>
          <t>HAGFORS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45625</v>
      </c>
      <c r="E431" s="1" t="n">
        <v>46322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46322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26.5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46322</v>
      </c>
      <c r="F433" t="inlineStr">
        <is>
          <t>VÄRMLANDS LÄN</t>
        </is>
      </c>
      <c r="G433" t="inlineStr">
        <is>
          <t>HAGFORS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46322</v>
      </c>
      <c r="F434" t="inlineStr">
        <is>
          <t>VÄRMLANDS LÄN</t>
        </is>
      </c>
      <c r="G434" t="inlineStr">
        <is>
          <t>HAGFORS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46322</v>
      </c>
      <c r="F435" t="inlineStr">
        <is>
          <t>VÄRMLANDS LÄN</t>
        </is>
      </c>
      <c r="G435" t="inlineStr">
        <is>
          <t>HAGFORS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46322</v>
      </c>
      <c r="F436" t="inlineStr">
        <is>
          <t>VÄRMLANDS LÄN</t>
        </is>
      </c>
      <c r="G436" t="inlineStr">
        <is>
          <t>HAGFORS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46322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30180-2022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44757</v>
      </c>
      <c r="E438" s="1" t="n">
        <v>46322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46322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46322</v>
      </c>
      <c r="F440" t="inlineStr">
        <is>
          <t>VÄRMLANDS LÄN</t>
        </is>
      </c>
      <c r="G440" t="inlineStr">
        <is>
          <t>HAGFORS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46322</v>
      </c>
      <c r="F441" t="inlineStr">
        <is>
          <t>VÄRMLANDS LÄN</t>
        </is>
      </c>
      <c r="G441" t="inlineStr">
        <is>
          <t>HAGFORS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46322</v>
      </c>
      <c r="F442" t="inlineStr">
        <is>
          <t>VÄRMLANDS LÄN</t>
        </is>
      </c>
      <c r="G442" t="inlineStr">
        <is>
          <t>HAGFORS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46322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46322</v>
      </c>
      <c r="F444" t="inlineStr">
        <is>
          <t>VÄRMLANDS LÄN</t>
        </is>
      </c>
      <c r="G444" t="inlineStr">
        <is>
          <t>HAGFORS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46322</v>
      </c>
      <c r="F445" t="inlineStr">
        <is>
          <t>VÄRMLANDS LÄN</t>
        </is>
      </c>
      <c r="G445" t="inlineStr">
        <is>
          <t>HAGFORS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46322</v>
      </c>
      <c r="F446" t="inlineStr">
        <is>
          <t>VÄRMLANDS LÄN</t>
        </is>
      </c>
      <c r="G446" t="inlineStr">
        <is>
          <t>HAGFORS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46322</v>
      </c>
      <c r="F447" t="inlineStr">
        <is>
          <t>VÄRMLANDS LÄN</t>
        </is>
      </c>
      <c r="G447" t="inlineStr">
        <is>
          <t>HAGFORS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43558-2024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45569</v>
      </c>
      <c r="E448" s="1" t="n">
        <v>46322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45356</v>
      </c>
      <c r="E449" s="1" t="n">
        <v>46322</v>
      </c>
      <c r="F449" t="inlineStr">
        <is>
          <t>VÄRMLANDS LÄN</t>
        </is>
      </c>
      <c r="G449" t="inlineStr">
        <is>
          <t>HAGFORS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46322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45750</v>
      </c>
      <c r="E451" s="1" t="n">
        <v>46322</v>
      </c>
      <c r="F451" t="inlineStr">
        <is>
          <t>VÄRMLANDS LÄN</t>
        </is>
      </c>
      <c r="G451" t="inlineStr">
        <is>
          <t>HAGFORS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46322</v>
      </c>
      <c r="F452" t="inlineStr">
        <is>
          <t>VÄRMLANDS LÄN</t>
        </is>
      </c>
      <c r="G452" t="inlineStr">
        <is>
          <t>HAGFORS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46322</v>
      </c>
      <c r="F453" t="inlineStr">
        <is>
          <t>VÄRMLANDS LÄN</t>
        </is>
      </c>
      <c r="G453" t="inlineStr">
        <is>
          <t>HAGFORS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18699-2022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46322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45148</v>
      </c>
      <c r="E455" s="1" t="n">
        <v>46322</v>
      </c>
      <c r="F455" t="inlineStr">
        <is>
          <t>VÄRMLANDS LÄN</t>
        </is>
      </c>
      <c r="G455" t="inlineStr">
        <is>
          <t>HAGFORS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46322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46322</v>
      </c>
      <c r="F457" t="inlineStr">
        <is>
          <t>VÄRMLANDS LÄN</t>
        </is>
      </c>
      <c r="G457" t="inlineStr">
        <is>
          <t>HAGFORS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45390</v>
      </c>
      <c r="E458" s="1" t="n">
        <v>46322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46322</v>
      </c>
      <c r="F459" t="inlineStr">
        <is>
          <t>VÄRMLANDS LÄN</t>
        </is>
      </c>
      <c r="G459" t="inlineStr">
        <is>
          <t>HAGFORS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46322</v>
      </c>
      <c r="F460" t="inlineStr">
        <is>
          <t>VÄRMLANDS LÄN</t>
        </is>
      </c>
      <c r="G460" t="inlineStr">
        <is>
          <t>HAGFORS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45149</v>
      </c>
      <c r="E461" s="1" t="n">
        <v>46322</v>
      </c>
      <c r="F461" t="inlineStr">
        <is>
          <t>VÄRMLANDS LÄN</t>
        </is>
      </c>
      <c r="G461" t="inlineStr">
        <is>
          <t>HAGFORS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45145</v>
      </c>
      <c r="E462" s="1" t="n">
        <v>46322</v>
      </c>
      <c r="F462" t="inlineStr">
        <is>
          <t>VÄRMLANDS LÄN</t>
        </is>
      </c>
      <c r="G462" t="inlineStr">
        <is>
          <t>HAGFORS</t>
        </is>
      </c>
      <c r="I462" t="n">
        <v>13.5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38132-2022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44812</v>
      </c>
      <c r="E463" s="1" t="n">
        <v>46322</v>
      </c>
      <c r="F463" t="inlineStr">
        <is>
          <t>VÄRMLANDS LÄN</t>
        </is>
      </c>
      <c r="G463" t="inlineStr">
        <is>
          <t>HAGFORS</t>
        </is>
      </c>
      <c r="H463" t="inlineStr">
        <is>
          <t>Kyrkan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30436-2026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46322</v>
      </c>
      <c r="F464" t="inlineStr">
        <is>
          <t>VÄRMLANDS LÄN</t>
        </is>
      </c>
      <c r="G464" t="inlineStr">
        <is>
          <t>HAGFORS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46322</v>
      </c>
      <c r="F465" t="inlineStr">
        <is>
          <t>VÄRMLANDS LÄN</t>
        </is>
      </c>
      <c r="G465" t="inlineStr">
        <is>
          <t>HAGFORS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46322</v>
      </c>
      <c r="F466" t="inlineStr">
        <is>
          <t>VÄRMLANDS LÄN</t>
        </is>
      </c>
      <c r="G466" t="inlineStr">
        <is>
          <t>HAGFORS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45510</v>
      </c>
      <c r="E467" s="1" t="n">
        <v>46322</v>
      </c>
      <c r="F467" t="inlineStr">
        <is>
          <t>VÄRMLANDS LÄN</t>
        </is>
      </c>
      <c r="G467" t="inlineStr">
        <is>
          <t>HAGFORS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30433-2026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46322</v>
      </c>
      <c r="F468" t="inlineStr">
        <is>
          <t>VÄRMLANDS LÄN</t>
        </is>
      </c>
      <c r="G468" t="inlineStr">
        <is>
          <t>HAGFORS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15538-2024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45401</v>
      </c>
      <c r="E469" s="1" t="n">
        <v>46322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45425</v>
      </c>
      <c r="E470" s="1" t="n">
        <v>46322</v>
      </c>
      <c r="F470" t="inlineStr">
        <is>
          <t>VÄRMLANDS LÄN</t>
        </is>
      </c>
      <c r="G470" t="inlineStr">
        <is>
          <t>HAGFORS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46211</v>
      </c>
      <c r="E471" s="1" t="n">
        <v>46322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60974-2024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45645</v>
      </c>
      <c r="E472" s="1" t="n">
        <v>46322</v>
      </c>
      <c r="F472" t="inlineStr">
        <is>
          <t>VÄRMLANDS LÄN</t>
        </is>
      </c>
      <c r="G472" t="inlineStr">
        <is>
          <t>HAGFORS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46322</v>
      </c>
      <c r="F473" t="inlineStr">
        <is>
          <t>VÄRMLANDS LÄN</t>
        </is>
      </c>
      <c r="G473" t="inlineStr">
        <is>
          <t>HAGFORS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62546-2022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44924</v>
      </c>
      <c r="E474" s="1" t="n">
        <v>46322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45699</v>
      </c>
      <c r="E475" s="1" t="n">
        <v>46322</v>
      </c>
      <c r="F475" t="inlineStr">
        <is>
          <t>VÄRMLANDS LÄN</t>
        </is>
      </c>
      <c r="G475" t="inlineStr">
        <is>
          <t>HAGFORS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44951</v>
      </c>
      <c r="E476" s="1" t="n">
        <v>46322</v>
      </c>
      <c r="F476" t="inlineStr">
        <is>
          <t>VÄRMLANDS LÄN</t>
        </is>
      </c>
      <c r="G476" t="inlineStr">
        <is>
          <t>HAGFORS</t>
        </is>
      </c>
      <c r="H476" t="inlineStr">
        <is>
          <t>Kyrkan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9769-2026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46322</v>
      </c>
      <c r="F477" t="inlineStr">
        <is>
          <t>VÄRMLANDS LÄN</t>
        </is>
      </c>
      <c r="G477" t="inlineStr">
        <is>
          <t>HAGFORS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46322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46322</v>
      </c>
      <c r="F479" t="inlineStr">
        <is>
          <t>VÄRMLANDS LÄN</t>
        </is>
      </c>
      <c r="G479" t="inlineStr">
        <is>
          <t>HAGFORS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46322</v>
      </c>
      <c r="F480" t="inlineStr">
        <is>
          <t>VÄRMLANDS LÄN</t>
        </is>
      </c>
      <c r="G480" t="inlineStr">
        <is>
          <t>HAGFORS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61818-2023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45266</v>
      </c>
      <c r="E481" s="1" t="n">
        <v>46322</v>
      </c>
      <c r="F481" t="inlineStr">
        <is>
          <t>VÄRMLANDS LÄN</t>
        </is>
      </c>
      <c r="G481" t="inlineStr">
        <is>
          <t>HAGFORS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45684</v>
      </c>
      <c r="E482" s="1" t="n">
        <v>46322</v>
      </c>
      <c r="F482" t="inlineStr">
        <is>
          <t>VÄRMLANDS LÄN</t>
        </is>
      </c>
      <c r="G482" t="inlineStr">
        <is>
          <t>HAGFORS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44638</v>
      </c>
      <c r="E483" s="1" t="n">
        <v>46322</v>
      </c>
      <c r="F483" t="inlineStr">
        <is>
          <t>VÄRMLANDS LÄN</t>
        </is>
      </c>
      <c r="G483" t="inlineStr">
        <is>
          <t>HAGFORS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40692-2022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44824</v>
      </c>
      <c r="E484" s="1" t="n">
        <v>46322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31691-2026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46226</v>
      </c>
      <c r="E485" s="1" t="n">
        <v>46322</v>
      </c>
      <c r="F485" t="inlineStr">
        <is>
          <t>VÄRMLANDS LÄN</t>
        </is>
      </c>
      <c r="G485" t="inlineStr">
        <is>
          <t>HAGFORS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46322</v>
      </c>
      <c r="F486" t="inlineStr">
        <is>
          <t>VÄRMLANDS LÄN</t>
        </is>
      </c>
      <c r="G486" t="inlineStr">
        <is>
          <t>HAGFORS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46225</v>
      </c>
      <c r="E487" s="1" t="n">
        <v>46322</v>
      </c>
      <c r="F487" t="inlineStr">
        <is>
          <t>VÄRMLANDS LÄN</t>
        </is>
      </c>
      <c r="G487" t="inlineStr">
        <is>
          <t>HAGFORS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47021-2023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45201</v>
      </c>
      <c r="E488" s="1" t="n">
        <v>46322</v>
      </c>
      <c r="F488" t="inlineStr">
        <is>
          <t>VÄRMLANDS LÄN</t>
        </is>
      </c>
      <c r="G488" t="inlineStr">
        <is>
          <t>HAGFORS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46322</v>
      </c>
      <c r="F489" t="inlineStr">
        <is>
          <t>VÄRMLANDS LÄN</t>
        </is>
      </c>
      <c r="G489" t="inlineStr">
        <is>
          <t>HAGFORS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46322</v>
      </c>
      <c r="F490" t="inlineStr">
        <is>
          <t>VÄRMLANDS LÄN</t>
        </is>
      </c>
      <c r="G490" t="inlineStr">
        <is>
          <t>HAGFORS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71447-2021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44540</v>
      </c>
      <c r="E491" s="1" t="n">
        <v>46322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46091</v>
      </c>
      <c r="E492" s="1" t="n">
        <v>46322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32043-2026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46233</v>
      </c>
      <c r="E493" s="1" t="n">
        <v>46322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13338-2026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46322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45720</v>
      </c>
      <c r="E495" s="1" t="n">
        <v>46322</v>
      </c>
      <c r="F495" t="inlineStr">
        <is>
          <t>VÄRMLANDS LÄN</t>
        </is>
      </c>
      <c r="G495" t="inlineStr">
        <is>
          <t>HAGFORS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46322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46322</v>
      </c>
      <c r="F497" t="inlineStr">
        <is>
          <t>VÄRMLANDS LÄN</t>
        </is>
      </c>
      <c r="G497" t="inlineStr">
        <is>
          <t>HAGFORS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46233</v>
      </c>
      <c r="E498" s="1" t="n">
        <v>46322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46322</v>
      </c>
      <c r="F499" t="inlineStr">
        <is>
          <t>VÄRMLANDS LÄN</t>
        </is>
      </c>
      <c r="G499" t="inlineStr">
        <is>
          <t>HAGFORS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46322</v>
      </c>
      <c r="F500" t="inlineStr">
        <is>
          <t>VÄRMLANDS LÄN</t>
        </is>
      </c>
      <c r="G500" t="inlineStr">
        <is>
          <t>HAGFORS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46322</v>
      </c>
      <c r="F501" t="inlineStr">
        <is>
          <t>VÄRMLANDS LÄN</t>
        </is>
      </c>
      <c r="G501" t="inlineStr">
        <is>
          <t>HAGFORS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46322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46322</v>
      </c>
      <c r="F503" t="inlineStr">
        <is>
          <t>VÄRMLANDS LÄN</t>
        </is>
      </c>
      <c r="G503" t="inlineStr">
        <is>
          <t>HAGFORS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13987-2026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46322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46322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46322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46322</v>
      </c>
      <c r="F507" t="inlineStr">
        <is>
          <t>VÄRMLANDS LÄN</t>
        </is>
      </c>
      <c r="G507" t="inlineStr">
        <is>
          <t>HAGFORS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45509</v>
      </c>
      <c r="E508" s="1" t="n">
        <v>46322</v>
      </c>
      <c r="F508" t="inlineStr">
        <is>
          <t>VÄRMLANDS LÄN</t>
        </is>
      </c>
      <c r="G508" t="inlineStr">
        <is>
          <t>HAGFORS</t>
        </is>
      </c>
      <c r="H508" t="inlineStr">
        <is>
          <t>Kommuner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14288-2026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46099</v>
      </c>
      <c r="E509" s="1" t="n">
        <v>46322</v>
      </c>
      <c r="F509" t="inlineStr">
        <is>
          <t>VÄRMLANDS LÄN</t>
        </is>
      </c>
      <c r="G509" t="inlineStr">
        <is>
          <t>HAGFORS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14832-2026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46322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55758-2024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45623</v>
      </c>
      <c r="E511" s="1" t="n">
        <v>46322</v>
      </c>
      <c r="F511" t="inlineStr">
        <is>
          <t>VÄRMLANDS LÄN</t>
        </is>
      </c>
      <c r="G511" t="inlineStr">
        <is>
          <t>HAGFORS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46322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44937</v>
      </c>
      <c r="E513" s="1" t="n">
        <v>46322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46104</v>
      </c>
      <c r="E514" s="1" t="n">
        <v>46322</v>
      </c>
      <c r="F514" t="inlineStr">
        <is>
          <t>VÄRMLANDS LÄN</t>
        </is>
      </c>
      <c r="G514" t="inlineStr">
        <is>
          <t>HAGFORS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37963-2026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46280</v>
      </c>
      <c r="E515" s="1" t="n">
        <v>46322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46322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45087</v>
      </c>
      <c r="E517" s="1" t="n">
        <v>46322</v>
      </c>
      <c r="F517" t="inlineStr">
        <is>
          <t>VÄRMLANDS LÄN</t>
        </is>
      </c>
      <c r="G517" t="inlineStr">
        <is>
          <t>HAGFORS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35088-2024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45527</v>
      </c>
      <c r="E518" s="1" t="n">
        <v>46322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46322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46322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46322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46322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46322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38031-2026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46280</v>
      </c>
      <c r="E524" s="1" t="n">
        <v>46322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46106</v>
      </c>
      <c r="E525" s="1" t="n">
        <v>46322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46322</v>
      </c>
      <c r="F526" t="inlineStr">
        <is>
          <t>VÄRMLANDS LÄN</t>
        </is>
      </c>
      <c r="G526" t="inlineStr">
        <is>
          <t>HAGFORS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16146-2026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46322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46280</v>
      </c>
      <c r="E528" s="1" t="n">
        <v>46322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44938</v>
      </c>
      <c r="E529" s="1" t="n">
        <v>46322</v>
      </c>
      <c r="F529" t="inlineStr">
        <is>
          <t>VÄRMLANDS LÄN</t>
        </is>
      </c>
      <c r="G529" t="inlineStr">
        <is>
          <t>HAGFORS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46322</v>
      </c>
      <c r="F530" t="inlineStr">
        <is>
          <t>VÄRMLANDS LÄN</t>
        </is>
      </c>
      <c r="G530" t="inlineStr">
        <is>
          <t>HAGFORS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46322</v>
      </c>
      <c r="F531" t="inlineStr">
        <is>
          <t>VÄRMLANDS LÄN</t>
        </is>
      </c>
      <c r="G531" t="inlineStr">
        <is>
          <t>HAGFORS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16284-2026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46322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46280</v>
      </c>
      <c r="E533" s="1" t="n">
        <v>46322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37922-2026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46280</v>
      </c>
      <c r="E534" s="1" t="n">
        <v>46322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46322</v>
      </c>
      <c r="F535" t="inlineStr">
        <is>
          <t>VÄRMLANDS LÄN</t>
        </is>
      </c>
      <c r="G535" t="inlineStr">
        <is>
          <t>HAGFORS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45371</v>
      </c>
      <c r="E536" s="1" t="n">
        <v>46322</v>
      </c>
      <c r="F536" t="inlineStr">
        <is>
          <t>VÄRMLANDS LÄN</t>
        </is>
      </c>
      <c r="G536" t="inlineStr">
        <is>
          <t>HAGFORS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46322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53192-2022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44876</v>
      </c>
      <c r="E538" s="1" t="n">
        <v>46322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46281</v>
      </c>
      <c r="E539" s="1" t="n">
        <v>46322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45084</v>
      </c>
      <c r="E540" s="1" t="n">
        <v>46322</v>
      </c>
      <c r="F540" t="inlineStr">
        <is>
          <t>VÄRMLANDS LÄN</t>
        </is>
      </c>
      <c r="G540" t="inlineStr">
        <is>
          <t>HAGFORS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61902-2021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44502</v>
      </c>
      <c r="E541" s="1" t="n">
        <v>46322</v>
      </c>
      <c r="F541" t="inlineStr">
        <is>
          <t>VÄRMLANDS LÄN</t>
        </is>
      </c>
      <c r="G541" t="inlineStr">
        <is>
          <t>HAGFORS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46122</v>
      </c>
      <c r="E542" s="1" t="n">
        <v>46322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46322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46322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46282</v>
      </c>
      <c r="E545" s="1" t="n">
        <v>46322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46126</v>
      </c>
      <c r="E546" s="1" t="n">
        <v>46322</v>
      </c>
      <c r="F546" t="inlineStr">
        <is>
          <t>VÄRMLANDS LÄN</t>
        </is>
      </c>
      <c r="G546" t="inlineStr">
        <is>
          <t>HAGFORS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42235-2024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45562</v>
      </c>
      <c r="E547" s="1" t="n">
        <v>46322</v>
      </c>
      <c r="F547" t="inlineStr">
        <is>
          <t>VÄRMLANDS LÄN</t>
        </is>
      </c>
      <c r="G547" t="inlineStr">
        <is>
          <t>HAGFORS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46322</v>
      </c>
      <c r="F548" t="inlineStr">
        <is>
          <t>VÄRMLANDS LÄN</t>
        </is>
      </c>
      <c r="G548" t="inlineStr">
        <is>
          <t>HAGFORS</t>
        </is>
      </c>
      <c r="H548" t="inlineStr">
        <is>
          <t>Kommuner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46283</v>
      </c>
      <c r="E549" s="1" t="n">
        <v>46322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32507-2026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46322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46282</v>
      </c>
      <c r="E551" s="1" t="n">
        <v>46322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46322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46239</v>
      </c>
      <c r="E553" s="1" t="n">
        <v>46322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19.3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18895-2026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46129</v>
      </c>
      <c r="E554" s="1" t="n">
        <v>46322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46322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44613</v>
      </c>
      <c r="E556" s="1" t="n">
        <v>46322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18528-2026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46127</v>
      </c>
      <c r="E557" s="1" t="n">
        <v>46322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46129</v>
      </c>
      <c r="E558" s="1" t="n">
        <v>46322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46322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18.6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61169-2024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45645</v>
      </c>
      <c r="E560" s="1" t="n">
        <v>46322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46128</v>
      </c>
      <c r="E561" s="1" t="n">
        <v>46322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46322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46322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46322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46322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24814-2024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45461</v>
      </c>
      <c r="E566" s="1" t="n">
        <v>46322</v>
      </c>
      <c r="F566" t="inlineStr">
        <is>
          <t>VÄRMLANDS LÄN</t>
        </is>
      </c>
      <c r="G566" t="inlineStr">
        <is>
          <t>HAGFORS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46239</v>
      </c>
      <c r="E567" s="1" t="n">
        <v>46322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46322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46322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46282</v>
      </c>
      <c r="E570" s="1" t="n">
        <v>46322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46282</v>
      </c>
      <c r="E571" s="1" t="n">
        <v>46322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36293-2023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45152</v>
      </c>
      <c r="E572" s="1" t="n">
        <v>46322</v>
      </c>
      <c r="F572" t="inlineStr">
        <is>
          <t>VÄRMLANDS LÄN</t>
        </is>
      </c>
      <c r="G572" t="inlineStr">
        <is>
          <t>HAGFORS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46322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46322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46322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20260-2026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46322</v>
      </c>
      <c r="F576" t="inlineStr">
        <is>
          <t>VÄRMLANDS LÄN</t>
        </is>
      </c>
      <c r="G576" t="inlineStr">
        <is>
          <t>HAGFORS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20444-2024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45435</v>
      </c>
      <c r="E577" s="1" t="n">
        <v>46322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45148</v>
      </c>
      <c r="E578" s="1" t="n">
        <v>46322</v>
      </c>
      <c r="F578" t="inlineStr">
        <is>
          <t>VÄRMLANDS LÄN</t>
        </is>
      </c>
      <c r="G578" t="inlineStr">
        <is>
          <t>HAGFORS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63868-2025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46020</v>
      </c>
      <c r="E579" s="1" t="n">
        <v>46322</v>
      </c>
      <c r="F579" t="inlineStr">
        <is>
          <t>VÄRMLANDS LÄN</t>
        </is>
      </c>
      <c r="G579" t="inlineStr">
        <is>
          <t>HAGFORS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46286</v>
      </c>
      <c r="E580" s="1" t="n">
        <v>46322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46322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59048-2022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44903</v>
      </c>
      <c r="E582" s="1" t="n">
        <v>46322</v>
      </c>
      <c r="F582" t="inlineStr">
        <is>
          <t>VÄRMLANDS LÄN</t>
        </is>
      </c>
      <c r="G582" t="inlineStr">
        <is>
          <t>HAGFORS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46322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46322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45733</v>
      </c>
      <c r="E585" s="1" t="n">
        <v>46322</v>
      </c>
      <c r="F585" t="inlineStr">
        <is>
          <t>VÄRMLANDS LÄN</t>
        </is>
      </c>
      <c r="G585" t="inlineStr">
        <is>
          <t>HAGFORS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33187-2025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45840</v>
      </c>
      <c r="E586" s="1" t="n">
        <v>46322</v>
      </c>
      <c r="F586" t="inlineStr">
        <is>
          <t>VÄRMLANDS LÄN</t>
        </is>
      </c>
      <c r="G586" t="inlineStr">
        <is>
          <t>HAGFORS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46322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46287</v>
      </c>
      <c r="E588" s="1" t="n">
        <v>46322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26628-2024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45469</v>
      </c>
      <c r="E589" s="1" t="n">
        <v>46322</v>
      </c>
      <c r="F589" t="inlineStr">
        <is>
          <t>VÄRMLANDS LÄN</t>
        </is>
      </c>
      <c r="G589" t="inlineStr">
        <is>
          <t>HAGFORS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45057</v>
      </c>
      <c r="E590" s="1" t="n">
        <v>46322</v>
      </c>
      <c r="F590" t="inlineStr">
        <is>
          <t>VÄRMLANDS LÄN</t>
        </is>
      </c>
      <c r="G590" t="inlineStr">
        <is>
          <t>HAGFORS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17884-2025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45758</v>
      </c>
      <c r="E591" s="1" t="n">
        <v>46322</v>
      </c>
      <c r="F591" t="inlineStr">
        <is>
          <t>VÄRMLANDS LÄN</t>
        </is>
      </c>
      <c r="G591" t="inlineStr">
        <is>
          <t>HAGFORS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19554-2024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45429</v>
      </c>
      <c r="E592" s="1" t="n">
        <v>46322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29492-2024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45484</v>
      </c>
      <c r="E593" s="1" t="n">
        <v>46322</v>
      </c>
      <c r="F593" t="inlineStr">
        <is>
          <t>VÄRMLANDS LÄN</t>
        </is>
      </c>
      <c r="G593" t="inlineStr">
        <is>
          <t>HAGFORS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19993-2026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46322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8.4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22346-2025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45786</v>
      </c>
      <c r="E595" s="1" t="n">
        <v>46322</v>
      </c>
      <c r="F595" t="inlineStr">
        <is>
          <t>VÄRMLANDS LÄN</t>
        </is>
      </c>
      <c r="G595" t="inlineStr">
        <is>
          <t>HAGFORS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46322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44763</v>
      </c>
      <c r="E597" s="1" t="n">
        <v>46322</v>
      </c>
      <c r="F597" t="inlineStr">
        <is>
          <t>VÄRMLANDS LÄN</t>
        </is>
      </c>
      <c r="G597" t="inlineStr">
        <is>
          <t>HAGFORS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45226</v>
      </c>
      <c r="E598" s="1" t="n">
        <v>46322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46322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46322</v>
      </c>
      <c r="F600" t="inlineStr">
        <is>
          <t>VÄRMLANDS LÄN</t>
        </is>
      </c>
      <c r="G600" t="inlineStr">
        <is>
          <t>HAGFORS</t>
        </is>
      </c>
      <c r="H600" t="inlineStr">
        <is>
          <t>Kyrkan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45819</v>
      </c>
      <c r="E601" s="1" t="n">
        <v>46322</v>
      </c>
      <c r="F601" t="inlineStr">
        <is>
          <t>VÄRMLANDS LÄN</t>
        </is>
      </c>
      <c r="G601" t="inlineStr">
        <is>
          <t>HAGFORS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18213-2024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45420</v>
      </c>
      <c r="E602" s="1" t="n">
        <v>46322</v>
      </c>
      <c r="F602" t="inlineStr">
        <is>
          <t>VÄRMLANDS LÄN</t>
        </is>
      </c>
      <c r="G602" t="inlineStr">
        <is>
          <t>HAGFORS</t>
        </is>
      </c>
      <c r="I602" t="n">
        <v>11.5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46322</v>
      </c>
      <c r="F603" t="inlineStr">
        <is>
          <t>VÄRMLANDS LÄN</t>
        </is>
      </c>
      <c r="G603" t="inlineStr">
        <is>
          <t>HAGFORS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45450</v>
      </c>
      <c r="E604" s="1" t="n">
        <v>46322</v>
      </c>
      <c r="F604" t="inlineStr">
        <is>
          <t>VÄRMLANDS LÄN</t>
        </is>
      </c>
      <c r="G604" t="inlineStr">
        <is>
          <t>HAGFORS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45783</v>
      </c>
      <c r="E605" s="1" t="n">
        <v>46322</v>
      </c>
      <c r="F605" t="inlineStr">
        <is>
          <t>VÄRMLANDS LÄN</t>
        </is>
      </c>
      <c r="G605" t="inlineStr">
        <is>
          <t>HAGFORS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46322</v>
      </c>
      <c r="F606" t="inlineStr">
        <is>
          <t>VÄRMLANDS LÄN</t>
        </is>
      </c>
      <c r="G606" t="inlineStr">
        <is>
          <t>HAGFORS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10382-2025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45720</v>
      </c>
      <c r="E607" s="1" t="n">
        <v>46322</v>
      </c>
      <c r="F607" t="inlineStr">
        <is>
          <t>VÄRMLANDS LÄN</t>
        </is>
      </c>
      <c r="G607" t="inlineStr">
        <is>
          <t>HAGFORS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45839</v>
      </c>
      <c r="E608" s="1" t="n">
        <v>46322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45338</v>
      </c>
      <c r="E609" s="1" t="n">
        <v>46322</v>
      </c>
      <c r="F609" t="inlineStr">
        <is>
          <t>VÄRMLANDS LÄN</t>
        </is>
      </c>
      <c r="G609" t="inlineStr">
        <is>
          <t>HAGFORS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44984</v>
      </c>
      <c r="E610" s="1" t="n">
        <v>46322</v>
      </c>
      <c r="F610" t="inlineStr">
        <is>
          <t>VÄRMLANDS LÄN</t>
        </is>
      </c>
      <c r="G610" t="inlineStr">
        <is>
          <t>HAGFORS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46322</v>
      </c>
      <c r="F611" t="inlineStr">
        <is>
          <t>VÄRMLANDS LÄN</t>
        </is>
      </c>
      <c r="G611" t="inlineStr">
        <is>
          <t>HAGFORS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45525</v>
      </c>
      <c r="E612" s="1" t="n">
        <v>46322</v>
      </c>
      <c r="F612" t="inlineStr">
        <is>
          <t>VÄRMLANDS LÄN</t>
        </is>
      </c>
      <c r="G612" t="inlineStr">
        <is>
          <t>HAGFORS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26615-2024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45469</v>
      </c>
      <c r="E613" s="1" t="n">
        <v>46322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46289</v>
      </c>
      <c r="E614" s="1" t="n">
        <v>46322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34281-2025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46322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39345-2026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46288</v>
      </c>
      <c r="E616" s="1" t="n">
        <v>46322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45533</v>
      </c>
      <c r="E617" s="1" t="n">
        <v>46322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65065-2023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45287</v>
      </c>
      <c r="E618" s="1" t="n">
        <v>46322</v>
      </c>
      <c r="F618" t="inlineStr">
        <is>
          <t>VÄRMLANDS LÄN</t>
        </is>
      </c>
      <c r="G618" t="inlineStr">
        <is>
          <t>HAGFORS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46288</v>
      </c>
      <c r="E619" s="1" t="n">
        <v>46322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8.5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39382-2026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46288</v>
      </c>
      <c r="E620" s="1" t="n">
        <v>46322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34572-2025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45847</v>
      </c>
      <c r="E621" s="1" t="n">
        <v>46322</v>
      </c>
      <c r="F621" t="inlineStr">
        <is>
          <t>VÄRMLANDS LÄN</t>
        </is>
      </c>
      <c r="G621" t="inlineStr">
        <is>
          <t>HAGFORS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45614</v>
      </c>
      <c r="E622" s="1" t="n">
        <v>46322</v>
      </c>
      <c r="F622" t="inlineStr">
        <is>
          <t>VÄRMLANDS LÄN</t>
        </is>
      </c>
      <c r="G622" t="inlineStr">
        <is>
          <t>HAGFORS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45226</v>
      </c>
      <c r="E623" s="1" t="n">
        <v>46322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19072-2025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45765</v>
      </c>
      <c r="E624" s="1" t="n">
        <v>46322</v>
      </c>
      <c r="F624" t="inlineStr">
        <is>
          <t>VÄRMLANDS LÄN</t>
        </is>
      </c>
      <c r="G624" t="inlineStr">
        <is>
          <t>HAGFORS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68252-2021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44526</v>
      </c>
      <c r="E625" s="1" t="n">
        <v>46322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39532-2026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46289</v>
      </c>
      <c r="E626" s="1" t="n">
        <v>46322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45097</v>
      </c>
      <c r="E627" s="1" t="n">
        <v>46322</v>
      </c>
      <c r="F627" t="inlineStr">
        <is>
          <t>VÄRMLANDS LÄN</t>
        </is>
      </c>
      <c r="G627" t="inlineStr">
        <is>
          <t>HAGFORS</t>
        </is>
      </c>
      <c r="H627" t="inlineStr">
        <is>
          <t>Kyrkan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46289</v>
      </c>
      <c r="E628" s="1" t="n">
        <v>46322</v>
      </c>
      <c r="F628" t="inlineStr">
        <is>
          <t>VÄRMLANDS LÄN</t>
        </is>
      </c>
      <c r="G628" t="inlineStr">
        <is>
          <t>HAGFORS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39605-2026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46289</v>
      </c>
      <c r="E629" s="1" t="n">
        <v>46322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33073-2026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46245</v>
      </c>
      <c r="E630" s="1" t="n">
        <v>46322</v>
      </c>
      <c r="F630" t="inlineStr">
        <is>
          <t>VÄRMLANDS LÄN</t>
        </is>
      </c>
      <c r="G630" t="inlineStr">
        <is>
          <t>HAGFORS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19391-2025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45769</v>
      </c>
      <c r="E631" s="1" t="n">
        <v>46322</v>
      </c>
      <c r="F631" t="inlineStr">
        <is>
          <t>VÄRMLANDS LÄN</t>
        </is>
      </c>
      <c r="G631" t="inlineStr">
        <is>
          <t>HAGFORS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45223</v>
      </c>
      <c r="E632" s="1" t="n">
        <v>46322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46322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56165-2024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46322</v>
      </c>
      <c r="F634" t="inlineStr">
        <is>
          <t>VÄRMLANDS LÄN</t>
        </is>
      </c>
      <c r="G634" t="inlineStr">
        <is>
          <t>HAGFORS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33635-2026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46248</v>
      </c>
      <c r="E635" s="1" t="n">
        <v>46322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20594-2026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46140</v>
      </c>
      <c r="E636" s="1" t="n">
        <v>46322</v>
      </c>
      <c r="F636" t="inlineStr">
        <is>
          <t>VÄRMLANDS LÄN</t>
        </is>
      </c>
      <c r="G636" t="inlineStr">
        <is>
          <t>HAGFORS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20706-2026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46141</v>
      </c>
      <c r="E637" s="1" t="n">
        <v>46322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14435-2025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45741</v>
      </c>
      <c r="E638" s="1" t="n">
        <v>46322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27826-2024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45475</v>
      </c>
      <c r="E639" s="1" t="n">
        <v>46322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27827-2024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45475</v>
      </c>
      <c r="E640" s="1" t="n">
        <v>46322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36206-2024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45534</v>
      </c>
      <c r="E641" s="1" t="n">
        <v>46322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36228-2024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46322</v>
      </c>
      <c r="F642" t="inlineStr">
        <is>
          <t>VÄRMLANDS LÄN</t>
        </is>
      </c>
      <c r="G642" t="inlineStr">
        <is>
          <t>HAGFORS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44582</v>
      </c>
      <c r="E643" s="1" t="n">
        <v>46322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20103-2024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45434</v>
      </c>
      <c r="E644" s="1" t="n">
        <v>46322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46322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61265-2022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44915</v>
      </c>
      <c r="E646" s="1" t="n">
        <v>46322</v>
      </c>
      <c r="F646" t="inlineStr">
        <is>
          <t>VÄRMLANDS LÄN</t>
        </is>
      </c>
      <c r="G646" t="inlineStr">
        <is>
          <t>HAGFORS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39706-2026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46290</v>
      </c>
      <c r="E647" s="1" t="n">
        <v>46322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20564-2026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46322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45725</v>
      </c>
      <c r="E649" s="1" t="n">
        <v>46322</v>
      </c>
      <c r="F649" t="inlineStr">
        <is>
          <t>VÄRMLANDS LÄN</t>
        </is>
      </c>
      <c r="G649" t="inlineStr">
        <is>
          <t>HAGFORS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46290</v>
      </c>
      <c r="E650" s="1" t="n">
        <v>46322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40191-2026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46322</v>
      </c>
      <c r="F651" t="inlineStr">
        <is>
          <t>VÄRMLANDS LÄN</t>
        </is>
      </c>
      <c r="G651" t="inlineStr">
        <is>
          <t>HAGFORS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40206-2026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46293</v>
      </c>
      <c r="E652" s="1" t="n">
        <v>46322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40163-2026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46293</v>
      </c>
      <c r="E653" s="1" t="n">
        <v>46322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15270-2024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45400</v>
      </c>
      <c r="E654" s="1" t="n">
        <v>46322</v>
      </c>
      <c r="F654" t="inlineStr">
        <is>
          <t>VÄRMLANDS LÄN</t>
        </is>
      </c>
      <c r="G654" t="inlineStr">
        <is>
          <t>HAGFORS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39708-2026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46290</v>
      </c>
      <c r="E655" s="1" t="n">
        <v>46322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40174-2026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46293</v>
      </c>
      <c r="E656" s="1" t="n">
        <v>46322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31618-2025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45833</v>
      </c>
      <c r="E657" s="1" t="n">
        <v>46322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46426-2024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45582</v>
      </c>
      <c r="E658" s="1" t="n">
        <v>46322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20798-2026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46141</v>
      </c>
      <c r="E659" s="1" t="n">
        <v>46322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40125-2026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46293</v>
      </c>
      <c r="E660" s="1" t="n">
        <v>46322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40203-2026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46290</v>
      </c>
      <c r="E661" s="1" t="n">
        <v>46322</v>
      </c>
      <c r="F661" t="inlineStr">
        <is>
          <t>VÄRMLANDS LÄN</t>
        </is>
      </c>
      <c r="G661" t="inlineStr">
        <is>
          <t>HAGFORS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40205-2026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46290</v>
      </c>
      <c r="E662" s="1" t="n">
        <v>46322</v>
      </c>
      <c r="F662" t="inlineStr">
        <is>
          <t>VÄRMLANDS LÄN</t>
        </is>
      </c>
      <c r="G662" t="inlineStr">
        <is>
          <t>HAGFORS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20752-2026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46141</v>
      </c>
      <c r="E663" s="1" t="n">
        <v>46322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46322</v>
      </c>
      <c r="F664" t="inlineStr">
        <is>
          <t>VÄRMLANDS LÄN</t>
        </is>
      </c>
      <c r="G664" t="inlineStr">
        <is>
          <t>HAGFORS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40148-2026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46293</v>
      </c>
      <c r="E665" s="1" t="n">
        <v>46322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46058</v>
      </c>
      <c r="E666" s="1" t="n">
        <v>46322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46322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20494-2026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46140</v>
      </c>
      <c r="E668" s="1" t="n">
        <v>46322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44567</v>
      </c>
      <c r="E669" s="1" t="n">
        <v>46322</v>
      </c>
      <c r="F669" t="inlineStr">
        <is>
          <t>VÄRMLANDS LÄN</t>
        </is>
      </c>
      <c r="G669" t="inlineStr">
        <is>
          <t>HAGFORS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34636-2024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45526</v>
      </c>
      <c r="E670" s="1" t="n">
        <v>46322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20729-2026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46141</v>
      </c>
      <c r="E671" s="1" t="n">
        <v>46322</v>
      </c>
      <c r="F671" t="inlineStr">
        <is>
          <t>VÄRMLANDS LÄN</t>
        </is>
      </c>
      <c r="G671" t="inlineStr">
        <is>
          <t>HAGFORS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40071-2026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46293</v>
      </c>
      <c r="E672" s="1" t="n">
        <v>46322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46293</v>
      </c>
      <c r="E673" s="1" t="n">
        <v>46322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33515-2026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46248</v>
      </c>
      <c r="E674" s="1" t="n">
        <v>46322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20880-2026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46142</v>
      </c>
      <c r="E675" s="1" t="n">
        <v>46322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46142</v>
      </c>
      <c r="E676" s="1" t="n">
        <v>46322</v>
      </c>
      <c r="F676" t="inlineStr">
        <is>
          <t>VÄRMLANDS LÄN</t>
        </is>
      </c>
      <c r="G676" t="inlineStr">
        <is>
          <t>HAGFORS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45140</v>
      </c>
      <c r="E677" s="1" t="n">
        <v>46322</v>
      </c>
      <c r="F677" t="inlineStr">
        <is>
          <t>VÄRMLANDS LÄN</t>
        </is>
      </c>
      <c r="G677" t="inlineStr">
        <is>
          <t>HAGFORS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40130-2026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46293</v>
      </c>
      <c r="E678" s="1" t="n">
        <v>46322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40157-2026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46322</v>
      </c>
      <c r="F679" t="inlineStr">
        <is>
          <t>VÄRMLANDS LÄN</t>
        </is>
      </c>
      <c r="G679" t="inlineStr">
        <is>
          <t>HAGFORS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14464-2025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45741</v>
      </c>
      <c r="E680" s="1" t="n">
        <v>46322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33627-2026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46248</v>
      </c>
      <c r="E681" s="1" t="n">
        <v>46322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39881-2026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46322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21203-2026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46322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54757-2022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44883</v>
      </c>
      <c r="E684" s="1" t="n">
        <v>46322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45238-2024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45575</v>
      </c>
      <c r="E685" s="1" t="n">
        <v>46322</v>
      </c>
      <c r="F685" t="inlineStr">
        <is>
          <t>VÄRMLANDS LÄN</t>
        </is>
      </c>
      <c r="G685" t="inlineStr">
        <is>
          <t>HAGFORS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46149</v>
      </c>
      <c r="E686" s="1" t="n">
        <v>46322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40207-2026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46322</v>
      </c>
      <c r="F687" t="inlineStr">
        <is>
          <t>VÄRMLANDS LÄN</t>
        </is>
      </c>
      <c r="G687" t="inlineStr">
        <is>
          <t>HAGFORS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46322</v>
      </c>
      <c r="F688" t="inlineStr">
        <is>
          <t>VÄRMLANDS LÄN</t>
        </is>
      </c>
      <c r="G688" t="inlineStr">
        <is>
          <t>HAGFORS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37085-2023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45155</v>
      </c>
      <c r="E689" s="1" t="n">
        <v>46322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46150</v>
      </c>
      <c r="E690" s="1" t="n">
        <v>46322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37463-2022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44809</v>
      </c>
      <c r="E691" s="1" t="n">
        <v>46322</v>
      </c>
      <c r="F691" t="inlineStr">
        <is>
          <t>VÄRMLANDS LÄN</t>
        </is>
      </c>
      <c r="G691" t="inlineStr">
        <is>
          <t>HAGFORS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62461-2023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45268</v>
      </c>
      <c r="E692" s="1" t="n">
        <v>46322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21762-2026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46150</v>
      </c>
      <c r="E693" s="1" t="n">
        <v>46322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20466-2023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45057</v>
      </c>
      <c r="E694" s="1" t="n">
        <v>46322</v>
      </c>
      <c r="F694" t="inlineStr">
        <is>
          <t>VÄRMLANDS LÄN</t>
        </is>
      </c>
      <c r="G694" t="inlineStr">
        <is>
          <t>HAGFORS</t>
        </is>
      </c>
      <c r="H694" t="inlineStr">
        <is>
          <t>Kyrkan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21776-2026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46150</v>
      </c>
      <c r="E695" s="1" t="n">
        <v>46322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53813-2024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45615</v>
      </c>
      <c r="E696" s="1" t="n">
        <v>46322</v>
      </c>
      <c r="F696" t="inlineStr">
        <is>
          <t>VÄRMLANDS LÄN</t>
        </is>
      </c>
      <c r="G696" t="inlineStr">
        <is>
          <t>HAGFORS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8129-2024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45351</v>
      </c>
      <c r="E697" s="1" t="n">
        <v>46322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10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46322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46155</v>
      </c>
      <c r="E699" s="1" t="n">
        <v>46322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22572-2026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46155</v>
      </c>
      <c r="E700" s="1" t="n">
        <v>46322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45470</v>
      </c>
      <c r="E701" s="1" t="n">
        <v>46322</v>
      </c>
      <c r="F701" t="inlineStr">
        <is>
          <t>VÄRMLANDS LÄN</t>
        </is>
      </c>
      <c r="G701" t="inlineStr">
        <is>
          <t>HAGFORS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46322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42175-2024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45562</v>
      </c>
      <c r="E703" s="1" t="n">
        <v>46322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46322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22556-2026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46322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25258-2023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45079</v>
      </c>
      <c r="E706" s="1" t="n">
        <v>46322</v>
      </c>
      <c r="F706" t="inlineStr">
        <is>
          <t>VÄRMLANDS LÄN</t>
        </is>
      </c>
      <c r="G706" t="inlineStr">
        <is>
          <t>HAGFORS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22911-2026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46160</v>
      </c>
      <c r="E707" s="1" t="n">
        <v>46322</v>
      </c>
      <c r="F707" t="inlineStr">
        <is>
          <t>VÄRMLANDS LÄN</t>
        </is>
      </c>
      <c r="G707" t="inlineStr">
        <is>
          <t>HAGFORS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46029</v>
      </c>
      <c r="E708" s="1" t="n">
        <v>46322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8.800000000000001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21451-2024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45441</v>
      </c>
      <c r="E709" s="1" t="n">
        <v>46322</v>
      </c>
      <c r="F709" t="inlineStr">
        <is>
          <t>VÄRMLANDS LÄN</t>
        </is>
      </c>
      <c r="G709" t="inlineStr">
        <is>
          <t>HAGFORS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32147-2023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45107</v>
      </c>
      <c r="E710" s="1" t="n">
        <v>46322</v>
      </c>
      <c r="F710" t="inlineStr">
        <is>
          <t>VÄRMLANDS LÄN</t>
        </is>
      </c>
      <c r="G710" t="inlineStr">
        <is>
          <t>HAGFORS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49766-2023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45212</v>
      </c>
      <c r="E711" s="1" t="n">
        <v>46322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23016-2026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46161</v>
      </c>
      <c r="E712" s="1" t="n">
        <v>46322</v>
      </c>
      <c r="F712" t="inlineStr">
        <is>
          <t>VÄRMLANDS LÄN</t>
        </is>
      </c>
      <c r="G712" t="inlineStr">
        <is>
          <t>HAGFORS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23129-2026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46161</v>
      </c>
      <c r="E713" s="1" t="n">
        <v>46322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22925-2026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46160</v>
      </c>
      <c r="E714" s="1" t="n">
        <v>46322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46322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46294</v>
      </c>
      <c r="E716" s="1" t="n">
        <v>46322</v>
      </c>
      <c r="F716" t="inlineStr">
        <is>
          <t>VÄRMLANDS LÄN</t>
        </is>
      </c>
      <c r="G716" t="inlineStr">
        <is>
          <t>HAGFORS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31087-2024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45502</v>
      </c>
      <c r="E717" s="1" t="n">
        <v>46322</v>
      </c>
      <c r="F717" t="inlineStr">
        <is>
          <t>VÄRMLANDS LÄN</t>
        </is>
      </c>
      <c r="G717" t="inlineStr">
        <is>
          <t>HAGFORS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45203</v>
      </c>
      <c r="E718" s="1" t="n">
        <v>46322</v>
      </c>
      <c r="F718" t="inlineStr">
        <is>
          <t>VÄRMLANDS LÄN</t>
        </is>
      </c>
      <c r="G718" t="inlineStr">
        <is>
          <t>HAGFORS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40538-2026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46295</v>
      </c>
      <c r="E719" s="1" t="n">
        <v>46322</v>
      </c>
      <c r="F719" t="inlineStr">
        <is>
          <t>VÄRMLANDS LÄN</t>
        </is>
      </c>
      <c r="G719" t="inlineStr">
        <is>
          <t>HAGFORS</t>
        </is>
      </c>
      <c r="H719" t="inlineStr">
        <is>
          <t>Kommuner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40259-2026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46294</v>
      </c>
      <c r="E720" s="1" t="n">
        <v>46322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33833-2026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46251</v>
      </c>
      <c r="E721" s="1" t="n">
        <v>46322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23549-2026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46163</v>
      </c>
      <c r="E722" s="1" t="n">
        <v>46322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31657-2024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45506</v>
      </c>
      <c r="E723" s="1" t="n">
        <v>46322</v>
      </c>
      <c r="F723" t="inlineStr">
        <is>
          <t>VÄRMLANDS LÄN</t>
        </is>
      </c>
      <c r="G723" t="inlineStr">
        <is>
          <t>HAGFORS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51015-2025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45947</v>
      </c>
      <c r="E724" s="1" t="n">
        <v>46322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36494-2025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45869</v>
      </c>
      <c r="E725" s="1" t="n">
        <v>46322</v>
      </c>
      <c r="F725" t="inlineStr">
        <is>
          <t>VÄRMLANDS LÄN</t>
        </is>
      </c>
      <c r="G725" t="inlineStr">
        <is>
          <t>HAGFORS</t>
        </is>
      </c>
      <c r="H725" t="inlineStr">
        <is>
          <t>Kyrkan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34014-2026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46252</v>
      </c>
      <c r="E726" s="1" t="n">
        <v>46322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23525-2026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46163</v>
      </c>
      <c r="E727" s="1" t="n">
        <v>46322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23269-2026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46322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40547-2026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46295</v>
      </c>
      <c r="E729" s="1" t="n">
        <v>46322</v>
      </c>
      <c r="F729" t="inlineStr">
        <is>
          <t>VÄRMLANDS LÄN</t>
        </is>
      </c>
      <c r="G729" t="inlineStr">
        <is>
          <t>HAGFORS</t>
        </is>
      </c>
      <c r="H729" t="inlineStr">
        <is>
          <t>Kommuner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3846-2023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44951</v>
      </c>
      <c r="E730" s="1" t="n">
        <v>46322</v>
      </c>
      <c r="F730" t="inlineStr">
        <is>
          <t>VÄRMLANDS LÄN</t>
        </is>
      </c>
      <c r="G730" t="inlineStr">
        <is>
          <t>HAGFORS</t>
        </is>
      </c>
      <c r="H730" t="inlineStr">
        <is>
          <t>Kommuner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40537-2026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46295</v>
      </c>
      <c r="E731" s="1" t="n">
        <v>46322</v>
      </c>
      <c r="F731" t="inlineStr">
        <is>
          <t>VÄRMLANDS LÄN</t>
        </is>
      </c>
      <c r="G731" t="inlineStr">
        <is>
          <t>HAGFORS</t>
        </is>
      </c>
      <c r="H731" t="inlineStr">
        <is>
          <t>Kommuner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40428-2026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46294</v>
      </c>
      <c r="E732" s="1" t="n">
        <v>46322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64936-2023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45282</v>
      </c>
      <c r="E733" s="1" t="n">
        <v>46322</v>
      </c>
      <c r="F733" t="inlineStr">
        <is>
          <t>VÄRMLANDS LÄN</t>
        </is>
      </c>
      <c r="G733" t="inlineStr">
        <is>
          <t>HAGFORS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40440-2026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46294</v>
      </c>
      <c r="E734" s="1" t="n">
        <v>46322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23728-2026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46164</v>
      </c>
      <c r="E735" s="1" t="n">
        <v>46322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40351-2026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46294</v>
      </c>
      <c r="E736" s="1" t="n">
        <v>46322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45684</v>
      </c>
      <c r="E737" s="1" t="n">
        <v>46322</v>
      </c>
      <c r="F737" t="inlineStr">
        <is>
          <t>VÄRMLANDS LÄN</t>
        </is>
      </c>
      <c r="G737" t="inlineStr">
        <is>
          <t>HAGFORS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45436</v>
      </c>
      <c r="E738" s="1" t="n">
        <v>46322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44949</v>
      </c>
      <c r="E739" s="1" t="n">
        <v>46322</v>
      </c>
      <c r="F739" t="inlineStr">
        <is>
          <t>VÄRMLANDS LÄN</t>
        </is>
      </c>
      <c r="G739" t="inlineStr">
        <is>
          <t>HAGFORS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46322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30635-2025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45831</v>
      </c>
      <c r="E741" s="1" t="n">
        <v>46322</v>
      </c>
      <c r="F741" t="inlineStr">
        <is>
          <t>VÄRMLANDS LÄN</t>
        </is>
      </c>
      <c r="G741" t="inlineStr">
        <is>
          <t>HAGFORS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30642-2025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45831</v>
      </c>
      <c r="E742" s="1" t="n">
        <v>46322</v>
      </c>
      <c r="F742" t="inlineStr">
        <is>
          <t>VÄRMLANDS LÄN</t>
        </is>
      </c>
      <c r="G742" t="inlineStr">
        <is>
          <t>HAGFORS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30327-2022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44760</v>
      </c>
      <c r="E743" s="1" t="n">
        <v>46322</v>
      </c>
      <c r="F743" t="inlineStr">
        <is>
          <t>VÄRMLANDS LÄN</t>
        </is>
      </c>
      <c r="G743" t="inlineStr">
        <is>
          <t>HAGFORS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24238-2026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46168</v>
      </c>
      <c r="E744" s="1" t="n">
        <v>46322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24240-2026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46322</v>
      </c>
      <c r="F745" t="inlineStr">
        <is>
          <t>VÄRMLANDS LÄN</t>
        </is>
      </c>
      <c r="G745" t="inlineStr">
        <is>
          <t>HAGFORS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19583-2023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45050</v>
      </c>
      <c r="E746" s="1" t="n">
        <v>46322</v>
      </c>
      <c r="F746" t="inlineStr">
        <is>
          <t>VÄRMLANDS LÄN</t>
        </is>
      </c>
      <c r="G746" t="inlineStr">
        <is>
          <t>HAGFORS</t>
        </is>
      </c>
      <c r="H746" t="inlineStr">
        <is>
          <t>Kommuner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24625-2026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46171</v>
      </c>
      <c r="E747" s="1" t="n">
        <v>46322</v>
      </c>
      <c r="F747" t="inlineStr">
        <is>
          <t>VÄRMLANDS LÄN</t>
        </is>
      </c>
      <c r="G747" t="inlineStr">
        <is>
          <t>HAGFORS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24862-2026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46174</v>
      </c>
      <c r="E748" s="1" t="n">
        <v>46322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24677-2026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46171</v>
      </c>
      <c r="E749" s="1" t="n">
        <v>46322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24761-2026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46171</v>
      </c>
      <c r="E750" s="1" t="n">
        <v>46322</v>
      </c>
      <c r="F750" t="inlineStr">
        <is>
          <t>VÄRMLANDS LÄN</t>
        </is>
      </c>
      <c r="G750" t="inlineStr">
        <is>
          <t>HAGFORS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24628-2026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46171</v>
      </c>
      <c r="E751" s="1" t="n">
        <v>46322</v>
      </c>
      <c r="F751" t="inlineStr">
        <is>
          <t>VÄRMLANDS LÄN</t>
        </is>
      </c>
      <c r="G751" t="inlineStr">
        <is>
          <t>HAGFORS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34443-2026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46254</v>
      </c>
      <c r="E752" s="1" t="n">
        <v>46322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24778-2026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46171</v>
      </c>
      <c r="E753" s="1" t="n">
        <v>46322</v>
      </c>
      <c r="F753" t="inlineStr">
        <is>
          <t>VÄRMLANDS LÄN</t>
        </is>
      </c>
      <c r="G753" t="inlineStr">
        <is>
          <t>HAGFORS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39029-2022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44817</v>
      </c>
      <c r="E754" s="1" t="n">
        <v>46322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24699-2026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46171</v>
      </c>
      <c r="E755" s="1" t="n">
        <v>46322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34399-2026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46254</v>
      </c>
      <c r="E756" s="1" t="n">
        <v>46322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45681</v>
      </c>
      <c r="E757" s="1" t="n">
        <v>46322</v>
      </c>
      <c r="F757" t="inlineStr">
        <is>
          <t>VÄRMLANDS LÄN</t>
        </is>
      </c>
      <c r="G757" t="inlineStr">
        <is>
          <t>HAGFORS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15228-2024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45400</v>
      </c>
      <c r="E758" s="1" t="n">
        <v>46322</v>
      </c>
      <c r="F758" t="inlineStr">
        <is>
          <t>VÄRMLANDS LÄN</t>
        </is>
      </c>
      <c r="G758" t="inlineStr">
        <is>
          <t>HAGFORS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24626-2026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46171</v>
      </c>
      <c r="E759" s="1" t="n">
        <v>46322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24713-2026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46171</v>
      </c>
      <c r="E760" s="1" t="n">
        <v>46322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34456-2026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46322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8.800000000000001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11744-2024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46322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25276-2026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46176</v>
      </c>
      <c r="E763" s="1" t="n">
        <v>46322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34541-2024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45525</v>
      </c>
      <c r="E764" s="1" t="n">
        <v>46322</v>
      </c>
      <c r="F764" t="inlineStr">
        <is>
          <t>VÄRMLANDS LÄN</t>
        </is>
      </c>
      <c r="G764" t="inlineStr">
        <is>
          <t>HAGFORS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46322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46322</v>
      </c>
      <c r="F766" t="inlineStr">
        <is>
          <t>VÄRMLANDS LÄN</t>
        </is>
      </c>
      <c r="G766" t="inlineStr">
        <is>
          <t>HAGFORS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46177</v>
      </c>
      <c r="E767" s="1" t="n">
        <v>46322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25560-2026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46177</v>
      </c>
      <c r="E768" s="1" t="n">
        <v>46322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33821-2026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46322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30180-2023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45110</v>
      </c>
      <c r="E770" s="1" t="n">
        <v>46322</v>
      </c>
      <c r="F770" t="inlineStr">
        <is>
          <t>VÄRMLANDS LÄN</t>
        </is>
      </c>
      <c r="G770" t="inlineStr">
        <is>
          <t>HAGFORS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26342-2026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46322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36.8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26012-2026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46181</v>
      </c>
      <c r="E772" s="1" t="n">
        <v>46322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26019-2026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46181</v>
      </c>
      <c r="E773" s="1" t="n">
        <v>46322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58808-2022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44903</v>
      </c>
      <c r="E774" s="1" t="n">
        <v>46322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34552-2026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46322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20652-2022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44700</v>
      </c>
      <c r="E776" s="1" t="n">
        <v>46322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46322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46322</v>
      </c>
      <c r="F778" t="inlineStr">
        <is>
          <t>VÄRMLANDS LÄN</t>
        </is>
      </c>
      <c r="G778" t="inlineStr">
        <is>
          <t>HAGFORS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26357-2026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46182</v>
      </c>
      <c r="E779" s="1" t="n">
        <v>46322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41050-2026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46300</v>
      </c>
      <c r="E780" s="1" t="n">
        <v>46322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45420</v>
      </c>
      <c r="E781" s="1" t="n">
        <v>46322</v>
      </c>
      <c r="F781" t="inlineStr">
        <is>
          <t>VÄRMLANDS LÄN</t>
        </is>
      </c>
      <c r="G781" t="inlineStr">
        <is>
          <t>HAGFORS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58132-2024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45632</v>
      </c>
      <c r="E782" s="1" t="n">
        <v>46322</v>
      </c>
      <c r="F782" t="inlineStr">
        <is>
          <t>VÄRMLANDS LÄN</t>
        </is>
      </c>
      <c r="G782" t="inlineStr">
        <is>
          <t>HAGFORS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26740-2026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46184</v>
      </c>
      <c r="E783" s="1" t="n">
        <v>46322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34797-2026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46258</v>
      </c>
      <c r="E784" s="1" t="n">
        <v>46322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6.8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45679</v>
      </c>
      <c r="E785" s="1" t="n">
        <v>46322</v>
      </c>
      <c r="F785" t="inlineStr">
        <is>
          <t>VÄRMLANDS LÄN</t>
        </is>
      </c>
      <c r="G785" t="inlineStr">
        <is>
          <t>HAGFORS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26660-2026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46184</v>
      </c>
      <c r="E786" s="1" t="n">
        <v>46322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41057-2026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46300</v>
      </c>
      <c r="E787" s="1" t="n">
        <v>46322</v>
      </c>
      <c r="F787" t="inlineStr">
        <is>
          <t>VÄRMLANDS LÄN</t>
        </is>
      </c>
      <c r="G787" t="inlineStr">
        <is>
          <t>HAGFORS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14897-2024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45398</v>
      </c>
      <c r="E788" s="1" t="n">
        <v>46322</v>
      </c>
      <c r="F788" t="inlineStr">
        <is>
          <t>VÄRMLANDS LÄN</t>
        </is>
      </c>
      <c r="G788" t="inlineStr">
        <is>
          <t>HAGFORS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41119-2026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46300</v>
      </c>
      <c r="E789" s="1" t="n">
        <v>46322</v>
      </c>
      <c r="F789" t="inlineStr">
        <is>
          <t>VÄRMLANDS LÄN</t>
        </is>
      </c>
      <c r="G789" t="inlineStr">
        <is>
          <t>HAGFORS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46322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46322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45244</v>
      </c>
      <c r="E792" s="1" t="n">
        <v>46322</v>
      </c>
      <c r="F792" t="inlineStr">
        <is>
          <t>VÄRMLANDS LÄN</t>
        </is>
      </c>
      <c r="G792" t="inlineStr">
        <is>
          <t>HAGFORS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5749-2022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44596</v>
      </c>
      <c r="E793" s="1" t="n">
        <v>46322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6.1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35184-2026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46322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20060-2023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45054</v>
      </c>
      <c r="E795" s="1" t="n">
        <v>46322</v>
      </c>
      <c r="F795" t="inlineStr">
        <is>
          <t>VÄRMLANDS LÄN</t>
        </is>
      </c>
      <c r="G795" t="inlineStr">
        <is>
          <t>HAGFORS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41581-2026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46301</v>
      </c>
      <c r="E796" s="1" t="n">
        <v>46322</v>
      </c>
      <c r="F796" t="inlineStr">
        <is>
          <t>VÄRMLANDS LÄN</t>
        </is>
      </c>
      <c r="G796" t="inlineStr">
        <is>
          <t>HAGFORS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49753-2023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45212</v>
      </c>
      <c r="E797" s="1" t="n">
        <v>46322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35173-2026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46260</v>
      </c>
      <c r="E798" s="1" t="n">
        <v>46322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18.2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60991-2024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45645</v>
      </c>
      <c r="E799" s="1" t="n">
        <v>46322</v>
      </c>
      <c r="F799" t="inlineStr">
        <is>
          <t>VÄRMLANDS LÄN</t>
        </is>
      </c>
      <c r="G799" t="inlineStr">
        <is>
          <t>HAGFORS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56888-2023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45244</v>
      </c>
      <c r="E800" s="1" t="n">
        <v>46322</v>
      </c>
      <c r="F800" t="inlineStr">
        <is>
          <t>VÄRMLANDS LÄN</t>
        </is>
      </c>
      <c r="G800" t="inlineStr">
        <is>
          <t>HAGFORS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40176-2026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46322</v>
      </c>
      <c r="F801" t="inlineStr">
        <is>
          <t>VÄRMLANDS LÄN</t>
        </is>
      </c>
      <c r="G801" t="inlineStr">
        <is>
          <t>HAGFORS</t>
        </is>
      </c>
      <c r="I801" t="n">
        <v>14.3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8304-2022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44610</v>
      </c>
      <c r="E802" s="1" t="n">
        <v>46322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35186-2026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46260</v>
      </c>
      <c r="E803" s="1" t="n">
        <v>46322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42263-2026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46307</v>
      </c>
      <c r="E804" s="1" t="n">
        <v>46322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42259-2026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46307</v>
      </c>
      <c r="E805" s="1" t="n">
        <v>46322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42329-2026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46307</v>
      </c>
      <c r="E806" s="1" t="n">
        <v>46322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35574-2026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46262</v>
      </c>
      <c r="E807" s="1" t="n">
        <v>46322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46307</v>
      </c>
      <c r="E808" s="1" t="n">
        <v>46322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46322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3557-2023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44950</v>
      </c>
      <c r="E810" s="1" t="n">
        <v>46322</v>
      </c>
      <c r="F810" t="inlineStr">
        <is>
          <t>VÄRMLANDS LÄN</t>
        </is>
      </c>
      <c r="G810" t="inlineStr">
        <is>
          <t>HAGFORS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3566-2023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44950</v>
      </c>
      <c r="E811" s="1" t="n">
        <v>46322</v>
      </c>
      <c r="F811" t="inlineStr">
        <is>
          <t>VÄRMLANDS LÄN</t>
        </is>
      </c>
      <c r="G811" t="inlineStr">
        <is>
          <t>HAGFORS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35386-2026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46322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46307</v>
      </c>
      <c r="E813" s="1" t="n">
        <v>46322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42260-2026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46307</v>
      </c>
      <c r="E814" s="1" t="n">
        <v>46322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42264-2026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46307</v>
      </c>
      <c r="E815" s="1" t="n">
        <v>46322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33146-2024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45518</v>
      </c>
      <c r="E816" s="1" t="n">
        <v>46322</v>
      </c>
      <c r="F816" t="inlineStr">
        <is>
          <t>VÄRMLANDS LÄN</t>
        </is>
      </c>
      <c r="G816" t="inlineStr">
        <is>
          <t>HAGFORS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42223-2022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44830</v>
      </c>
      <c r="E817" s="1" t="n">
        <v>46322</v>
      </c>
      <c r="F817" t="inlineStr">
        <is>
          <t>VÄRMLANDS LÄN</t>
        </is>
      </c>
      <c r="G817" t="inlineStr">
        <is>
          <t>HAGFORS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19125-2024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45428</v>
      </c>
      <c r="E818" s="1" t="n">
        <v>46322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19.5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42492-2026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46308</v>
      </c>
      <c r="E819" s="1" t="n">
        <v>46322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46322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42625-2026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46309</v>
      </c>
      <c r="E821" s="1" t="n">
        <v>46322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35749-2026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46265</v>
      </c>
      <c r="E822" s="1" t="n">
        <v>46322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11241-2024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45371</v>
      </c>
      <c r="E823" s="1" t="n">
        <v>46322</v>
      </c>
      <c r="F823" t="inlineStr">
        <is>
          <t>VÄRMLANDS LÄN</t>
        </is>
      </c>
      <c r="G823" t="inlineStr">
        <is>
          <t>HAGFORS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18585-2025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45763</v>
      </c>
      <c r="E824" s="1" t="n">
        <v>46322</v>
      </c>
      <c r="F824" t="inlineStr">
        <is>
          <t>VÄRMLANDS LÄN</t>
        </is>
      </c>
      <c r="G824" t="inlineStr">
        <is>
          <t>HAGFORS</t>
        </is>
      </c>
      <c r="H824" t="inlineStr">
        <is>
          <t>Kyrkan</t>
        </is>
      </c>
      <c r="I824" t="n">
        <v>7.9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42737-2026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46309</v>
      </c>
      <c r="E825" s="1" t="n">
        <v>46322</v>
      </c>
      <c r="F825" t="inlineStr">
        <is>
          <t>VÄRMLANDS LÄN</t>
        </is>
      </c>
      <c r="G825" t="inlineStr">
        <is>
          <t>HAGFORS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42691-2026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46309</v>
      </c>
      <c r="E826" s="1" t="n">
        <v>46322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47019-2023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45201</v>
      </c>
      <c r="E827" s="1" t="n">
        <v>46322</v>
      </c>
      <c r="F827" t="inlineStr">
        <is>
          <t>VÄRMLANDS LÄN</t>
        </is>
      </c>
      <c r="G827" t="inlineStr">
        <is>
          <t>HAGFORS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42637-2026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46309</v>
      </c>
      <c r="E828" s="1" t="n">
        <v>46322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42776-2026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46309</v>
      </c>
      <c r="E829" s="1" t="n">
        <v>46322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60664-2023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45259</v>
      </c>
      <c r="E830" s="1" t="n">
        <v>46322</v>
      </c>
      <c r="F830" t="inlineStr">
        <is>
          <t>VÄRMLANDS LÄN</t>
        </is>
      </c>
      <c r="G830" t="inlineStr">
        <is>
          <t>HAGFORS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46268</v>
      </c>
      <c r="E831" s="1" t="n">
        <v>46322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8.800000000000001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43029-2026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46311</v>
      </c>
      <c r="E832" s="1" t="n">
        <v>46322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15.9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35775-2024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45532</v>
      </c>
      <c r="E833" s="1" t="n">
        <v>46322</v>
      </c>
      <c r="F833" t="inlineStr">
        <is>
          <t>VÄRMLANDS LÄN</t>
        </is>
      </c>
      <c r="G833" t="inlineStr">
        <is>
          <t>HAGFORS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36055-2026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46267</v>
      </c>
      <c r="E834" s="1" t="n">
        <v>46322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9.699999999999999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50929-2023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45211</v>
      </c>
      <c r="E835" s="1" t="n">
        <v>46322</v>
      </c>
      <c r="F835" t="inlineStr">
        <is>
          <t>VÄRMLANDS LÄN</t>
        </is>
      </c>
      <c r="G835" t="inlineStr">
        <is>
          <t>HAGFORS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36110-2026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46267</v>
      </c>
      <c r="E836" s="1" t="n">
        <v>46322</v>
      </c>
      <c r="F836" t="inlineStr">
        <is>
          <t>VÄRMLANDS LÄN</t>
        </is>
      </c>
      <c r="G836" t="inlineStr">
        <is>
          <t>HAGFORS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57359-2022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44896</v>
      </c>
      <c r="E837" s="1" t="n">
        <v>46322</v>
      </c>
      <c r="F837" t="inlineStr">
        <is>
          <t>VÄRMLANDS LÄN</t>
        </is>
      </c>
      <c r="G837" t="inlineStr">
        <is>
          <t>HAGFORS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41092-2024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45559</v>
      </c>
      <c r="E838" s="1" t="n">
        <v>46322</v>
      </c>
      <c r="F838" t="inlineStr">
        <is>
          <t>VÄRMLANDS LÄN</t>
        </is>
      </c>
      <c r="G838" t="inlineStr">
        <is>
          <t>HAGFORS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36221-2026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46268</v>
      </c>
      <c r="E839" s="1" t="n">
        <v>46322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36281-2026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46268</v>
      </c>
      <c r="E840" s="1" t="n">
        <v>46322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36448-2026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46269</v>
      </c>
      <c r="E841" s="1" t="n">
        <v>46322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58084-2024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45632</v>
      </c>
      <c r="E842" s="1" t="n">
        <v>46322</v>
      </c>
      <c r="F842" t="inlineStr">
        <is>
          <t>VÄRMLANDS LÄN</t>
        </is>
      </c>
      <c r="G842" t="inlineStr">
        <is>
          <t>HAGFORS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19702-2022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44694</v>
      </c>
      <c r="E843" s="1" t="n">
        <v>46322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46269</v>
      </c>
      <c r="E844" s="1" t="n">
        <v>46322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36542-2026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46269</v>
      </c>
      <c r="E845" s="1" t="n">
        <v>46322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46272</v>
      </c>
      <c r="E846" s="1" t="n">
        <v>46322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8.800000000000001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36721-2026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46272</v>
      </c>
      <c r="E847" s="1" t="n">
        <v>46322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19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22503-2024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45447</v>
      </c>
      <c r="E848" s="1" t="n">
        <v>46322</v>
      </c>
      <c r="F848" t="inlineStr">
        <is>
          <t>VÄRMLANDS LÄN</t>
        </is>
      </c>
      <c r="G848" t="inlineStr">
        <is>
          <t>HAGFORS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45324</v>
      </c>
      <c r="E849" s="1" t="n">
        <v>46322</v>
      </c>
      <c r="F849" t="inlineStr">
        <is>
          <t>VÄRMLANDS LÄN</t>
        </is>
      </c>
      <c r="G849" t="inlineStr">
        <is>
          <t>HAGFORS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920-2022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44571</v>
      </c>
      <c r="E850" s="1" t="n">
        <v>46322</v>
      </c>
      <c r="F850" t="inlineStr">
        <is>
          <t>VÄRMLANDS LÄN</t>
        </is>
      </c>
      <c r="G850" t="inlineStr">
        <is>
          <t>HAGFORS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22332-2024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45446</v>
      </c>
      <c r="E851" s="1" t="n">
        <v>46322</v>
      </c>
      <c r="F851" t="inlineStr">
        <is>
          <t>VÄRMLANDS LÄN</t>
        </is>
      </c>
      <c r="G851" t="inlineStr">
        <is>
          <t>HAGFORS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12426-2024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45379</v>
      </c>
      <c r="E852" s="1" t="n">
        <v>46322</v>
      </c>
      <c r="F852" t="inlineStr">
        <is>
          <t>VÄRMLANDS LÄN</t>
        </is>
      </c>
      <c r="G852" t="inlineStr">
        <is>
          <t>HAGFORS</t>
        </is>
      </c>
      <c r="I852" t="n">
        <v>0.1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36728-2026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46272</v>
      </c>
      <c r="E853" s="1" t="n">
        <v>46322</v>
      </c>
      <c r="F853" t="inlineStr">
        <is>
          <t>VÄRMLANDS LÄN</t>
        </is>
      </c>
      <c r="G853" t="inlineStr">
        <is>
          <t>HAGFORS</t>
        </is>
      </c>
      <c r="H853" t="inlineStr">
        <is>
          <t>Kyrkan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8922-2025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45713</v>
      </c>
      <c r="E854" s="1" t="n">
        <v>46322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43030-2026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46311</v>
      </c>
      <c r="E855" s="1" t="n">
        <v>46322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43073-2026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46311</v>
      </c>
      <c r="E856" s="1" t="n">
        <v>46322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36446-2026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46269</v>
      </c>
      <c r="E857" s="1" t="n">
        <v>46322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36447-2026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46269</v>
      </c>
      <c r="E858" s="1" t="n">
        <v>46322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36676-2026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46272</v>
      </c>
      <c r="E859" s="1" t="n">
        <v>46322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37157-2026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46274</v>
      </c>
      <c r="E860" s="1" t="n">
        <v>46322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7.1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43671-2026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46316</v>
      </c>
      <c r="E861" s="1" t="n">
        <v>46322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19548-2026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46322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37269-2026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46274</v>
      </c>
      <c r="E863" s="1" t="n">
        <v>46322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43670-2026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46316</v>
      </c>
      <c r="E864" s="1" t="n">
        <v>46322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43674-2026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46316</v>
      </c>
      <c r="E865" s="1" t="n">
        <v>46322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17843-2026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46122</v>
      </c>
      <c r="E866" s="1" t="n">
        <v>46322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43779-2026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46316</v>
      </c>
      <c r="E867" s="1" t="n">
        <v>46322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22964-2025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45790</v>
      </c>
      <c r="E868" s="1" t="n">
        <v>46322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44455-2026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46321</v>
      </c>
      <c r="E869" s="1" t="n">
        <v>46322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37389-2026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46275</v>
      </c>
      <c r="E870" s="1" t="n">
        <v>46322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37497-2026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46275</v>
      </c>
      <c r="E871" s="1" t="n">
        <v>46322</v>
      </c>
      <c r="F871" t="inlineStr">
        <is>
          <t>VÄRMLANDS LÄN</t>
        </is>
      </c>
      <c r="G871" t="inlineStr">
        <is>
          <t>HAGFORS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37399-2026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46275</v>
      </c>
      <c r="E872" s="1" t="n">
        <v>46322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46279</v>
      </c>
      <c r="E873" s="1" t="n">
        <v>46322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44451-2026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46321</v>
      </c>
      <c r="E874" s="1" t="n">
        <v>46322</v>
      </c>
      <c r="F874" t="inlineStr">
        <is>
          <t>VÄRMLANDS LÄN</t>
        </is>
      </c>
      <c r="G874" t="inlineStr">
        <is>
          <t>HAGFORS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44501-2026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46321</v>
      </c>
      <c r="E875" s="1" t="n">
        <v>46322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7.9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44319-2026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46320</v>
      </c>
      <c r="E876" s="1" t="n">
        <v>46322</v>
      </c>
      <c r="F876" t="inlineStr">
        <is>
          <t>VÄRMLANDS LÄN</t>
        </is>
      </c>
      <c r="G876" t="inlineStr">
        <is>
          <t>HAGFORS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37842-2026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46279</v>
      </c>
      <c r="E877" s="1" t="n">
        <v>46322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37172-2026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46274</v>
      </c>
      <c r="E878" s="1" t="n">
        <v>46322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8.699999999999999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44367-2026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46321</v>
      </c>
      <c r="E879" s="1" t="n">
        <v>46322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2225-2020</t>
        </is>
      </c>
      <c r="B880" t="inlineStr">
        <is>
          <t>samrådsanmälan</t>
        </is>
      </c>
      <c r="C880" t="inlineStr">
        <is>
          <t>Åtgärd i nyckelbiotop</t>
        </is>
      </c>
      <c r="D880" s="1" t="n">
        <v>44127</v>
      </c>
      <c r="E880" s="1" t="n">
        <v>46322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2050-2022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44671</v>
      </c>
      <c r="E881" s="1" t="n">
        <v>46322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12.3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4419-2023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46322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35.6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4420-2023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45266</v>
      </c>
      <c r="E883" s="1" t="n">
        <v>46322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44.2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937-2022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46322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59.4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4426-2023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46322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9.699999999999999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5512-2022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44834</v>
      </c>
      <c r="E886" s="1" t="n">
        <v>46322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29.9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931-2022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44606</v>
      </c>
      <c r="E887" s="1" t="n">
        <v>46322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49.5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4415-2023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46322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9.199999999999999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262-2022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44578</v>
      </c>
      <c r="E889" s="1" t="n">
        <v>46322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78.90000000000001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6970-2022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44901</v>
      </c>
      <c r="E890" s="1" t="n">
        <v>46322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29.3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4408-2023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46322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13.7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6968-2022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46322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19.3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4423-2023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46322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15.7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4418-2023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45266</v>
      </c>
      <c r="E894" s="1" t="n">
        <v>46322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19.1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907-2022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44606</v>
      </c>
      <c r="E895" s="1" t="n">
        <v>46322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43.5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651-2024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45356</v>
      </c>
      <c r="E896" s="1" t="n">
        <v>46322</v>
      </c>
      <c r="F896" t="inlineStr">
        <is>
          <t>VÄRMLANDS LÄN</t>
        </is>
      </c>
      <c r="G896" t="inlineStr">
        <is>
          <t>HAGFORS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913-2022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44606</v>
      </c>
      <c r="E897" s="1" t="n">
        <v>46322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4145-2023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46322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6967-2022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44901</v>
      </c>
      <c r="E899" s="1" t="n">
        <v>46322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27.1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89-2025</t>
        </is>
      </c>
      <c r="B900" t="inlineStr">
        <is>
          <t>samrådsanmälan</t>
        </is>
      </c>
      <c r="C900" t="inlineStr">
        <is>
          <t>Åtgärd i nyckelbiotop</t>
        </is>
      </c>
      <c r="D900" s="1" t="n">
        <v>45316</v>
      </c>
      <c r="E900" s="1" t="n">
        <v>46322</v>
      </c>
      <c r="F900" t="inlineStr">
        <is>
          <t>VÄRMLANDS LÄN</t>
        </is>
      </c>
      <c r="G900" t="inlineStr">
        <is>
          <t>HAGFORS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6969-2022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44901</v>
      </c>
      <c r="E901" s="1" t="n">
        <v>46322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220-2025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45680</v>
      </c>
      <c r="E902" s="1" t="n">
        <v>46322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898-2022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44606</v>
      </c>
      <c r="E903" s="1" t="n">
        <v>46322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24.9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4150-2023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45247</v>
      </c>
      <c r="E904" s="1" t="n">
        <v>46322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4410-2023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45266</v>
      </c>
      <c r="E905" s="1" t="n">
        <v>46322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39.3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900-2022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44606</v>
      </c>
      <c r="E906" s="1" t="n">
        <v>46322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27.3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914-2022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44606</v>
      </c>
      <c r="E907" s="1" t="n">
        <v>46322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19.3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4409-2023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45266</v>
      </c>
      <c r="E908" s="1" t="n">
        <v>46322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4155-2023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45247</v>
      </c>
      <c r="E909" s="1" t="n">
        <v>46322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40.9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4140-2023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46322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36.5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6977-2022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44901</v>
      </c>
      <c r="E911" s="1" t="n">
        <v>46322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6973-2022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44901</v>
      </c>
      <c r="E912" s="1" t="n">
        <v>46322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30.1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4143-2023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45247</v>
      </c>
      <c r="E913" s="1" t="n">
        <v>46322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13.2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4407-2023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45266</v>
      </c>
      <c r="E914" s="1" t="n">
        <v>46322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12.1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6965-2022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44901</v>
      </c>
      <c r="E915" s="1" t="n">
        <v>46322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21.4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662-2025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45716</v>
      </c>
      <c r="E916" s="1" t="n">
        <v>46322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52.4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108-2026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46037</v>
      </c>
      <c r="E917" s="1" t="n">
        <v>46322</v>
      </c>
      <c r="F917" t="inlineStr">
        <is>
          <t>VÄRMLANDS LÄN</t>
        </is>
      </c>
      <c r="G917" t="inlineStr">
        <is>
          <t>HAGFORS</t>
        </is>
      </c>
      <c r="H917" t="inlineStr">
        <is>
          <t>Bergvik skog väst AB</t>
        </is>
      </c>
      <c r="I917" t="n">
        <v>204.4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102-2026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46036</v>
      </c>
      <c r="E918" s="1" t="n">
        <v>46322</v>
      </c>
      <c r="F918" t="inlineStr">
        <is>
          <t>VÄRMLANDS LÄN</t>
        </is>
      </c>
      <c r="G918" t="inlineStr">
        <is>
          <t>HAGFORS</t>
        </is>
      </c>
      <c r="H918" t="inlineStr">
        <is>
          <t>Bergvik skog väst AB</t>
        </is>
      </c>
      <c r="I918" t="n">
        <v>57.9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60-2026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46013</v>
      </c>
      <c r="E919" s="1" t="n">
        <v>46322</v>
      </c>
      <c r="F919" t="inlineStr">
        <is>
          <t>VÄRMLANDS LÄN</t>
        </is>
      </c>
      <c r="G919" t="inlineStr">
        <is>
          <t>HAGFORS</t>
        </is>
      </c>
      <c r="H919" t="inlineStr">
        <is>
          <t>Bergvik skog väst AB</t>
        </is>
      </c>
      <c r="I919" t="n">
        <v>10.6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>
      <c r="A920" t="inlineStr">
        <is>
          <t>S 382-2025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45691</v>
      </c>
      <c r="E920" s="1" t="n">
        <v>46322</v>
      </c>
      <c r="F920" t="inlineStr">
        <is>
          <t>VÄRMLANDS LÄN</t>
        </is>
      </c>
      <c r="G920" t="inlineStr">
        <is>
          <t>HAGFORS</t>
        </is>
      </c>
      <c r="I920" t="n">
        <v>5.8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2026-10-27T03:08:09Z</dcterms:created>
  <dcterms:modified xmlns:dcterms="http://purl.org/dc/terms/" xmlns:xsi="http://www.w3.org/2001/XMLSchema-instance" xsi:type="dcterms:W3CDTF">2026-10-27T03:08:10Z</dcterms:modified>
</cp:coreProperties>
</file>