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34096-2026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46252</v>
      </c>
      <c r="E2" s="1" t="n">
        <v>46320</v>
      </c>
      <c r="F2" t="inlineStr">
        <is>
          <t>VÄRMLANDS LÄN</t>
        </is>
      </c>
      <c r="G2" t="inlineStr">
        <is>
          <t>HAGFORS</t>
        </is>
      </c>
      <c r="H2" t="inlineStr">
        <is>
          <t>Bergvik skog väst AB</t>
        </is>
      </c>
      <c r="I2" t="n">
        <v>24.7</v>
      </c>
      <c r="J2" t="n">
        <v>3</v>
      </c>
      <c r="K2" t="n">
        <v>1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12</v>
      </c>
      <c r="T2" t="n">
        <v>44</v>
      </c>
      <c r="U2" t="n">
        <v>30</v>
      </c>
      <c r="V2" s="2" t="inlineStr">
        <is>
          <t>Garnlav
Dvärgbägarlav
Kolflarnlav
Mörk kolflarnlav
Stjärntagging
Vedskivlav
Vedtrappmossa
Violettgrå tagellav
Vågbandad barkbock
Spillkråka
Tofsmes
Fläcknycklar</t>
        </is>
      </c>
      <c r="W2">
        <f>HYPERLINK("https://klasma.github.io/Logging_1783/artfynd/A 34096-2026 artfynd.xlsx", "A 34096-2026")</f>
        <v/>
      </c>
      <c r="X2">
        <f>HYPERLINK("https://klasma.github.io/Logging_1783/kartor/A 34096-2026 karta.png", "A 34096-2026")</f>
        <v/>
      </c>
      <c r="Y2">
        <f>HYPERLINK("https://klasma.github.io/Logging_1783/kartor_geotiff/A 34096-2026 georefererad karta.tif", "A 34096-2026")</f>
        <v/>
      </c>
      <c r="AA2">
        <f>HYPERLINK("https://klasma.github.io/Logging_1783/klagomål/A 34096-2026 FSC-klagomål.docx", "A 34096-2026")</f>
        <v/>
      </c>
      <c r="AB2">
        <f>HYPERLINK("https://klasma.github.io/Logging_1783/klagomålsmail/A 34096-2026 FSC-klagomål mail.docx", "A 34096-2026")</f>
        <v/>
      </c>
      <c r="AC2">
        <f>HYPERLINK("https://klasma.github.io/Logging_1783/tillsyn/A 34096-2026 tillsynsbegäran.docx", "A 34096-2026")</f>
        <v/>
      </c>
      <c r="AD2">
        <f>HYPERLINK("https://klasma.github.io/Logging_1783/tillsynsmail/A 34096-2026 tillsynsbegäran mail.docx", "A 34096-2026")</f>
        <v/>
      </c>
      <c r="AE2">
        <f>HYPERLINK("https://klasma.github.io/Logging_1783/fåglar/A 34096-2026 prioriterade fågelarter.docx", "A 34096-2026")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46320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45167</v>
      </c>
      <c r="E4" s="1" t="n">
        <v>46320</v>
      </c>
      <c r="F4" t="inlineStr">
        <is>
          <t>VÄRMLANDS LÄN</t>
        </is>
      </c>
      <c r="G4" t="inlineStr">
        <is>
          <t>HAGFORS</t>
        </is>
      </c>
      <c r="I4" t="n">
        <v>20.2</v>
      </c>
      <c r="J4" t="n">
        <v>0</v>
      </c>
      <c r="K4" t="n">
        <v>3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t="n">
        <v>0</v>
      </c>
      <c r="S4" t="n">
        <v>12</v>
      </c>
      <c r="T4" t="n">
        <v>18</v>
      </c>
      <c r="U4" t="n">
        <v>11</v>
      </c>
      <c r="V4" s="2" t="inlineStr">
        <is>
          <t>Dropptaggsvamp
Dvärgbägarlav
Kolflarnlav
Kortskaftad ärgspik
Lunglav
Skuggblåslav
Smal trollknäppare
Vedskivlav
Vedtrappmossa
Bårdlav
Korallblylav
Vedticka</t>
        </is>
      </c>
      <c r="W4">
        <f>HYPERLINK("https://klasma.github.io/Logging_1783/artfynd/A 39627-2023 artfynd.xlsx", "A 39627-2023")</f>
        <v/>
      </c>
      <c r="X4">
        <f>HYPERLINK("https://klasma.github.io/Logging_1783/kartor/A 39627-2023 karta.png", "A 39627-2023")</f>
        <v/>
      </c>
      <c r="Y4">
        <f>HYPERLINK("https://klasma.github.io/Logging_1783/kartor_geotiff/A 39627-2023 georefererad karta.tif", "A 39627-2023")</f>
        <v/>
      </c>
      <c r="AA4">
        <f>HYPERLINK("https://klasma.github.io/Logging_1783/klagomål/A 39627-2023 FSC-klagomål.docx", "A 39627-2023")</f>
        <v/>
      </c>
      <c r="AB4">
        <f>HYPERLINK("https://klasma.github.io/Logging_1783/klagomålsmail/A 39627-2023 FSC-klagomål mail.docx", "A 39627-2023")</f>
        <v/>
      </c>
      <c r="AC4">
        <f>HYPERLINK("https://klasma.github.io/Logging_1783/tillsyn/A 39627-2023 tillsynsbegäran.docx", "A 39627-2023")</f>
        <v/>
      </c>
      <c r="AD4">
        <f>HYPERLINK("https://klasma.github.io/Logging_1783/tillsynsmail/A 39627-2023 tillsynsbegäran mail.docx", "A 39627-2023")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46320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46320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46320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46320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46320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46320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46320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46320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46320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46320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46320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46320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46320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46320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46320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46320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46320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46320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46320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42725-2026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46309</v>
      </c>
      <c r="E24" s="1" t="n">
        <v>46320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Luddfingersvamp
Slaguggla</t>
        </is>
      </c>
      <c r="W24">
        <f>HYPERLINK("https://klasma.github.io/Logging_1783/artfynd/A 42725-2026 artfynd.xlsx", "A 42725-2026")</f>
        <v/>
      </c>
      <c r="X24">
        <f>HYPERLINK("https://klasma.github.io/Logging_1783/kartor/A 42725-2026 karta.png", "A 42725-2026")</f>
        <v/>
      </c>
      <c r="Y24">
        <f>HYPERLINK("https://klasma.github.io/Logging_1783/kartor_geotiff/A 42725-2026 georefererad karta.tif", "A 42725-2026")</f>
        <v/>
      </c>
      <c r="AA24">
        <f>HYPERLINK("https://klasma.github.io/Logging_1783/klagomål/A 42725-2026 FSC-klagomål.docx", "A 42725-2026")</f>
        <v/>
      </c>
      <c r="AB24">
        <f>HYPERLINK("https://klasma.github.io/Logging_1783/klagomålsmail/A 42725-2026 FSC-klagomål mail.docx", "A 42725-2026")</f>
        <v/>
      </c>
      <c r="AC24">
        <f>HYPERLINK("https://klasma.github.io/Logging_1783/tillsyn/A 42725-2026 tillsynsbegäran.docx", "A 42725-2026")</f>
        <v/>
      </c>
      <c r="AD24">
        <f>HYPERLINK("https://klasma.github.io/Logging_1783/tillsynsmail/A 42725-2026 tillsynsbegäran mail.docx", "A 42725-2026")</f>
        <v/>
      </c>
      <c r="AE24">
        <f>HYPERLINK("https://klasma.github.io/Logging_1783/fåglar/A 42725-2026 prioriterade fågelarter.docx", "A 42725-2026")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46320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46320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46320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46320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46320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46320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46320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15219-2025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46320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15.8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2</v>
      </c>
      <c r="V32" s="2" t="inlineStr">
        <is>
          <t>Borsttagging</t>
        </is>
      </c>
      <c r="W32">
        <f>HYPERLINK("https://klasma.github.io/Logging_1783/artfynd/A 15219-2025 artfynd.xlsx", "A 15219-2025")</f>
        <v/>
      </c>
      <c r="X32">
        <f>HYPERLINK("https://klasma.github.io/Logging_1783/kartor/A 15219-2025 karta.png", "A 15219-2025")</f>
        <v/>
      </c>
      <c r="Y32">
        <f>HYPERLINK("https://klasma.github.io/Logging_1783/kartor_geotiff/A 15219-2025 georefererad karta.tif", "A 15219-2025")</f>
        <v/>
      </c>
      <c r="AA32">
        <f>HYPERLINK("https://klasma.github.io/Logging_1783/klagomål/A 15219-2025 FSC-klagomål.docx", "A 15219-2025")</f>
        <v/>
      </c>
      <c r="AB32">
        <f>HYPERLINK("https://klasma.github.io/Logging_1783/klagomålsmail/A 15219-2025 FSC-klagomål mail.docx", "A 15219-2025")</f>
        <v/>
      </c>
      <c r="AC32">
        <f>HYPERLINK("https://klasma.github.io/Logging_1783/tillsyn/A 15219-2025 tillsynsbegäran.docx", "A 15219-2025")</f>
        <v/>
      </c>
      <c r="AD32">
        <f>HYPERLINK("https://klasma.github.io/Logging_1783/tillsynsmail/A 15219-2025 tillsynsbegäran mail.docx", "A 15219-2025")</f>
        <v/>
      </c>
    </row>
    <row r="33" ht="15" customHeight="1">
      <c r="A33" t="inlineStr">
        <is>
          <t>A 24659-2026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46320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82.3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HYPERLINK("https://klasma.github.io/Logging_1783/artfynd/A 24659-2026 artfynd.xlsx", "A 24659-2026")</f>
        <v/>
      </c>
      <c r="X33">
        <f>HYPERLINK("https://klasma.github.io/Logging_1783/kartor/A 24659-2026 karta.png", "A 24659-2026")</f>
        <v/>
      </c>
      <c r="Y33">
        <f>HYPERLINK("https://klasma.github.io/Logging_1783/kartor_geotiff/A 24659-2026 georefererad karta.tif", "A 24659-2026")</f>
        <v/>
      </c>
      <c r="AA33">
        <f>HYPERLINK("https://klasma.github.io/Logging_1783/klagomål/A 24659-2026 FSC-klagomål.docx", "A 24659-2026")</f>
        <v/>
      </c>
      <c r="AB33">
        <f>HYPERLINK("https://klasma.github.io/Logging_1783/klagomålsmail/A 24659-2026 FSC-klagomål mail.docx", "A 24659-2026")</f>
        <v/>
      </c>
      <c r="AC33">
        <f>HYPERLINK("https://klasma.github.io/Logging_1783/tillsyn/A 24659-2026 tillsynsbegäran.docx", "A 24659-2026")</f>
        <v/>
      </c>
      <c r="AD33">
        <f>HYPERLINK("https://klasma.github.io/Logging_1783/tillsynsmail/A 24659-2026 tillsynsbegäran mail.docx", "A 24659-2026")</f>
        <v/>
      </c>
    </row>
    <row r="34" ht="15" customHeight="1">
      <c r="A34" t="inlineStr">
        <is>
          <t>A 24716-2026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46320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82.3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HYPERLINK("https://klasma.github.io/Logging_1783/artfynd/A 24716-2026 artfynd.xlsx", "A 24716-2026")</f>
        <v/>
      </c>
      <c r="X34">
        <f>HYPERLINK("https://klasma.github.io/Logging_1783/kartor/A 24716-2026 karta.png", "A 24716-2026")</f>
        <v/>
      </c>
      <c r="Y34">
        <f>HYPERLINK("https://klasma.github.io/Logging_1783/kartor_geotiff/A 24716-2026 georefererad karta.tif", "A 24716-2026")</f>
        <v/>
      </c>
      <c r="AA34">
        <f>HYPERLINK("https://klasma.github.io/Logging_1783/klagomål/A 24716-2026 FSC-klagomål.docx", "A 24716-2026")</f>
        <v/>
      </c>
      <c r="AB34">
        <f>HYPERLINK("https://klasma.github.io/Logging_1783/klagomålsmail/A 24716-2026 FSC-klagomål mail.docx", "A 24716-2026")</f>
        <v/>
      </c>
      <c r="AC34">
        <f>HYPERLINK("https://klasma.github.io/Logging_1783/tillsyn/A 24716-2026 tillsynsbegäran.docx", "A 24716-2026")</f>
        <v/>
      </c>
      <c r="AD34">
        <f>HYPERLINK("https://klasma.github.io/Logging_1783/tillsynsmail/A 24716-2026 tillsynsbegäran mail.docx", "A 24716-2026")</f>
        <v/>
      </c>
    </row>
    <row r="35" ht="15" customHeight="1">
      <c r="A35" t="inlineStr">
        <is>
          <t>A 50030-2025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46320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 trolldruva</t>
        </is>
      </c>
      <c r="W35">
        <f>HYPERLINK("https://klasma.github.io/Logging_1783/artfynd/A 50030-2025 artfynd.xlsx", "A 50030-2025")</f>
        <v/>
      </c>
      <c r="X35">
        <f>HYPERLINK("https://klasma.github.io/Logging_1783/kartor/A 50030-2025 karta.png", "A 50030-2025")</f>
        <v/>
      </c>
      <c r="Y35">
        <f>HYPERLINK("https://klasma.github.io/Logging_1783/kartor_geotiff/A 50030-2025 georefererad karta.tif", "A 50030-2025")</f>
        <v/>
      </c>
      <c r="AA35">
        <f>HYPERLINK("https://klasma.github.io/Logging_1783/klagomål/A 50030-2025 FSC-klagomål.docx", "A 50030-2025")</f>
        <v/>
      </c>
      <c r="AB35">
        <f>HYPERLINK("https://klasma.github.io/Logging_1783/klagomålsmail/A 50030-2025 FSC-klagomål mail.docx", "A 50030-2025")</f>
        <v/>
      </c>
      <c r="AC35">
        <f>HYPERLINK("https://klasma.github.io/Logging_1783/tillsyn/A 50030-2025 tillsynsbegäran.docx", "A 50030-2025")</f>
        <v/>
      </c>
      <c r="AD35">
        <f>HYPERLINK("https://klasma.github.io/Logging_1783/tillsynsmail/A 50030-2025 tillsynsbegäran mail.docx", "A 50030-2025")</f>
        <v/>
      </c>
    </row>
    <row r="36" ht="15" customHeight="1">
      <c r="A36" t="inlineStr">
        <is>
          <t>A 26189-2026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46320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Sävsparv</t>
        </is>
      </c>
      <c r="W36">
        <f>HYPERLINK("https://klasma.github.io/Logging_1783/artfynd/A 26189-2026 artfynd.xlsx", "A 26189-2026")</f>
        <v/>
      </c>
      <c r="X36">
        <f>HYPERLINK("https://klasma.github.io/Logging_1783/kartor/A 26189-2026 karta.png", "A 26189-2026")</f>
        <v/>
      </c>
      <c r="Y36">
        <f>HYPERLINK("https://klasma.github.io/Logging_1783/kartor_geotiff/A 26189-2026 georefererad karta.tif", "A 26189-2026")</f>
        <v/>
      </c>
      <c r="AA36">
        <f>HYPERLINK("https://klasma.github.io/Logging_1783/klagomål/A 26189-2026 FSC-klagomål.docx", "A 26189-2026")</f>
        <v/>
      </c>
      <c r="AB36">
        <f>HYPERLINK("https://klasma.github.io/Logging_1783/klagomålsmail/A 26189-2026 FSC-klagomål mail.docx", "A 26189-2026")</f>
        <v/>
      </c>
      <c r="AC36">
        <f>HYPERLINK("https://klasma.github.io/Logging_1783/tillsyn/A 26189-2026 tillsynsbegäran.docx", "A 26189-2026")</f>
        <v/>
      </c>
      <c r="AD36">
        <f>HYPERLINK("https://klasma.github.io/Logging_1783/tillsynsmail/A 26189-2026 tillsynsbegäran mail.docx", "A 26189-2026")</f>
        <v/>
      </c>
      <c r="AE36">
        <f>HYPERLINK("https://klasma.github.io/Logging_1783/fåglar/A 26189-2026 prioriterade fågelarter.docx", "A 26189-2026")</f>
        <v/>
      </c>
    </row>
    <row r="37" ht="15" customHeight="1">
      <c r="A37" t="inlineStr">
        <is>
          <t>A 21309-2023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46320</v>
      </c>
      <c r="F37" t="inlineStr">
        <is>
          <t>VÄRMLANDS LÄN</t>
        </is>
      </c>
      <c r="G37" t="inlineStr">
        <is>
          <t>HAGFORS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Kattfot</t>
        </is>
      </c>
      <c r="W37">
        <f>HYPERLINK("https://klasma.github.io/Logging_1783/artfynd/A 21309-2023 artfynd.xlsx", "A 21309-2023")</f>
        <v/>
      </c>
      <c r="X37">
        <f>HYPERLINK("https://klasma.github.io/Logging_1783/kartor/A 21309-2023 karta.png", "A 21309-2023")</f>
        <v/>
      </c>
      <c r="Y37">
        <f>HYPERLINK("https://klasma.github.io/Logging_1783/kartor_geotiff/A 21309-2023 georefererad karta.tif", "A 21309-2023")</f>
        <v/>
      </c>
      <c r="AA37">
        <f>HYPERLINK("https://klasma.github.io/Logging_1783/klagomål/A 21309-2023 FSC-klagomål.docx", "A 21309-2023")</f>
        <v/>
      </c>
      <c r="AB37">
        <f>HYPERLINK("https://klasma.github.io/Logging_1783/klagomålsmail/A 21309-2023 FSC-klagomål mail.docx", "A 21309-2023")</f>
        <v/>
      </c>
      <c r="AC37">
        <f>HYPERLINK("https://klasma.github.io/Logging_1783/tillsyn/A 21309-2023 tillsynsbegäran.docx", "A 21309-2023")</f>
        <v/>
      </c>
      <c r="AD37">
        <f>HYPERLINK("https://klasma.github.io/Logging_1783/tillsynsmail/A 21309-2023 tillsynsbegäran mail.docx", "A 21309-2023")</f>
        <v/>
      </c>
    </row>
    <row r="38" ht="15" customHeight="1">
      <c r="A38" t="inlineStr">
        <is>
          <t>A 55484-2025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46320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HYPERLINK("https://klasma.github.io/Logging_1783/artfynd/A 55484-2025 artfynd.xlsx", "A 55484-2025")</f>
        <v/>
      </c>
      <c r="X38">
        <f>HYPERLINK("https://klasma.github.io/Logging_1783/kartor/A 55484-2025 karta.png", "A 55484-2025")</f>
        <v/>
      </c>
      <c r="Y38">
        <f>HYPERLINK("https://klasma.github.io/Logging_1783/kartor_geotiff/A 55484-2025 georefererad karta.tif", "A 55484-2025")</f>
        <v/>
      </c>
      <c r="AA38">
        <f>HYPERLINK("https://klasma.github.io/Logging_1783/klagomål/A 55484-2025 FSC-klagomål.docx", "A 55484-2025")</f>
        <v/>
      </c>
      <c r="AB38">
        <f>HYPERLINK("https://klasma.github.io/Logging_1783/klagomålsmail/A 55484-2025 FSC-klagomål mail.docx", "A 55484-2025")</f>
        <v/>
      </c>
      <c r="AC38">
        <f>HYPERLINK("https://klasma.github.io/Logging_1783/tillsyn/A 55484-2025 tillsynsbegäran.docx", "A 55484-2025")</f>
        <v/>
      </c>
      <c r="AD38">
        <f>HYPERLINK("https://klasma.github.io/Logging_1783/tillsynsmail/A 55484-2025 tillsynsbegäran mail.docx", "A 55484-2025")</f>
        <v/>
      </c>
    </row>
    <row r="39" ht="15" customHeight="1">
      <c r="A39" t="inlineStr">
        <is>
          <t>A 29432-2026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46203</v>
      </c>
      <c r="E39" s="1" t="n">
        <v>46320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3.1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HYPERLINK("https://klasma.github.io/Logging_1783/artfynd/A 29432-2026 artfynd.xlsx", "A 29432-2026")</f>
        <v/>
      </c>
      <c r="X39">
        <f>HYPERLINK("https://klasma.github.io/Logging_1783/kartor/A 29432-2026 karta.png", "A 29432-2026")</f>
        <v/>
      </c>
      <c r="Y39">
        <f>HYPERLINK("https://klasma.github.io/Logging_1783/kartor_geotiff/A 29432-2026 georefererad karta.tif", "A 29432-2026")</f>
        <v/>
      </c>
      <c r="AA39">
        <f>HYPERLINK("https://klasma.github.io/Logging_1783/klagomål/A 29432-2026 FSC-klagomål.docx", "A 29432-2026")</f>
        <v/>
      </c>
      <c r="AB39">
        <f>HYPERLINK("https://klasma.github.io/Logging_1783/klagomålsmail/A 29432-2026 FSC-klagomål mail.docx", "A 29432-2026")</f>
        <v/>
      </c>
      <c r="AC39">
        <f>HYPERLINK("https://klasma.github.io/Logging_1783/tillsyn/A 29432-2026 tillsynsbegäran.docx", "A 29432-2026")</f>
        <v/>
      </c>
      <c r="AD39">
        <f>HYPERLINK("https://klasma.github.io/Logging_1783/tillsynsmail/A 29432-2026 tillsynsbegäran mail.docx", "A 29432-2026")</f>
        <v/>
      </c>
    </row>
    <row r="40" ht="15" customHeight="1">
      <c r="A40" t="inlineStr">
        <is>
          <t>A 56083-2022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46320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19.1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HYPERLINK("https://klasma.github.io/Logging_1783/artfynd/A 56083-2022 artfynd.xlsx", "A 56083-2022")</f>
        <v/>
      </c>
      <c r="X40">
        <f>HYPERLINK("https://klasma.github.io/Logging_1783/kartor/A 56083-2022 karta.png", "A 56083-2022")</f>
        <v/>
      </c>
      <c r="Y40">
        <f>HYPERLINK("https://klasma.github.io/Logging_1783/kartor_geotiff/A 56083-2022 georefererad karta.tif", "A 56083-2022")</f>
        <v/>
      </c>
      <c r="AA40">
        <f>HYPERLINK("https://klasma.github.io/Logging_1783/klagomål/A 56083-2022 FSC-klagomål.docx", "A 56083-2022")</f>
        <v/>
      </c>
      <c r="AB40">
        <f>HYPERLINK("https://klasma.github.io/Logging_1783/klagomålsmail/A 56083-2022 FSC-klagomål mail.docx", "A 56083-2022")</f>
        <v/>
      </c>
      <c r="AC40">
        <f>HYPERLINK("https://klasma.github.io/Logging_1783/tillsyn/A 56083-2022 tillsynsbegäran.docx", "A 56083-2022")</f>
        <v/>
      </c>
      <c r="AD40">
        <f>HYPERLINK("https://klasma.github.io/Logging_1783/tillsynsmail/A 56083-2022 tillsynsbegäran mail.docx", "A 56083-2022")</f>
        <v/>
      </c>
    </row>
    <row r="41" ht="15" customHeight="1">
      <c r="A41" t="inlineStr">
        <is>
          <t>A 31742-2026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46227</v>
      </c>
      <c r="E41" s="1" t="n">
        <v>46320</v>
      </c>
      <c r="F41" t="inlineStr">
        <is>
          <t>VÄRMLANDS LÄN</t>
        </is>
      </c>
      <c r="G41" t="inlineStr">
        <is>
          <t>HAGFORS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HYPERLINK("https://klasma.github.io/Logging_1783/artfynd/A 31742-2026 artfynd.xlsx", "A 31742-2026")</f>
        <v/>
      </c>
      <c r="X41">
        <f>HYPERLINK("https://klasma.github.io/Logging_1783/kartor/A 31742-2026 karta.png", "A 31742-2026")</f>
        <v/>
      </c>
      <c r="Y41">
        <f>HYPERLINK("https://klasma.github.io/Logging_1783/kartor_geotiff/A 31742-2026 georefererad karta.tif", "A 31742-2026")</f>
        <v/>
      </c>
      <c r="AA41">
        <f>HYPERLINK("https://klasma.github.io/Logging_1783/klagomål/A 31742-2026 FSC-klagomål.docx", "A 31742-2026")</f>
        <v/>
      </c>
      <c r="AB41">
        <f>HYPERLINK("https://klasma.github.io/Logging_1783/klagomålsmail/A 31742-2026 FSC-klagomål mail.docx", "A 31742-2026")</f>
        <v/>
      </c>
      <c r="AC41">
        <f>HYPERLINK("https://klasma.github.io/Logging_1783/tillsyn/A 31742-2026 tillsynsbegäran.docx", "A 31742-2026")</f>
        <v/>
      </c>
      <c r="AD41">
        <f>HYPERLINK("https://klasma.github.io/Logging_1783/tillsynsmail/A 31742-2026 tillsynsbegäran mail.docx", "A 31742-2026")</f>
        <v/>
      </c>
    </row>
    <row r="42" ht="15" customHeight="1">
      <c r="A42" t="inlineStr">
        <is>
          <t>A 22484-2025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45786</v>
      </c>
      <c r="E42" s="1" t="n">
        <v>46320</v>
      </c>
      <c r="F42" t="inlineStr">
        <is>
          <t>VÄRMLANDS LÄN</t>
        </is>
      </c>
      <c r="G42" t="inlineStr">
        <is>
          <t>HAGFORS</t>
        </is>
      </c>
      <c r="I42" t="n">
        <v>4.5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HYPERLINK("https://klasma.github.io/Logging_1783/artfynd/A 22484-2025 artfynd.xlsx", "A 22484-2025")</f>
        <v/>
      </c>
      <c r="X42">
        <f>HYPERLINK("https://klasma.github.io/Logging_1783/kartor/A 22484-2025 karta.png", "A 22484-2025")</f>
        <v/>
      </c>
      <c r="Y42">
        <f>HYPERLINK("https://klasma.github.io/Logging_1783/kartor_geotiff/A 22484-2025 georefererad karta.tif", "A 22484-2025")</f>
        <v/>
      </c>
      <c r="AA42">
        <f>HYPERLINK("https://klasma.github.io/Logging_1783/klagomål/A 22484-2025 FSC-klagomål.docx", "A 22484-2025")</f>
        <v/>
      </c>
      <c r="AB42">
        <f>HYPERLINK("https://klasma.github.io/Logging_1783/klagomålsmail/A 22484-2025 FSC-klagomål mail.docx", "A 22484-2025")</f>
        <v/>
      </c>
      <c r="AC42">
        <f>HYPERLINK("https://klasma.github.io/Logging_1783/tillsyn/A 22484-2025 tillsynsbegäran.docx", "A 22484-2025")</f>
        <v/>
      </c>
      <c r="AD42">
        <f>HYPERLINK("https://klasma.github.io/Logging_1783/tillsynsmail/A 22484-2025 tillsynsbegäran mail.docx", "A 22484-2025")</f>
        <v/>
      </c>
    </row>
    <row r="43" ht="15" customHeight="1">
      <c r="A43" t="inlineStr">
        <is>
          <t>A 32592-2026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46240</v>
      </c>
      <c r="E43" s="1" t="n">
        <v>46320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30.8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HYPERLINK("https://klasma.github.io/Logging_1783/artfynd/A 32592-2026 artfynd.xlsx", "A 32592-2026")</f>
        <v/>
      </c>
      <c r="X43">
        <f>HYPERLINK("https://klasma.github.io/Logging_1783/kartor/A 32592-2026 karta.png", "A 32592-2026")</f>
        <v/>
      </c>
      <c r="Y43">
        <f>HYPERLINK("https://klasma.github.io/Logging_1783/kartor_geotiff/A 32592-2026 georefererad karta.tif", "A 32592-2026")</f>
        <v/>
      </c>
      <c r="AA43">
        <f>HYPERLINK("https://klasma.github.io/Logging_1783/klagomål/A 32592-2026 FSC-klagomål.docx", "A 32592-2026")</f>
        <v/>
      </c>
      <c r="AB43">
        <f>HYPERLINK("https://klasma.github.io/Logging_1783/klagomålsmail/A 32592-2026 FSC-klagomål mail.docx", "A 32592-2026")</f>
        <v/>
      </c>
      <c r="AC43">
        <f>HYPERLINK("https://klasma.github.io/Logging_1783/tillsyn/A 32592-2026 tillsynsbegäran.docx", "A 32592-2026")</f>
        <v/>
      </c>
      <c r="AD43">
        <f>HYPERLINK("https://klasma.github.io/Logging_1783/tillsynsmail/A 32592-2026 tillsynsbegäran mail.docx", "A 32592-2026")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46320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24885-2025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46320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husmossa</t>
        </is>
      </c>
      <c r="W45">
        <f>HYPERLINK("https://klasma.github.io/Logging_1783/artfynd/A 24885-2025 artfynd.xlsx", "A 24885-2025")</f>
        <v/>
      </c>
      <c r="X45">
        <f>HYPERLINK("https://klasma.github.io/Logging_1783/kartor/A 24885-2025 karta.png", "A 24885-2025")</f>
        <v/>
      </c>
      <c r="Y45">
        <f>HYPERLINK("https://klasma.github.io/Logging_1783/kartor_geotiff/A 24885-2025 georefererad karta.tif", "A 24885-2025")</f>
        <v/>
      </c>
      <c r="AA45">
        <f>HYPERLINK("https://klasma.github.io/Logging_1783/klagomål/A 24885-2025 FSC-klagomål.docx", "A 24885-2025")</f>
        <v/>
      </c>
      <c r="AB45">
        <f>HYPERLINK("https://klasma.github.io/Logging_1783/klagomålsmail/A 24885-2025 FSC-klagomål mail.docx", "A 24885-2025")</f>
        <v/>
      </c>
      <c r="AC45">
        <f>HYPERLINK("https://klasma.github.io/Logging_1783/tillsyn/A 24885-2025 tillsynsbegäran.docx", "A 24885-2025")</f>
        <v/>
      </c>
      <c r="AD45">
        <f>HYPERLINK("https://klasma.github.io/Logging_1783/tillsynsmail/A 24885-2025 tillsynsbegäran mail.docx", "A 24885-2025")</f>
        <v/>
      </c>
    </row>
    <row r="46" ht="15" customHeight="1">
      <c r="A46" t="inlineStr">
        <is>
          <t>A 26624-2025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45810</v>
      </c>
      <c r="E46" s="1" t="n">
        <v>46320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HYPERLINK("https://klasma.github.io/Logging_1783/artfynd/A 26624-2025 artfynd.xlsx", "A 26624-2025")</f>
        <v/>
      </c>
      <c r="X46">
        <f>HYPERLINK("https://klasma.github.io/Logging_1783/kartor/A 26624-2025 karta.png", "A 26624-2025")</f>
        <v/>
      </c>
      <c r="Y46">
        <f>HYPERLINK("https://klasma.github.io/Logging_1783/kartor_geotiff/A 26624-2025 georefererad karta.tif", "A 26624-2025")</f>
        <v/>
      </c>
      <c r="AA46">
        <f>HYPERLINK("https://klasma.github.io/Logging_1783/klagomål/A 26624-2025 FSC-klagomål.docx", "A 26624-2025")</f>
        <v/>
      </c>
      <c r="AB46">
        <f>HYPERLINK("https://klasma.github.io/Logging_1783/klagomålsmail/A 26624-2025 FSC-klagomål mail.docx", "A 26624-2025")</f>
        <v/>
      </c>
      <c r="AC46">
        <f>HYPERLINK("https://klasma.github.io/Logging_1783/tillsyn/A 26624-2025 tillsynsbegäran.docx", "A 26624-2025")</f>
        <v/>
      </c>
      <c r="AD46">
        <f>HYPERLINK("https://klasma.github.io/Logging_1783/tillsynsmail/A 26624-2025 tillsynsbegäran mail.docx", "A 26624-2025")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46320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40211-2026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46290</v>
      </c>
      <c r="E48" s="1" t="n">
        <v>46320</v>
      </c>
      <c r="F48" t="inlineStr">
        <is>
          <t>VÄRMLANDS LÄN</t>
        </is>
      </c>
      <c r="G48" t="inlineStr">
        <is>
          <t>HAGFORS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HYPERLINK("https://klasma.github.io/Logging_1783/artfynd/A 40211-2026 artfynd.xlsx", "A 40211-2026")</f>
        <v/>
      </c>
      <c r="X48">
        <f>HYPERLINK("https://klasma.github.io/Logging_1783/kartor/A 40211-2026 karta.png", "A 40211-2026")</f>
        <v/>
      </c>
      <c r="Y48">
        <f>HYPERLINK("https://klasma.github.io/Logging_1783/kartor_geotiff/A 40211-2026 georefererad karta.tif", "A 40211-2026")</f>
        <v/>
      </c>
      <c r="AA48">
        <f>HYPERLINK("https://klasma.github.io/Logging_1783/klagomål/A 40211-2026 FSC-klagomål.docx", "A 40211-2026")</f>
        <v/>
      </c>
      <c r="AB48">
        <f>HYPERLINK("https://klasma.github.io/Logging_1783/klagomålsmail/A 40211-2026 FSC-klagomål mail.docx", "A 40211-2026")</f>
        <v/>
      </c>
      <c r="AC48">
        <f>HYPERLINK("https://klasma.github.io/Logging_1783/tillsyn/A 40211-2026 tillsynsbegäran.docx", "A 40211-2026")</f>
        <v/>
      </c>
      <c r="AD48">
        <f>HYPERLINK("https://klasma.github.io/Logging_1783/tillsynsmail/A 40211-2026 tillsynsbegäran mail.docx", "A 40211-2026")</f>
        <v/>
      </c>
    </row>
    <row r="49" ht="15" customHeight="1">
      <c r="A49" t="inlineStr">
        <is>
          <t>A 12445-2026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46090</v>
      </c>
      <c r="E49" s="1" t="n">
        <v>46320</v>
      </c>
      <c r="F49" t="inlineStr">
        <is>
          <t>VÄRMLANDS LÄN</t>
        </is>
      </c>
      <c r="G49" t="inlineStr">
        <is>
          <t>HAGFORS</t>
        </is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12445-2026 artfynd.xlsx", "A 12445-2026")</f>
        <v/>
      </c>
      <c r="X49">
        <f>HYPERLINK("https://klasma.github.io/Logging_1783/kartor/A 12445-2026 karta.png", "A 12445-2026")</f>
        <v/>
      </c>
      <c r="Y49">
        <f>HYPERLINK("https://klasma.github.io/Logging_1783/kartor_geotiff/A 12445-2026 georefererad karta.tif", "A 12445-2026")</f>
        <v/>
      </c>
      <c r="AA49">
        <f>HYPERLINK("https://klasma.github.io/Logging_1783/klagomål/A 12445-2026 FSC-klagomål.docx", "A 12445-2026")</f>
        <v/>
      </c>
      <c r="AB49">
        <f>HYPERLINK("https://klasma.github.io/Logging_1783/klagomålsmail/A 12445-2026 FSC-klagomål mail.docx", "A 12445-2026")</f>
        <v/>
      </c>
      <c r="AC49">
        <f>HYPERLINK("https://klasma.github.io/Logging_1783/tillsyn/A 12445-2026 tillsynsbegäran.docx", "A 12445-2026")</f>
        <v/>
      </c>
      <c r="AD49">
        <f>HYPERLINK("https://klasma.github.io/Logging_1783/tillsynsmail/A 12445-2026 tillsynsbegäran mail.docx", "A 12445-2026")</f>
        <v/>
      </c>
      <c r="AE49">
        <f>HYPERLINK("https://klasma.github.io/Logging_1783/fåglar/A 12445-2026 prioriterade fågelarter.docx", "A 12445-2026")</f>
        <v/>
      </c>
    </row>
    <row r="50" ht="15" customHeight="1">
      <c r="A50" t="inlineStr">
        <is>
          <t>A 33848-2025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45842</v>
      </c>
      <c r="E50" s="1" t="n">
        <v>46320</v>
      </c>
      <c r="F50" t="inlineStr">
        <is>
          <t>VÄRMLANDS LÄN</t>
        </is>
      </c>
      <c r="G50" t="inlineStr">
        <is>
          <t>HAGFORS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33848-2025 artfynd.xlsx", "A 33848-2025")</f>
        <v/>
      </c>
      <c r="X50">
        <f>HYPERLINK("https://klasma.github.io/Logging_1783/kartor/A 33848-2025 karta.png", "A 33848-2025")</f>
        <v/>
      </c>
      <c r="Y50">
        <f>HYPERLINK("https://klasma.github.io/Logging_1783/kartor_geotiff/A 33848-2025 georefererad karta.tif", "A 33848-2025")</f>
        <v/>
      </c>
      <c r="AA50">
        <f>HYPERLINK("https://klasma.github.io/Logging_1783/klagomål/A 33848-2025 FSC-klagomål.docx", "A 33848-2025")</f>
        <v/>
      </c>
      <c r="AB50">
        <f>HYPERLINK("https://klasma.github.io/Logging_1783/klagomålsmail/A 33848-2025 FSC-klagomål mail.docx", "A 33848-2025")</f>
        <v/>
      </c>
      <c r="AC50">
        <f>HYPERLINK("https://klasma.github.io/Logging_1783/tillsyn/A 33848-2025 tillsynsbegäran.docx", "A 33848-2025")</f>
        <v/>
      </c>
      <c r="AD50">
        <f>HYPERLINK("https://klasma.github.io/Logging_1783/tillsynsmail/A 33848-2025 tillsynsbegäran mail.docx", "A 33848-2025")</f>
        <v/>
      </c>
    </row>
    <row r="51" ht="15" customHeight="1">
      <c r="A51" t="inlineStr">
        <is>
          <t>A 20119-2025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46320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20119-2025 artfynd.xlsx", "A 20119-2025")</f>
        <v/>
      </c>
      <c r="X51">
        <f>HYPERLINK("https://klasma.github.io/Logging_1783/kartor/A 20119-2025 karta.png", "A 20119-2025")</f>
        <v/>
      </c>
      <c r="Y51">
        <f>HYPERLINK("https://klasma.github.io/Logging_1783/kartor_geotiff/A 20119-2025 georefererad karta.tif", "A 20119-2025")</f>
        <v/>
      </c>
      <c r="AA51">
        <f>HYPERLINK("https://klasma.github.io/Logging_1783/klagomål/A 20119-2025 FSC-klagomål.docx", "A 20119-2025")</f>
        <v/>
      </c>
      <c r="AB51">
        <f>HYPERLINK("https://klasma.github.io/Logging_1783/klagomålsmail/A 20119-2025 FSC-klagomål mail.docx", "A 20119-2025")</f>
        <v/>
      </c>
      <c r="AC51">
        <f>HYPERLINK("https://klasma.github.io/Logging_1783/tillsyn/A 20119-2025 tillsynsbegäran.docx", "A 20119-2025")</f>
        <v/>
      </c>
      <c r="AD51">
        <f>HYPERLINK("https://klasma.github.io/Logging_1783/tillsynsmail/A 20119-2025 tillsynsbegäran mail.docx", "A 20119-2025")</f>
        <v/>
      </c>
      <c r="AE51">
        <f>HYPERLINK("https://klasma.github.io/Logging_1783/fåglar/A 20119-2025 prioriterade fågelarter.docx", "A 20119-2025")</f>
        <v/>
      </c>
    </row>
    <row r="52" ht="15" customHeight="1">
      <c r="A52" t="inlineStr">
        <is>
          <t>A 33905-2025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45842</v>
      </c>
      <c r="E52" s="1" t="n">
        <v>46320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33905-2025 artfynd.xlsx", "A 33905-2025")</f>
        <v/>
      </c>
      <c r="X52">
        <f>HYPERLINK("https://klasma.github.io/Logging_1783/kartor/A 33905-2025 karta.png", "A 33905-2025")</f>
        <v/>
      </c>
      <c r="Y52">
        <f>HYPERLINK("https://klasma.github.io/Logging_1783/kartor_geotiff/A 33905-2025 georefererad karta.tif", "A 33905-2025")</f>
        <v/>
      </c>
      <c r="AA52">
        <f>HYPERLINK("https://klasma.github.io/Logging_1783/klagomål/A 33905-2025 FSC-klagomål.docx", "A 33905-2025")</f>
        <v/>
      </c>
      <c r="AB52">
        <f>HYPERLINK("https://klasma.github.io/Logging_1783/klagomålsmail/A 33905-2025 FSC-klagomål mail.docx", "A 33905-2025")</f>
        <v/>
      </c>
      <c r="AC52">
        <f>HYPERLINK("https://klasma.github.io/Logging_1783/tillsyn/A 33905-2025 tillsynsbegäran.docx", "A 33905-2025")</f>
        <v/>
      </c>
      <c r="AD52">
        <f>HYPERLINK("https://klasma.github.io/Logging_1783/tillsynsmail/A 33905-2025 tillsynsbegäran mail.docx", "A 33905-2025")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46320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38267-2024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45545</v>
      </c>
      <c r="E54" s="1" t="n">
        <v>46320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4.3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HYPERLINK("https://klasma.github.io/Logging_1783/artfynd/A 38267-2024 artfynd.xlsx", "A 38267-2024")</f>
        <v/>
      </c>
      <c r="X54">
        <f>HYPERLINK("https://klasma.github.io/Logging_1783/kartor/A 38267-2024 karta.png", "A 38267-2024")</f>
        <v/>
      </c>
      <c r="Y54">
        <f>HYPERLINK("https://klasma.github.io/Logging_1783/kartor_geotiff/A 38267-2024 georefererad karta.tif", "A 38267-2024")</f>
        <v/>
      </c>
      <c r="AA54">
        <f>HYPERLINK("https://klasma.github.io/Logging_1783/klagomål/A 38267-2024 FSC-klagomål.docx", "A 38267-2024")</f>
        <v/>
      </c>
      <c r="AB54">
        <f>HYPERLINK("https://klasma.github.io/Logging_1783/klagomålsmail/A 38267-2024 FSC-klagomål mail.docx", "A 38267-2024")</f>
        <v/>
      </c>
      <c r="AC54">
        <f>HYPERLINK("https://klasma.github.io/Logging_1783/tillsyn/A 38267-2024 tillsynsbegäran.docx", "A 38267-2024")</f>
        <v/>
      </c>
      <c r="AD54">
        <f>HYPERLINK("https://klasma.github.io/Logging_1783/tillsynsmail/A 38267-2024 tillsynsbegäran mail.docx", "A 38267-2024")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46320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3199-2022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46320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5.4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Tofsmes</t>
        </is>
      </c>
      <c r="W56">
        <f>HYPERLINK("https://klasma.github.io/Logging_1783/artfynd/A 3199-2022 artfynd.xlsx", "A 3199-2022")</f>
        <v/>
      </c>
      <c r="X56">
        <f>HYPERLINK("https://klasma.github.io/Logging_1783/kartor/A 3199-2022 karta.png", "A 3199-2022")</f>
        <v/>
      </c>
      <c r="Y56">
        <f>HYPERLINK("https://klasma.github.io/Logging_1783/kartor_geotiff/A 3199-2022 georefererad karta.tif", "A 3199-2022")</f>
        <v/>
      </c>
      <c r="AA56">
        <f>HYPERLINK("https://klasma.github.io/Logging_1783/klagomål/A 3199-2022 FSC-klagomål.docx", "A 3199-2022")</f>
        <v/>
      </c>
      <c r="AB56">
        <f>HYPERLINK("https://klasma.github.io/Logging_1783/klagomålsmail/A 3199-2022 FSC-klagomål mail.docx", "A 3199-2022")</f>
        <v/>
      </c>
      <c r="AC56">
        <f>HYPERLINK("https://klasma.github.io/Logging_1783/tillsyn/A 3199-2022 tillsynsbegäran.docx", "A 3199-2022")</f>
        <v/>
      </c>
      <c r="AD56">
        <f>HYPERLINK("https://klasma.github.io/Logging_1783/tillsynsmail/A 3199-2022 tillsynsbegäran mail.docx", "A 3199-2022")</f>
        <v/>
      </c>
    </row>
    <row r="57" ht="15" customHeight="1">
      <c r="A57" t="inlineStr">
        <is>
          <t>A 37152-2023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46320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Hökuggla</t>
        </is>
      </c>
      <c r="W57">
        <f>HYPERLINK("https://klasma.github.io/Logging_1783/artfynd/A 37152-2023 artfynd.xlsx", "A 37152-2023")</f>
        <v/>
      </c>
      <c r="X57">
        <f>HYPERLINK("https://klasma.github.io/Logging_1783/kartor/A 37152-2023 karta.png", "A 37152-2023")</f>
        <v/>
      </c>
      <c r="Y57">
        <f>HYPERLINK("https://klasma.github.io/Logging_1783/kartor_geotiff/A 37152-2023 georefererad karta.tif", "A 37152-2023")</f>
        <v/>
      </c>
      <c r="AA57">
        <f>HYPERLINK("https://klasma.github.io/Logging_1783/klagomål/A 37152-2023 FSC-klagomål.docx", "A 37152-2023")</f>
        <v/>
      </c>
      <c r="AB57">
        <f>HYPERLINK("https://klasma.github.io/Logging_1783/klagomålsmail/A 37152-2023 FSC-klagomål mail.docx", "A 37152-2023")</f>
        <v/>
      </c>
      <c r="AC57">
        <f>HYPERLINK("https://klasma.github.io/Logging_1783/tillsyn/A 37152-2023 tillsynsbegäran.docx", "A 37152-2023")</f>
        <v/>
      </c>
      <c r="AD57">
        <f>HYPERLINK("https://klasma.github.io/Logging_1783/tillsynsmail/A 37152-2023 tillsynsbegäran mail.docx", "A 37152-2023")</f>
        <v/>
      </c>
      <c r="AE57">
        <f>HYPERLINK("https://klasma.github.io/Logging_1783/fåglar/A 37152-2023 prioriterade fågelarter.docx", "A 37152-2023")</f>
        <v/>
      </c>
    </row>
    <row r="58" ht="15" customHeight="1">
      <c r="A58" t="inlineStr">
        <is>
          <t>A 36223-2026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46320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Gråspett</t>
        </is>
      </c>
      <c r="W58">
        <f>HYPERLINK("https://klasma.github.io/Logging_1783/artfynd/A 36223-2026 artfynd.xlsx", "A 36223-2026")</f>
        <v/>
      </c>
      <c r="X58">
        <f>HYPERLINK("https://klasma.github.io/Logging_1783/kartor/A 36223-2026 karta.png", "A 36223-2026")</f>
        <v/>
      </c>
      <c r="Y58">
        <f>HYPERLINK("https://klasma.github.io/Logging_1783/kartor_geotiff/A 36223-2026 georefererad karta.tif", "A 36223-2026")</f>
        <v/>
      </c>
      <c r="AA58">
        <f>HYPERLINK("https://klasma.github.io/Logging_1783/klagomål/A 36223-2026 FSC-klagomål.docx", "A 36223-2026")</f>
        <v/>
      </c>
      <c r="AB58">
        <f>HYPERLINK("https://klasma.github.io/Logging_1783/klagomålsmail/A 36223-2026 FSC-klagomål mail.docx", "A 36223-2026")</f>
        <v/>
      </c>
      <c r="AC58">
        <f>HYPERLINK("https://klasma.github.io/Logging_1783/tillsyn/A 36223-2026 tillsynsbegäran.docx", "A 36223-2026")</f>
        <v/>
      </c>
      <c r="AD58">
        <f>HYPERLINK("https://klasma.github.io/Logging_1783/tillsynsmail/A 36223-2026 tillsynsbegäran mail.docx", "A 36223-2026")</f>
        <v/>
      </c>
      <c r="AE58">
        <f>HYPERLINK("https://klasma.github.io/Logging_1783/fåglar/A 36223-2026 prioriterade fågelarter.docx", "A 36223-2026")</f>
        <v/>
      </c>
    </row>
    <row r="59" ht="15" customHeight="1">
      <c r="A59" t="inlineStr">
        <is>
          <t>A 34158-2025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46320</v>
      </c>
      <c r="F59" t="inlineStr">
        <is>
          <t>VÄRMLANDS LÄN</t>
        </is>
      </c>
      <c r="G59" t="inlineStr">
        <is>
          <t>HAGFORS</t>
        </is>
      </c>
      <c r="I59" t="n">
        <v>5.8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Korallblylav</t>
        </is>
      </c>
      <c r="W59">
        <f>HYPERLINK("https://klasma.github.io/Logging_1783/artfynd/A 34158-2025 artfynd.xlsx", "A 34158-2025")</f>
        <v/>
      </c>
      <c r="X59">
        <f>HYPERLINK("https://klasma.github.io/Logging_1783/kartor/A 34158-2025 karta.png", "A 34158-2025")</f>
        <v/>
      </c>
      <c r="Y59">
        <f>HYPERLINK("https://klasma.github.io/Logging_1783/kartor_geotiff/A 34158-2025 georefererad karta.tif", "A 34158-2025")</f>
        <v/>
      </c>
      <c r="AA59">
        <f>HYPERLINK("https://klasma.github.io/Logging_1783/klagomål/A 34158-2025 FSC-klagomål.docx", "A 34158-2025")</f>
        <v/>
      </c>
      <c r="AB59">
        <f>HYPERLINK("https://klasma.github.io/Logging_1783/klagomålsmail/A 34158-2025 FSC-klagomål mail.docx", "A 34158-2025")</f>
        <v/>
      </c>
      <c r="AC59">
        <f>HYPERLINK("https://klasma.github.io/Logging_1783/tillsyn/A 34158-2025 tillsynsbegäran.docx", "A 34158-2025")</f>
        <v/>
      </c>
      <c r="AD59">
        <f>HYPERLINK("https://klasma.github.io/Logging_1783/tillsynsmail/A 34158-2025 tillsynsbegäran mail.docx", "A 34158-2025")</f>
        <v/>
      </c>
    </row>
    <row r="60" ht="15" customHeight="1">
      <c r="A60" t="inlineStr">
        <is>
          <t>A 35256-2026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46261</v>
      </c>
      <c r="E60" s="1" t="n">
        <v>46320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HYPERLINK("https://klasma.github.io/Logging_1783/artfynd/A 35256-2026 artfynd.xlsx", "A 35256-2026")</f>
        <v/>
      </c>
      <c r="X60">
        <f>HYPERLINK("https://klasma.github.io/Logging_1783/kartor/A 35256-2026 karta.png", "A 35256-2026")</f>
        <v/>
      </c>
      <c r="Y60">
        <f>HYPERLINK("https://klasma.github.io/Logging_1783/kartor_geotiff/A 35256-2026 georefererad karta.tif", "A 35256-2026")</f>
        <v/>
      </c>
      <c r="AA60">
        <f>HYPERLINK("https://klasma.github.io/Logging_1783/klagomål/A 35256-2026 FSC-klagomål.docx", "A 35256-2026")</f>
        <v/>
      </c>
      <c r="AB60">
        <f>HYPERLINK("https://klasma.github.io/Logging_1783/klagomålsmail/A 35256-2026 FSC-klagomål mail.docx", "A 35256-2026")</f>
        <v/>
      </c>
      <c r="AC60">
        <f>HYPERLINK("https://klasma.github.io/Logging_1783/tillsyn/A 35256-2026 tillsynsbegäran.docx", "A 35256-2026")</f>
        <v/>
      </c>
      <c r="AD60">
        <f>HYPERLINK("https://klasma.github.io/Logging_1783/tillsynsmail/A 35256-2026 tillsynsbegäran mail.docx", "A 35256-2026")</f>
        <v/>
      </c>
    </row>
    <row r="61" ht="15" customHeight="1">
      <c r="A61" t="inlineStr">
        <is>
          <t>A 16319-2023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46320</v>
      </c>
      <c r="F61" t="inlineStr">
        <is>
          <t>VÄRMLANDS LÄN</t>
        </is>
      </c>
      <c r="G61" t="inlineStr">
        <is>
          <t>HAGFORS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HYPERLINK("https://klasma.github.io/Logging_1783/artfynd/A 16319-2023 artfynd.xlsx", "A 16319-2023")</f>
        <v/>
      </c>
      <c r="X61">
        <f>HYPERLINK("https://klasma.github.io/Logging_1783/kartor/A 16319-2023 karta.png", "A 16319-2023")</f>
        <v/>
      </c>
      <c r="Y61">
        <f>HYPERLINK("https://klasma.github.io/Logging_1783/kartor_geotiff/A 16319-2023 georefererad karta.tif", "A 16319-2023")</f>
        <v/>
      </c>
      <c r="AA61">
        <f>HYPERLINK("https://klasma.github.io/Logging_1783/klagomål/A 16319-2023 FSC-klagomål.docx", "A 16319-2023")</f>
        <v/>
      </c>
      <c r="AB61">
        <f>HYPERLINK("https://klasma.github.io/Logging_1783/klagomålsmail/A 16319-2023 FSC-klagomål mail.docx", "A 16319-2023")</f>
        <v/>
      </c>
      <c r="AC61">
        <f>HYPERLINK("https://klasma.github.io/Logging_1783/tillsyn/A 16319-2023 tillsynsbegäran.docx", "A 16319-2023")</f>
        <v/>
      </c>
      <c r="AD61">
        <f>HYPERLINK("https://klasma.github.io/Logging_1783/tillsynsmail/A 16319-2023 tillsynsbegäran mail.docx", "A 16319-2023")</f>
        <v/>
      </c>
    </row>
    <row r="62" ht="15" customHeight="1">
      <c r="A62" t="inlineStr">
        <is>
          <t>A 6986-2022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46320</v>
      </c>
      <c r="F62" t="inlineStr">
        <is>
          <t>VÄRMLANDS LÄN</t>
        </is>
      </c>
      <c r="G62" t="inlineStr">
        <is>
          <t>HAGFORS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6986-2022 artfynd.xlsx", "A 6986-2022")</f>
        <v/>
      </c>
      <c r="X62">
        <f>HYPERLINK("https://klasma.github.io/Logging_1783/kartor/A 6986-2022 karta.png", "A 6986-2022")</f>
        <v/>
      </c>
      <c r="Y62">
        <f>HYPERLINK("https://klasma.github.io/Logging_1783/kartor_geotiff/A 6986-2022 georefererad karta.tif", "A 6986-2022")</f>
        <v/>
      </c>
      <c r="AA62">
        <f>HYPERLINK("https://klasma.github.io/Logging_1783/klagomål/A 6986-2022 FSC-klagomål.docx", "A 6986-2022")</f>
        <v/>
      </c>
      <c r="AB62">
        <f>HYPERLINK("https://klasma.github.io/Logging_1783/klagomålsmail/A 6986-2022 FSC-klagomål mail.docx", "A 6986-2022")</f>
        <v/>
      </c>
      <c r="AC62">
        <f>HYPERLINK("https://klasma.github.io/Logging_1783/tillsyn/A 6986-2022 tillsynsbegäran.docx", "A 6986-2022")</f>
        <v/>
      </c>
      <c r="AD62">
        <f>HYPERLINK("https://klasma.github.io/Logging_1783/tillsynsmail/A 6986-2022 tillsynsbegäran mail.docx", "A 6986-2022")</f>
        <v/>
      </c>
    </row>
    <row r="63" ht="15" customHeight="1">
      <c r="A63" t="inlineStr">
        <is>
          <t>A 30524-2022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46320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Kolflarnlav</t>
        </is>
      </c>
      <c r="W63">
        <f>HYPERLINK("https://klasma.github.io/Logging_1783/artfynd/A 30524-2022 artfynd.xlsx", "A 30524-2022")</f>
        <v/>
      </c>
      <c r="X63">
        <f>HYPERLINK("https://klasma.github.io/Logging_1783/kartor/A 30524-2022 karta.png", "A 30524-2022")</f>
        <v/>
      </c>
      <c r="Y63">
        <f>HYPERLINK("https://klasma.github.io/Logging_1783/kartor_geotiff/A 30524-2022 georefererad karta.tif", "A 30524-2022")</f>
        <v/>
      </c>
      <c r="AA63">
        <f>HYPERLINK("https://klasma.github.io/Logging_1783/klagomål/A 30524-2022 FSC-klagomål.docx", "A 30524-2022")</f>
        <v/>
      </c>
      <c r="AB63">
        <f>HYPERLINK("https://klasma.github.io/Logging_1783/klagomålsmail/A 30524-2022 FSC-klagomål mail.docx", "A 30524-2022")</f>
        <v/>
      </c>
      <c r="AC63">
        <f>HYPERLINK("https://klasma.github.io/Logging_1783/tillsyn/A 30524-2022 tillsynsbegäran.docx", "A 30524-2022")</f>
        <v/>
      </c>
      <c r="AD63">
        <f>HYPERLINK("https://klasma.github.io/Logging_1783/tillsynsmail/A 30524-2022 tillsynsbegäran mail.docx", "A 30524-2022")</f>
        <v/>
      </c>
    </row>
    <row r="64" ht="15" customHeight="1">
      <c r="A64" t="inlineStr">
        <is>
          <t>A 44095-2023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46320</v>
      </c>
      <c r="F64" t="inlineStr">
        <is>
          <t>VÄRMLANDS LÄN</t>
        </is>
      </c>
      <c r="G64" t="inlineStr">
        <is>
          <t>HAGFORS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44095-2023 artfynd.xlsx", "A 44095-2023")</f>
        <v/>
      </c>
      <c r="X64">
        <f>HYPERLINK("https://klasma.github.io/Logging_1783/kartor/A 44095-2023 karta.png", "A 44095-2023")</f>
        <v/>
      </c>
      <c r="Y64">
        <f>HYPERLINK("https://klasma.github.io/Logging_1783/kartor_geotiff/A 44095-2023 georefererad karta.tif", "A 44095-2023")</f>
        <v/>
      </c>
      <c r="AA64">
        <f>HYPERLINK("https://klasma.github.io/Logging_1783/klagomål/A 44095-2023 FSC-klagomål.docx", "A 44095-2023")</f>
        <v/>
      </c>
      <c r="AB64">
        <f>HYPERLINK("https://klasma.github.io/Logging_1783/klagomålsmail/A 44095-2023 FSC-klagomål mail.docx", "A 44095-2023")</f>
        <v/>
      </c>
      <c r="AC64">
        <f>HYPERLINK("https://klasma.github.io/Logging_1783/tillsyn/A 44095-2023 tillsynsbegäran.docx", "A 44095-2023")</f>
        <v/>
      </c>
      <c r="AD64">
        <f>HYPERLINK("https://klasma.github.io/Logging_1783/tillsynsmail/A 44095-2023 tillsynsbegäran mail.docx", "A 44095-2023")</f>
        <v/>
      </c>
    </row>
    <row r="65" ht="15" customHeight="1">
      <c r="A65" t="inlineStr">
        <is>
          <t>A 51194-2022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46320</v>
      </c>
      <c r="F65" t="inlineStr">
        <is>
          <t>VÄRMLANDS LÄN</t>
        </is>
      </c>
      <c r="G65" t="inlineStr">
        <is>
          <t>HAGFORS</t>
        </is>
      </c>
      <c r="I65" t="n">
        <v>1.6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51194-2022 artfynd.xlsx", "A 51194-2022")</f>
        <v/>
      </c>
      <c r="X65">
        <f>HYPERLINK("https://klasma.github.io/Logging_1783/kartor/A 51194-2022 karta.png", "A 51194-2022")</f>
        <v/>
      </c>
      <c r="Y65">
        <f>HYPERLINK("https://klasma.github.io/Logging_1783/kartor_geotiff/A 51194-2022 georefererad karta.tif", "A 51194-2022")</f>
        <v/>
      </c>
      <c r="AA65">
        <f>HYPERLINK("https://klasma.github.io/Logging_1783/klagomål/A 51194-2022 FSC-klagomål.docx", "A 51194-2022")</f>
        <v/>
      </c>
      <c r="AB65">
        <f>HYPERLINK("https://klasma.github.io/Logging_1783/klagomålsmail/A 51194-2022 FSC-klagomål mail.docx", "A 51194-2022")</f>
        <v/>
      </c>
      <c r="AC65">
        <f>HYPERLINK("https://klasma.github.io/Logging_1783/tillsyn/A 51194-2022 tillsynsbegäran.docx", "A 51194-2022")</f>
        <v/>
      </c>
      <c r="AD65">
        <f>HYPERLINK("https://klasma.github.io/Logging_1783/tillsynsmail/A 51194-2022 tillsynsbegäran mail.docx", "A 51194-2022")</f>
        <v/>
      </c>
    </row>
    <row r="66" ht="15" customHeight="1">
      <c r="A66" t="inlineStr">
        <is>
          <t>A 14850-2025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45743</v>
      </c>
      <c r="E66" s="1" t="n">
        <v>46320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HYPERLINK("https://klasma.github.io/Logging_1783/artfynd/A 14850-2025 artfynd.xlsx", "A 14850-2025")</f>
        <v/>
      </c>
      <c r="X66">
        <f>HYPERLINK("https://klasma.github.io/Logging_1783/kartor/A 14850-2025 karta.png", "A 14850-2025")</f>
        <v/>
      </c>
      <c r="Y66">
        <f>HYPERLINK("https://klasma.github.io/Logging_1783/kartor_geotiff/A 14850-2025 georefererad karta.tif", "A 14850-2025")</f>
        <v/>
      </c>
      <c r="AA66">
        <f>HYPERLINK("https://klasma.github.io/Logging_1783/klagomål/A 14850-2025 FSC-klagomål.docx", "A 14850-2025")</f>
        <v/>
      </c>
      <c r="AB66">
        <f>HYPERLINK("https://klasma.github.io/Logging_1783/klagomålsmail/A 14850-2025 FSC-klagomål mail.docx", "A 14850-2025")</f>
        <v/>
      </c>
      <c r="AC66">
        <f>HYPERLINK("https://klasma.github.io/Logging_1783/tillsyn/A 14850-2025 tillsynsbegäran.docx", "A 14850-2025")</f>
        <v/>
      </c>
      <c r="AD66">
        <f>HYPERLINK("https://klasma.github.io/Logging_1783/tillsynsmail/A 14850-2025 tillsynsbegäran mail.docx", "A 14850-2025")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46320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46320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46320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46320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46320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46320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46320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64051-2021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46320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46320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46320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46320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46320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46320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46320</v>
      </c>
      <c r="F80" t="inlineStr">
        <is>
          <t>VÄRMLANDS LÄN</t>
        </is>
      </c>
      <c r="G80" t="inlineStr">
        <is>
          <t>HAGFORS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46320</v>
      </c>
      <c r="F81" t="inlineStr">
        <is>
          <t>VÄRMLANDS LÄN</t>
        </is>
      </c>
      <c r="G81" t="inlineStr">
        <is>
          <t>HAGFORS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46320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46320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46320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46320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46320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46320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46320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46320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46320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46320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46320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46320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46320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46320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46320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46320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46320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46320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46320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46320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46320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46320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46320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46320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46320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46320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46320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46320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46320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61902-2021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46320</v>
      </c>
      <c r="F111" t="inlineStr">
        <is>
          <t>VÄRMLANDS LÄN</t>
        </is>
      </c>
      <c r="G111" t="inlineStr">
        <is>
          <t>HAGFORS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46320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46320</v>
      </c>
      <c r="F113" t="inlineStr">
        <is>
          <t>VÄRMLANDS LÄN</t>
        </is>
      </c>
      <c r="G113" t="inlineStr">
        <is>
          <t>HAGFORS</t>
        </is>
      </c>
      <c r="H113" t="inlineStr">
        <is>
          <t>Kommuner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11104-2022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44628</v>
      </c>
      <c r="E114" s="1" t="n">
        <v>46320</v>
      </c>
      <c r="F114" t="inlineStr">
        <is>
          <t>VÄRMLANDS LÄN</t>
        </is>
      </c>
      <c r="G114" t="inlineStr">
        <is>
          <t>HAGFORS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46320</v>
      </c>
      <c r="F115" t="inlineStr">
        <is>
          <t>VÄRMLANDS LÄN</t>
        </is>
      </c>
      <c r="G115" t="inlineStr">
        <is>
          <t>HAGFORS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46320</v>
      </c>
      <c r="F116" t="inlineStr">
        <is>
          <t>VÄRMLANDS LÄN</t>
        </is>
      </c>
      <c r="G116" t="inlineStr">
        <is>
          <t>HAGFORS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46320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46320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45713</v>
      </c>
      <c r="E119" s="1" t="n">
        <v>46320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46320</v>
      </c>
      <c r="F120" t="inlineStr">
        <is>
          <t>VÄRMLANDS LÄN</t>
        </is>
      </c>
      <c r="G120" t="inlineStr">
        <is>
          <t>HAGFORS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46320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46320</v>
      </c>
      <c r="F122" t="inlineStr">
        <is>
          <t>VÄRMLANDS LÄN</t>
        </is>
      </c>
      <c r="G122" t="inlineStr">
        <is>
          <t>HAGFORS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46320</v>
      </c>
      <c r="F123" t="inlineStr">
        <is>
          <t>VÄRMLANDS LÄN</t>
        </is>
      </c>
      <c r="G123" t="inlineStr">
        <is>
          <t>HAGFORS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46320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60664-2023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45259</v>
      </c>
      <c r="E125" s="1" t="n">
        <v>46320</v>
      </c>
      <c r="F125" t="inlineStr">
        <is>
          <t>VÄRMLANDS LÄN</t>
        </is>
      </c>
      <c r="G125" t="inlineStr">
        <is>
          <t>HAGFORS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46320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41155-2025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46320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45739</v>
      </c>
      <c r="E128" s="1" t="n">
        <v>46320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46320</v>
      </c>
      <c r="F129" t="inlineStr">
        <is>
          <t>VÄRMLANDS LÄN</t>
        </is>
      </c>
      <c r="G129" t="inlineStr">
        <is>
          <t>HAGFORS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46320</v>
      </c>
      <c r="F130" t="inlineStr">
        <is>
          <t>VÄRMLANDS LÄN</t>
        </is>
      </c>
      <c r="G130" t="inlineStr">
        <is>
          <t>HAGFORS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44770</v>
      </c>
      <c r="E131" s="1" t="n">
        <v>46320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15538-2024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45401</v>
      </c>
      <c r="E132" s="1" t="n">
        <v>46320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41739-2025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45902</v>
      </c>
      <c r="E133" s="1" t="n">
        <v>46320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45414</v>
      </c>
      <c r="E134" s="1" t="n">
        <v>46320</v>
      </c>
      <c r="F134" t="inlineStr">
        <is>
          <t>VÄRMLANDS LÄN</t>
        </is>
      </c>
      <c r="G134" t="inlineStr">
        <is>
          <t>HAGFORS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17329-2024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45414</v>
      </c>
      <c r="E135" s="1" t="n">
        <v>46320</v>
      </c>
      <c r="F135" t="inlineStr">
        <is>
          <t>VÄRMLANDS LÄN</t>
        </is>
      </c>
      <c r="G135" t="inlineStr">
        <is>
          <t>HAGFORS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46320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45902</v>
      </c>
      <c r="E137" s="1" t="n">
        <v>46320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46320</v>
      </c>
      <c r="F138" t="inlineStr">
        <is>
          <t>VÄRMLANDS LÄN</t>
        </is>
      </c>
      <c r="G138" t="inlineStr">
        <is>
          <t>HAGFORS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45203</v>
      </c>
      <c r="E139" s="1" t="n">
        <v>46320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46320</v>
      </c>
      <c r="F140" t="inlineStr">
        <is>
          <t>VÄRMLANDS LÄN</t>
        </is>
      </c>
      <c r="G140" t="inlineStr">
        <is>
          <t>HAGFORS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46320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45356</v>
      </c>
      <c r="E142" s="1" t="n">
        <v>46320</v>
      </c>
      <c r="F142" t="inlineStr">
        <is>
          <t>VÄRMLANDS LÄN</t>
        </is>
      </c>
      <c r="G142" t="inlineStr">
        <is>
          <t>HAGFORS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46320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46320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42430-2025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46320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46320</v>
      </c>
      <c r="F146" t="inlineStr">
        <is>
          <t>VÄRMLANDS LÄN</t>
        </is>
      </c>
      <c r="G146" t="inlineStr">
        <is>
          <t>HAGFORS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46320</v>
      </c>
      <c r="F147" t="inlineStr">
        <is>
          <t>VÄRMLANDS LÄN</t>
        </is>
      </c>
      <c r="G147" t="inlineStr">
        <is>
          <t>HAGFORS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46320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46320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46320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59048-2022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44903</v>
      </c>
      <c r="E151" s="1" t="n">
        <v>46320</v>
      </c>
      <c r="F151" t="inlineStr">
        <is>
          <t>VÄRMLANDS LÄN</t>
        </is>
      </c>
      <c r="G151" t="inlineStr">
        <is>
          <t>HAGFORS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46320</v>
      </c>
      <c r="F152" t="inlineStr">
        <is>
          <t>VÄRMLANDS LÄN</t>
        </is>
      </c>
      <c r="G152" t="inlineStr">
        <is>
          <t>HAGFORS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46320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60221-2023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45258</v>
      </c>
      <c r="E154" s="1" t="n">
        <v>46320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46320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46320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45525</v>
      </c>
      <c r="E157" s="1" t="n">
        <v>46320</v>
      </c>
      <c r="F157" t="inlineStr">
        <is>
          <t>VÄRMLANDS LÄN</t>
        </is>
      </c>
      <c r="G157" t="inlineStr">
        <is>
          <t>HAGFORS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46320</v>
      </c>
      <c r="F158" t="inlineStr">
        <is>
          <t>VÄRMLANDS LÄN</t>
        </is>
      </c>
      <c r="G158" t="inlineStr">
        <is>
          <t>HAGFORS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46320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46320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23728-2026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46164</v>
      </c>
      <c r="E161" s="1" t="n">
        <v>46320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46320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45502</v>
      </c>
      <c r="E163" s="1" t="n">
        <v>46320</v>
      </c>
      <c r="F163" t="inlineStr">
        <is>
          <t>VÄRMLANDS LÄN</t>
        </is>
      </c>
      <c r="G163" t="inlineStr">
        <is>
          <t>HAGFORS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46320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46320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46320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45869</v>
      </c>
      <c r="E167" s="1" t="n">
        <v>46320</v>
      </c>
      <c r="F167" t="inlineStr">
        <is>
          <t>VÄRMLANDS LÄN</t>
        </is>
      </c>
      <c r="G167" t="inlineStr">
        <is>
          <t>HAGFORS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46320</v>
      </c>
      <c r="F168" t="inlineStr">
        <is>
          <t>VÄRMLANDS LÄN</t>
        </is>
      </c>
      <c r="G168" t="inlineStr">
        <is>
          <t>HAGFORS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46320</v>
      </c>
      <c r="F169" t="inlineStr">
        <is>
          <t>VÄRMLANDS LÄN</t>
        </is>
      </c>
      <c r="G169" t="inlineStr">
        <is>
          <t>HAGFORS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46320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46320</v>
      </c>
      <c r="F171" t="inlineStr">
        <is>
          <t>VÄRMLANDS LÄN</t>
        </is>
      </c>
      <c r="G171" t="inlineStr">
        <is>
          <t>HAGFORS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46320</v>
      </c>
      <c r="F172" t="inlineStr">
        <is>
          <t>VÄRMLANDS LÄN</t>
        </is>
      </c>
      <c r="G172" t="inlineStr">
        <is>
          <t>HAGFORS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46320</v>
      </c>
      <c r="F173" t="inlineStr">
        <is>
          <t>VÄRMLANDS LÄN</t>
        </is>
      </c>
      <c r="G173" t="inlineStr">
        <is>
          <t>HAGFORS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46320</v>
      </c>
      <c r="F174" t="inlineStr">
        <is>
          <t>VÄRMLANDS LÄN</t>
        </is>
      </c>
      <c r="G174" t="inlineStr">
        <is>
          <t>HAGFORS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46320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46320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24240-2026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46168</v>
      </c>
      <c r="E177" s="1" t="n">
        <v>46320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46320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45925</v>
      </c>
      <c r="E179" s="1" t="n">
        <v>46320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46320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46320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46320</v>
      </c>
      <c r="F182" t="inlineStr">
        <is>
          <t>VÄRMLANDS LÄN</t>
        </is>
      </c>
      <c r="G182" t="inlineStr">
        <is>
          <t>HAGFORS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46320</v>
      </c>
      <c r="F183" t="inlineStr">
        <is>
          <t>VÄRMLANDS LÄN</t>
        </is>
      </c>
      <c r="G183" t="inlineStr">
        <is>
          <t>HAGFORS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45927</v>
      </c>
      <c r="E184" s="1" t="n">
        <v>46320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46320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24625-2026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46171</v>
      </c>
      <c r="E186" s="1" t="n">
        <v>46320</v>
      </c>
      <c r="F186" t="inlineStr">
        <is>
          <t>VÄRMLANDS LÄN</t>
        </is>
      </c>
      <c r="G186" t="inlineStr">
        <is>
          <t>HAGFORS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45927</v>
      </c>
      <c r="E187" s="1" t="n">
        <v>46320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24699-2026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46171</v>
      </c>
      <c r="E188" s="1" t="n">
        <v>46320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46320</v>
      </c>
      <c r="F189" t="inlineStr">
        <is>
          <t>VÄRMLANDS LÄN</t>
        </is>
      </c>
      <c r="G189" t="inlineStr">
        <is>
          <t>HAGFORS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45434</v>
      </c>
      <c r="E190" s="1" t="n">
        <v>46320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45928</v>
      </c>
      <c r="E191" s="1" t="n">
        <v>46320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46320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46320</v>
      </c>
      <c r="F193" t="inlineStr">
        <is>
          <t>VÄRMLANDS LÄN</t>
        </is>
      </c>
      <c r="G193" t="inlineStr">
        <is>
          <t>HAGFORS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46320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24761-2026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46171</v>
      </c>
      <c r="E195" s="1" t="n">
        <v>46320</v>
      </c>
      <c r="F195" t="inlineStr">
        <is>
          <t>VÄRMLANDS LÄN</t>
        </is>
      </c>
      <c r="G195" t="inlineStr">
        <is>
          <t>HAGFORS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46320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24628-2026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46171</v>
      </c>
      <c r="E197" s="1" t="n">
        <v>46320</v>
      </c>
      <c r="F197" t="inlineStr">
        <is>
          <t>VÄRMLANDS LÄN</t>
        </is>
      </c>
      <c r="G197" t="inlineStr">
        <is>
          <t>HAGFORS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24626-2026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46171</v>
      </c>
      <c r="E198" s="1" t="n">
        <v>46320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24677-2026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46171</v>
      </c>
      <c r="E199" s="1" t="n">
        <v>46320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45933</v>
      </c>
      <c r="E200" s="1" t="n">
        <v>46320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46320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48108-2025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45933</v>
      </c>
      <c r="E202" s="1" t="n">
        <v>46320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46320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46320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45425</v>
      </c>
      <c r="E205" s="1" t="n">
        <v>46320</v>
      </c>
      <c r="F205" t="inlineStr">
        <is>
          <t>VÄRMLANDS LÄN</t>
        </is>
      </c>
      <c r="G205" t="inlineStr">
        <is>
          <t>HAGFORS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46320</v>
      </c>
      <c r="F206" t="inlineStr">
        <is>
          <t>VÄRMLANDS LÄN</t>
        </is>
      </c>
      <c r="G206" t="inlineStr">
        <is>
          <t>HAGFORS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46320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46320</v>
      </c>
      <c r="F208" t="inlineStr">
        <is>
          <t>VÄRMLANDS LÄN</t>
        </is>
      </c>
      <c r="G208" t="inlineStr">
        <is>
          <t>HAGFORS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46320</v>
      </c>
      <c r="F209" t="inlineStr">
        <is>
          <t>VÄRMLANDS LÄN</t>
        </is>
      </c>
      <c r="G209" t="inlineStr">
        <is>
          <t>HAGFORS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46320</v>
      </c>
      <c r="F210" t="inlineStr">
        <is>
          <t>VÄRMLANDS LÄN</t>
        </is>
      </c>
      <c r="G210" t="inlineStr">
        <is>
          <t>HAGFORS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45036</v>
      </c>
      <c r="E211" s="1" t="n">
        <v>46320</v>
      </c>
      <c r="F211" t="inlineStr">
        <is>
          <t>VÄRMLANDS LÄN</t>
        </is>
      </c>
      <c r="G211" t="inlineStr">
        <is>
          <t>HAGFORS</t>
        </is>
      </c>
      <c r="H211" t="inlineStr">
        <is>
          <t>Kommuner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46320</v>
      </c>
      <c r="F212" t="inlineStr">
        <is>
          <t>VÄRMLANDS LÄN</t>
        </is>
      </c>
      <c r="G212" t="inlineStr">
        <is>
          <t>HAGFORS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46320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46320</v>
      </c>
      <c r="F214" t="inlineStr">
        <is>
          <t>VÄRMLANDS LÄN</t>
        </is>
      </c>
      <c r="G214" t="inlineStr">
        <is>
          <t>HAGFORS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45941</v>
      </c>
      <c r="E215" s="1" t="n">
        <v>46320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46320</v>
      </c>
      <c r="F216" t="inlineStr">
        <is>
          <t>VÄRMLANDS LÄN</t>
        </is>
      </c>
      <c r="G216" t="inlineStr">
        <is>
          <t>HAGFORS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46320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46320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46320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46320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46320</v>
      </c>
      <c r="F221" t="inlineStr">
        <is>
          <t>VÄRMLANDS LÄN</t>
        </is>
      </c>
      <c r="G221" t="inlineStr">
        <is>
          <t>HAGFORS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46320</v>
      </c>
      <c r="F222" t="inlineStr">
        <is>
          <t>VÄRMLANDS LÄN</t>
        </is>
      </c>
      <c r="G222" t="inlineStr">
        <is>
          <t>HAGFORS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46320</v>
      </c>
      <c r="F223" t="inlineStr">
        <is>
          <t>VÄRMLANDS LÄN</t>
        </is>
      </c>
      <c r="G223" t="inlineStr">
        <is>
          <t>HAGFORS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46320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46320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46320</v>
      </c>
      <c r="F226" t="inlineStr">
        <is>
          <t>VÄRMLANDS LÄN</t>
        </is>
      </c>
      <c r="G226" t="inlineStr">
        <is>
          <t>HAGFORS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46320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46320</v>
      </c>
      <c r="F228" t="inlineStr">
        <is>
          <t>VÄRMLANDS LÄN</t>
        </is>
      </c>
      <c r="G228" t="inlineStr">
        <is>
          <t>HAGFORS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46320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46320</v>
      </c>
      <c r="F230" t="inlineStr">
        <is>
          <t>VÄRMLANDS LÄN</t>
        </is>
      </c>
      <c r="G230" t="inlineStr">
        <is>
          <t>HAGFORS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45527</v>
      </c>
      <c r="E231" s="1" t="n">
        <v>46320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46320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46320</v>
      </c>
      <c r="F233" t="inlineStr">
        <is>
          <t>VÄRMLANDS LÄN</t>
        </is>
      </c>
      <c r="G233" t="inlineStr">
        <is>
          <t>HAGFORS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46320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45057</v>
      </c>
      <c r="E235" s="1" t="n">
        <v>46320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45947</v>
      </c>
      <c r="E236" s="1" t="n">
        <v>46320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45510</v>
      </c>
      <c r="E237" s="1" t="n">
        <v>46320</v>
      </c>
      <c r="F237" t="inlineStr">
        <is>
          <t>VÄRMLANDS LÄN</t>
        </is>
      </c>
      <c r="G237" t="inlineStr">
        <is>
          <t>HAGFORS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46320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53192-2022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44876</v>
      </c>
      <c r="E239" s="1" t="n">
        <v>46320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45949</v>
      </c>
      <c r="E240" s="1" t="n">
        <v>46320</v>
      </c>
      <c r="F240" t="inlineStr">
        <is>
          <t>VÄRMLANDS LÄN</t>
        </is>
      </c>
      <c r="G240" t="inlineStr">
        <is>
          <t>HAGFORS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46320</v>
      </c>
      <c r="F241" t="inlineStr">
        <is>
          <t>VÄRMLANDS LÄN</t>
        </is>
      </c>
      <c r="G241" t="inlineStr">
        <is>
          <t>HAGFORS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44834</v>
      </c>
      <c r="E242" s="1" t="n">
        <v>46320</v>
      </c>
      <c r="F242" t="inlineStr">
        <is>
          <t>VÄRMLANDS LÄN</t>
        </is>
      </c>
      <c r="G242" t="inlineStr">
        <is>
          <t>HAGFORS</t>
        </is>
      </c>
      <c r="H242" t="inlineStr">
        <is>
          <t>Kyrkan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46320</v>
      </c>
      <c r="F243" t="inlineStr">
        <is>
          <t>VÄRMLANDS LÄN</t>
        </is>
      </c>
      <c r="G243" t="inlineStr">
        <is>
          <t>HAGFORS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46320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46320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26012-2026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46320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52479-2025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45954</v>
      </c>
      <c r="E247" s="1" t="n">
        <v>46320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46320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46320</v>
      </c>
      <c r="F249" t="inlineStr">
        <is>
          <t>VÄRMLANDS LÄN</t>
        </is>
      </c>
      <c r="G249" t="inlineStr">
        <is>
          <t>HAGFORS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46320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46182</v>
      </c>
      <c r="E251" s="1" t="n">
        <v>46320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46320</v>
      </c>
      <c r="F252" t="inlineStr">
        <is>
          <t>VÄRMLANDS LÄN</t>
        </is>
      </c>
      <c r="G252" t="inlineStr">
        <is>
          <t>HAGFORS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46320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46320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45308</v>
      </c>
      <c r="E255" s="1" t="n">
        <v>46320</v>
      </c>
      <c r="F255" t="inlineStr">
        <is>
          <t>VÄRMLANDS LÄN</t>
        </is>
      </c>
      <c r="G255" t="inlineStr">
        <is>
          <t>HAGFORS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36013-2023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45149</v>
      </c>
      <c r="E256" s="1" t="n">
        <v>46320</v>
      </c>
      <c r="F256" t="inlineStr">
        <is>
          <t>VÄRMLANDS LÄN</t>
        </is>
      </c>
      <c r="G256" t="inlineStr">
        <is>
          <t>HAGFORS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46320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46320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46320</v>
      </c>
      <c r="F259" t="inlineStr">
        <is>
          <t>VÄRMLANDS LÄN</t>
        </is>
      </c>
      <c r="G259" t="inlineStr">
        <is>
          <t>HAGFORS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46320</v>
      </c>
      <c r="F260" t="inlineStr">
        <is>
          <t>VÄRMLANDS LÄN</t>
        </is>
      </c>
      <c r="G260" t="inlineStr">
        <is>
          <t>HAGFORS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26740-2026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46320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46320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46320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20.5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46320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53620-2025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46320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46320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46320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46320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46320</v>
      </c>
      <c r="F269" t="inlineStr">
        <is>
          <t>VÄRMLANDS LÄN</t>
        </is>
      </c>
      <c r="G269" t="inlineStr">
        <is>
          <t>HAGFORS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46320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17.2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46320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54001-2025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46320</v>
      </c>
      <c r="F272" t="inlineStr">
        <is>
          <t>VÄRMLANDS LÄN</t>
        </is>
      </c>
      <c r="G272" t="inlineStr">
        <is>
          <t>HAGFORS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46320</v>
      </c>
      <c r="F273" t="inlineStr">
        <is>
          <t>VÄRMLANDS LÄN</t>
        </is>
      </c>
      <c r="G273" t="inlineStr">
        <is>
          <t>HAGFORS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46320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46320</v>
      </c>
      <c r="F275" t="inlineStr">
        <is>
          <t>VÄRMLANDS LÄN</t>
        </is>
      </c>
      <c r="G275" t="inlineStr">
        <is>
          <t>HAGFORS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46191</v>
      </c>
      <c r="E276" s="1" t="n">
        <v>46320</v>
      </c>
      <c r="F276" t="inlineStr">
        <is>
          <t>VÄRMLANDS LÄN</t>
        </is>
      </c>
      <c r="G276" t="inlineStr">
        <is>
          <t>HAGFORS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46320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45699</v>
      </c>
      <c r="E278" s="1" t="n">
        <v>46320</v>
      </c>
      <c r="F278" t="inlineStr">
        <is>
          <t>VÄRMLANDS LÄN</t>
        </is>
      </c>
      <c r="G278" t="inlineStr">
        <is>
          <t>HAGFORS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46320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46191</v>
      </c>
      <c r="E280" s="1" t="n">
        <v>46320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45226</v>
      </c>
      <c r="E281" s="1" t="n">
        <v>46320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55190-2025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45968</v>
      </c>
      <c r="E282" s="1" t="n">
        <v>46320</v>
      </c>
      <c r="F282" t="inlineStr">
        <is>
          <t>VÄRMLANDS LÄN</t>
        </is>
      </c>
      <c r="G282" t="inlineStr">
        <is>
          <t>HAGFORS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45328</v>
      </c>
      <c r="E283" s="1" t="n">
        <v>46320</v>
      </c>
      <c r="F283" t="inlineStr">
        <is>
          <t>VÄRMLANDS LÄN</t>
        </is>
      </c>
      <c r="G283" t="inlineStr">
        <is>
          <t>HAGFORS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46320</v>
      </c>
      <c r="F284" t="inlineStr">
        <is>
          <t>VÄRMLANDS LÄN</t>
        </is>
      </c>
      <c r="G284" t="inlineStr">
        <is>
          <t>HAGFORS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46320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46320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46320</v>
      </c>
      <c r="F287" t="inlineStr">
        <is>
          <t>VÄRMLANDS LÄN</t>
        </is>
      </c>
      <c r="G287" t="inlineStr">
        <is>
          <t>HAGFORS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46320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46320</v>
      </c>
      <c r="F289" t="inlineStr">
        <is>
          <t>VÄRMLANDS LÄN</t>
        </is>
      </c>
      <c r="G289" t="inlineStr">
        <is>
          <t>HAGFORS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46320</v>
      </c>
      <c r="F290" t="inlineStr">
        <is>
          <t>VÄRMLANDS LÄN</t>
        </is>
      </c>
      <c r="G290" t="inlineStr">
        <is>
          <t>HAGFORS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46320</v>
      </c>
      <c r="F291" t="inlineStr">
        <is>
          <t>VÄRMLANDS LÄN</t>
        </is>
      </c>
      <c r="G291" t="inlineStr">
        <is>
          <t>HAGFORS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28788-2026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46320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46320</v>
      </c>
      <c r="F293" t="inlineStr">
        <is>
          <t>VÄRMLANDS LÄN</t>
        </is>
      </c>
      <c r="G293" t="inlineStr">
        <is>
          <t>HAGFORS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46320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46320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56468-2025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45975</v>
      </c>
      <c r="E296" s="1" t="n">
        <v>46320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46320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46320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46320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45518</v>
      </c>
      <c r="E300" s="1" t="n">
        <v>46320</v>
      </c>
      <c r="F300" t="inlineStr">
        <is>
          <t>VÄRMLANDS LÄN</t>
        </is>
      </c>
      <c r="G300" t="inlineStr">
        <is>
          <t>HAGFORS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46320</v>
      </c>
      <c r="F301" t="inlineStr">
        <is>
          <t>VÄRMLANDS LÄN</t>
        </is>
      </c>
      <c r="G301" t="inlineStr">
        <is>
          <t>HAGFORS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46320</v>
      </c>
      <c r="F302" t="inlineStr">
        <is>
          <t>VÄRMLANDS LÄN</t>
        </is>
      </c>
      <c r="G302" t="inlineStr">
        <is>
          <t>HAGFORS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46200</v>
      </c>
      <c r="E303" s="1" t="n">
        <v>46320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46320</v>
      </c>
      <c r="F304" t="inlineStr">
        <is>
          <t>VÄRMLANDS LÄN</t>
        </is>
      </c>
      <c r="G304" t="inlineStr">
        <is>
          <t>HAGFORS</t>
        </is>
      </c>
      <c r="H304" t="inlineStr">
        <is>
          <t>Kyrkan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46200</v>
      </c>
      <c r="E305" s="1" t="n">
        <v>46320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46320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46320</v>
      </c>
      <c r="F307" t="inlineStr">
        <is>
          <t>VÄRMLANDS LÄN</t>
        </is>
      </c>
      <c r="G307" t="inlineStr">
        <is>
          <t>HAGFORS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46320</v>
      </c>
      <c r="F308" t="inlineStr">
        <is>
          <t>VÄRMLANDS LÄN</t>
        </is>
      </c>
      <c r="G308" t="inlineStr">
        <is>
          <t>HAGFORS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46320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46203</v>
      </c>
      <c r="E310" s="1" t="n">
        <v>46320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46320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46320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29400-2026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46203</v>
      </c>
      <c r="E313" s="1" t="n">
        <v>46320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27855-2026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46191</v>
      </c>
      <c r="E314" s="1" t="n">
        <v>46320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46203</v>
      </c>
      <c r="E315" s="1" t="n">
        <v>46320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9.6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46320</v>
      </c>
      <c r="F316" t="inlineStr">
        <is>
          <t>VÄRMLANDS LÄN</t>
        </is>
      </c>
      <c r="G316" t="inlineStr">
        <is>
          <t>HAGFORS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46320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46320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45533</v>
      </c>
      <c r="E319" s="1" t="n">
        <v>46320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46320</v>
      </c>
      <c r="F320" t="inlineStr">
        <is>
          <t>VÄRMLANDS LÄN</t>
        </is>
      </c>
      <c r="G320" t="inlineStr">
        <is>
          <t>HAGFORS</t>
        </is>
      </c>
      <c r="H320" t="inlineStr">
        <is>
          <t>Kyrkan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46320</v>
      </c>
      <c r="F321" t="inlineStr">
        <is>
          <t>VÄRMLANDS LÄN</t>
        </is>
      </c>
      <c r="G321" t="inlineStr">
        <is>
          <t>HAGFORS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46209</v>
      </c>
      <c r="E322" s="1" t="n">
        <v>46320</v>
      </c>
      <c r="F322" t="inlineStr">
        <is>
          <t>VÄRMLANDS LÄN</t>
        </is>
      </c>
      <c r="G322" t="inlineStr">
        <is>
          <t>HAGFORS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59047-2025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45988</v>
      </c>
      <c r="E323" s="1" t="n">
        <v>46320</v>
      </c>
      <c r="F323" t="inlineStr">
        <is>
          <t>VÄRMLANDS LÄN</t>
        </is>
      </c>
      <c r="G323" t="inlineStr">
        <is>
          <t>HAGFORS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46320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46320</v>
      </c>
      <c r="F325" t="inlineStr">
        <is>
          <t>VÄRMLANDS LÄN</t>
        </is>
      </c>
      <c r="G325" t="inlineStr">
        <is>
          <t>HAGFORS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35775-2024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45532</v>
      </c>
      <c r="E326" s="1" t="n">
        <v>46320</v>
      </c>
      <c r="F326" t="inlineStr">
        <is>
          <t>VÄRMLANDS LÄN</t>
        </is>
      </c>
      <c r="G326" t="inlineStr">
        <is>
          <t>HAGFORS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45575</v>
      </c>
      <c r="E327" s="1" t="n">
        <v>46320</v>
      </c>
      <c r="F327" t="inlineStr">
        <is>
          <t>VÄRMLANDS LÄN</t>
        </is>
      </c>
      <c r="G327" t="inlineStr">
        <is>
          <t>HAGFORS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46320</v>
      </c>
      <c r="F328" t="inlineStr">
        <is>
          <t>VÄRMLANDS LÄN</t>
        </is>
      </c>
      <c r="G328" t="inlineStr">
        <is>
          <t>HAGFORS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46205</v>
      </c>
      <c r="E329" s="1" t="n">
        <v>46320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46320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46320</v>
      </c>
      <c r="F331" t="inlineStr">
        <is>
          <t>VÄRMLANDS LÄN</t>
        </is>
      </c>
      <c r="G331" t="inlineStr">
        <is>
          <t>HAGFORS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46211</v>
      </c>
      <c r="E332" s="1" t="n">
        <v>46320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46320</v>
      </c>
      <c r="F333" t="inlineStr">
        <is>
          <t>VÄRMLANDS LÄN</t>
        </is>
      </c>
      <c r="G333" t="inlineStr">
        <is>
          <t>HAGFORS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46320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56165-2024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45624</v>
      </c>
      <c r="E335" s="1" t="n">
        <v>46320</v>
      </c>
      <c r="F335" t="inlineStr">
        <is>
          <t>VÄRMLANDS LÄN</t>
        </is>
      </c>
      <c r="G335" t="inlineStr">
        <is>
          <t>HAGFORS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46320</v>
      </c>
      <c r="F336" t="inlineStr">
        <is>
          <t>VÄRMLANDS LÄN</t>
        </is>
      </c>
      <c r="G336" t="inlineStr">
        <is>
          <t>HAGFORS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45684</v>
      </c>
      <c r="E337" s="1" t="n">
        <v>46320</v>
      </c>
      <c r="F337" t="inlineStr">
        <is>
          <t>VÄRMLANDS LÄN</t>
        </is>
      </c>
      <c r="G337" t="inlineStr">
        <is>
          <t>HAGFORS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45258</v>
      </c>
      <c r="E338" s="1" t="n">
        <v>46320</v>
      </c>
      <c r="F338" t="inlineStr">
        <is>
          <t>VÄRMLANDS LÄN</t>
        </is>
      </c>
      <c r="G338" t="inlineStr">
        <is>
          <t>HAGFORS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46213</v>
      </c>
      <c r="E339" s="1" t="n">
        <v>46320</v>
      </c>
      <c r="F339" t="inlineStr">
        <is>
          <t>VÄRMLANDS LÄN</t>
        </is>
      </c>
      <c r="G339" t="inlineStr">
        <is>
          <t>HAGFORS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46320</v>
      </c>
      <c r="F340" t="inlineStr">
        <is>
          <t>VÄRMLANDS LÄN</t>
        </is>
      </c>
      <c r="G340" t="inlineStr">
        <is>
          <t>HAGFORS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46320</v>
      </c>
      <c r="F341" t="inlineStr">
        <is>
          <t>VÄRMLANDS LÄN</t>
        </is>
      </c>
      <c r="G341" t="inlineStr">
        <is>
          <t>HAGFORS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19894-2024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45433</v>
      </c>
      <c r="E342" s="1" t="n">
        <v>46320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45335</v>
      </c>
      <c r="E343" s="1" t="n">
        <v>46320</v>
      </c>
      <c r="F343" t="inlineStr">
        <is>
          <t>VÄRMLANDS LÄN</t>
        </is>
      </c>
      <c r="G343" t="inlineStr">
        <is>
          <t>HAGFORS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45323</v>
      </c>
      <c r="E344" s="1" t="n">
        <v>46320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46320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60648-2025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46320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46320</v>
      </c>
      <c r="F347" t="inlineStr">
        <is>
          <t>VÄRMLANDS LÄN</t>
        </is>
      </c>
      <c r="G347" t="inlineStr">
        <is>
          <t>HAGFORS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45534</v>
      </c>
      <c r="E348" s="1" t="n">
        <v>46320</v>
      </c>
      <c r="F348" t="inlineStr">
        <is>
          <t>VÄRMLANDS LÄN</t>
        </is>
      </c>
      <c r="G348" t="inlineStr">
        <is>
          <t>HAGFORS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45562</v>
      </c>
      <c r="E349" s="1" t="n">
        <v>46320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42178-2024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45562</v>
      </c>
      <c r="E350" s="1" t="n">
        <v>46320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42235-2024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46320</v>
      </c>
      <c r="F351" t="inlineStr">
        <is>
          <t>VÄRMLANDS LÄN</t>
        </is>
      </c>
      <c r="G351" t="inlineStr">
        <is>
          <t>HAGFORS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46002</v>
      </c>
      <c r="E352" s="1" t="n">
        <v>46320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45435</v>
      </c>
      <c r="E353" s="1" t="n">
        <v>46320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45435</v>
      </c>
      <c r="E354" s="1" t="n">
        <v>46320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45777</v>
      </c>
      <c r="E355" s="1" t="n">
        <v>46320</v>
      </c>
      <c r="F355" t="inlineStr">
        <is>
          <t>VÄRMLANDS LÄN</t>
        </is>
      </c>
      <c r="G355" t="inlineStr">
        <is>
          <t>HAGFORS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61718-2025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46002</v>
      </c>
      <c r="E356" s="1" t="n">
        <v>46320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46225</v>
      </c>
      <c r="E357" s="1" t="n">
        <v>46320</v>
      </c>
      <c r="F357" t="inlineStr">
        <is>
          <t>VÄRMLANDS LÄN</t>
        </is>
      </c>
      <c r="G357" t="inlineStr">
        <is>
          <t>HAGFORS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61910-2025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46003</v>
      </c>
      <c r="E358" s="1" t="n">
        <v>46320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46225</v>
      </c>
      <c r="E359" s="1" t="n">
        <v>46320</v>
      </c>
      <c r="F359" t="inlineStr">
        <is>
          <t>VÄRMLANDS LÄN</t>
        </is>
      </c>
      <c r="G359" t="inlineStr">
        <is>
          <t>HAGFORS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46006</v>
      </c>
      <c r="E360" s="1" t="n">
        <v>46320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46320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46320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62168-2025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46320</v>
      </c>
      <c r="F363" t="inlineStr">
        <is>
          <t>VÄRMLANDS LÄN</t>
        </is>
      </c>
      <c r="G363" t="inlineStr">
        <is>
          <t>HAGFORS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46320</v>
      </c>
      <c r="F364" t="inlineStr">
        <is>
          <t>VÄRMLANDS LÄN</t>
        </is>
      </c>
      <c r="G364" t="inlineStr">
        <is>
          <t>HAGFORS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46226</v>
      </c>
      <c r="E365" s="1" t="n">
        <v>46320</v>
      </c>
      <c r="F365" t="inlineStr">
        <is>
          <t>VÄRMLANDS LÄN</t>
        </is>
      </c>
      <c r="G365" t="inlineStr">
        <is>
          <t>HAGFORS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45460</v>
      </c>
      <c r="E366" s="1" t="n">
        <v>46320</v>
      </c>
      <c r="F366" t="inlineStr">
        <is>
          <t>VÄRMLANDS LÄN</t>
        </is>
      </c>
      <c r="G366" t="inlineStr">
        <is>
          <t>HAGFORS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62240-2025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46320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61843-2025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46003</v>
      </c>
      <c r="E368" s="1" t="n">
        <v>46320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46320</v>
      </c>
      <c r="F369" t="inlineStr">
        <is>
          <t>VÄRMLANDS LÄN</t>
        </is>
      </c>
      <c r="G369" t="inlineStr">
        <is>
          <t>HAGFORS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45169</v>
      </c>
      <c r="E370" s="1" t="n">
        <v>46320</v>
      </c>
      <c r="F370" t="inlineStr">
        <is>
          <t>VÄRMLANDS LÄN</t>
        </is>
      </c>
      <c r="G370" t="inlineStr">
        <is>
          <t>HAGFORS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46320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45783</v>
      </c>
      <c r="E372" s="1" t="n">
        <v>46320</v>
      </c>
      <c r="F372" t="inlineStr">
        <is>
          <t>VÄRMLANDS LÄN</t>
        </is>
      </c>
      <c r="G372" t="inlineStr">
        <is>
          <t>HAGFORS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46007</v>
      </c>
      <c r="E373" s="1" t="n">
        <v>46320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46233</v>
      </c>
      <c r="E374" s="1" t="n">
        <v>46320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46320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46320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46320</v>
      </c>
      <c r="F377" t="inlineStr">
        <is>
          <t>VÄRMLANDS LÄN</t>
        </is>
      </c>
      <c r="G377" t="inlineStr">
        <is>
          <t>HAGFORS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63301-2025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46010</v>
      </c>
      <c r="E378" s="1" t="n">
        <v>46320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46320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46320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46320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45786</v>
      </c>
      <c r="E382" s="1" t="n">
        <v>46320</v>
      </c>
      <c r="F382" t="inlineStr">
        <is>
          <t>VÄRMLANDS LÄN</t>
        </is>
      </c>
      <c r="G382" t="inlineStr">
        <is>
          <t>HAGFORS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46280</v>
      </c>
      <c r="E383" s="1" t="n">
        <v>46320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46320</v>
      </c>
      <c r="F384" t="inlineStr">
        <is>
          <t>VÄRMLANDS LÄN</t>
        </is>
      </c>
      <c r="G384" t="inlineStr">
        <is>
          <t>HAGFORS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17833-2022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44683</v>
      </c>
      <c r="E385" s="1" t="n">
        <v>46320</v>
      </c>
      <c r="F385" t="inlineStr">
        <is>
          <t>VÄRMLANDS LÄN</t>
        </is>
      </c>
      <c r="G385" t="inlineStr">
        <is>
          <t>HAGFORS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46320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46280</v>
      </c>
      <c r="E387" s="1" t="n">
        <v>46320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46320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46233</v>
      </c>
      <c r="E389" s="1" t="n">
        <v>46320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46280</v>
      </c>
      <c r="E390" s="1" t="n">
        <v>46320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46279</v>
      </c>
      <c r="E391" s="1" t="n">
        <v>46320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46280</v>
      </c>
      <c r="E392" s="1" t="n">
        <v>46320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63831-2025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46020</v>
      </c>
      <c r="E393" s="1" t="n">
        <v>46320</v>
      </c>
      <c r="F393" t="inlineStr">
        <is>
          <t>VÄRMLANDS LÄN</t>
        </is>
      </c>
      <c r="G393" t="inlineStr">
        <is>
          <t>HAGFORS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46018</v>
      </c>
      <c r="E394" s="1" t="n">
        <v>46320</v>
      </c>
      <c r="F394" t="inlineStr">
        <is>
          <t>VÄRMLANDS LÄN</t>
        </is>
      </c>
      <c r="G394" t="inlineStr">
        <is>
          <t>HAGFORS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46018</v>
      </c>
      <c r="E395" s="1" t="n">
        <v>46320</v>
      </c>
      <c r="F395" t="inlineStr">
        <is>
          <t>VÄRMLANDS LÄN</t>
        </is>
      </c>
      <c r="G395" t="inlineStr">
        <is>
          <t>HAGFORS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63875-2025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46020</v>
      </c>
      <c r="E396" s="1" t="n">
        <v>46320</v>
      </c>
      <c r="F396" t="inlineStr">
        <is>
          <t>VÄRMLANDS LÄN</t>
        </is>
      </c>
      <c r="G396" t="inlineStr">
        <is>
          <t>HAGFORS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46320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46020</v>
      </c>
      <c r="E398" s="1" t="n">
        <v>46320</v>
      </c>
      <c r="F398" t="inlineStr">
        <is>
          <t>VÄRMLANDS LÄN</t>
        </is>
      </c>
      <c r="G398" t="inlineStr">
        <is>
          <t>HAGFORS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46320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46320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46320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19.3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32535-2026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46239</v>
      </c>
      <c r="E402" s="1" t="n">
        <v>46320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46320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46320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46320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45790</v>
      </c>
      <c r="E406" s="1" t="n">
        <v>46320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48807-2025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45937</v>
      </c>
      <c r="E407" s="1" t="n">
        <v>46320</v>
      </c>
      <c r="F407" t="inlineStr">
        <is>
          <t>VÄRMLANDS LÄN</t>
        </is>
      </c>
      <c r="G407" t="inlineStr">
        <is>
          <t>HAGFORS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46282</v>
      </c>
      <c r="E408" s="1" t="n">
        <v>46320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45791</v>
      </c>
      <c r="E409" s="1" t="n">
        <v>46320</v>
      </c>
      <c r="F409" t="inlineStr">
        <is>
          <t>VÄRMLANDS LÄN</t>
        </is>
      </c>
      <c r="G409" t="inlineStr">
        <is>
          <t>HAGFORS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46320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975-2026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46030</v>
      </c>
      <c r="E411" s="1" t="n">
        <v>46320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46282</v>
      </c>
      <c r="E412" s="1" t="n">
        <v>46320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46320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23556-2025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45792</v>
      </c>
      <c r="E414" s="1" t="n">
        <v>46320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46283</v>
      </c>
      <c r="E415" s="1" t="n">
        <v>46320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46283</v>
      </c>
      <c r="E416" s="1" t="n">
        <v>46320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46320</v>
      </c>
      <c r="F417" t="inlineStr">
        <is>
          <t>VÄRMLANDS LÄN</t>
        </is>
      </c>
      <c r="G417" t="inlineStr">
        <is>
          <t>HAGFORS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46320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46034</v>
      </c>
      <c r="E419" s="1" t="n">
        <v>46320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46320</v>
      </c>
      <c r="F420" t="inlineStr">
        <is>
          <t>VÄRMLANDS LÄN</t>
        </is>
      </c>
      <c r="G420" t="inlineStr">
        <is>
          <t>HAGFORS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46320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46320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54008-2024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46320</v>
      </c>
      <c r="F423" t="inlineStr">
        <is>
          <t>VÄRMLANDS LÄN</t>
        </is>
      </c>
      <c r="G423" t="inlineStr">
        <is>
          <t>HAGFORS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45623</v>
      </c>
      <c r="E424" s="1" t="n">
        <v>46320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46320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46320</v>
      </c>
      <c r="F426" t="inlineStr">
        <is>
          <t>VÄRMLANDS LÄN</t>
        </is>
      </c>
      <c r="G426" t="inlineStr">
        <is>
          <t>HAGFORS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45793</v>
      </c>
      <c r="E427" s="1" t="n">
        <v>46320</v>
      </c>
      <c r="F427" t="inlineStr">
        <is>
          <t>VÄRMLANDS LÄN</t>
        </is>
      </c>
      <c r="G427" t="inlineStr">
        <is>
          <t>HAGFORS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46320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46241</v>
      </c>
      <c r="E429" s="1" t="n">
        <v>46320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15643-2024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45404</v>
      </c>
      <c r="E430" s="1" t="n">
        <v>46320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45793</v>
      </c>
      <c r="E431" s="1" t="n">
        <v>46320</v>
      </c>
      <c r="F431" t="inlineStr">
        <is>
          <t>VÄRMLANDS LÄN</t>
        </is>
      </c>
      <c r="G431" t="inlineStr">
        <is>
          <t>HAGFORS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46245</v>
      </c>
      <c r="E432" s="1" t="n">
        <v>46320</v>
      </c>
      <c r="F432" t="inlineStr">
        <is>
          <t>VÄRMLANDS LÄN</t>
        </is>
      </c>
      <c r="G432" t="inlineStr">
        <is>
          <t>HAGFORS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24435-2025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45797</v>
      </c>
      <c r="E433" s="1" t="n">
        <v>46320</v>
      </c>
      <c r="F433" t="inlineStr">
        <is>
          <t>VÄRMLANDS LÄN</t>
        </is>
      </c>
      <c r="G433" t="inlineStr">
        <is>
          <t>HAGFORS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46287</v>
      </c>
      <c r="E434" s="1" t="n">
        <v>46320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46320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46320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24434-2025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45797</v>
      </c>
      <c r="E437" s="1" t="n">
        <v>46320</v>
      </c>
      <c r="F437" t="inlineStr">
        <is>
          <t>VÄRMLANDS LÄN</t>
        </is>
      </c>
      <c r="G437" t="inlineStr">
        <is>
          <t>HAGFORS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13524-2025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46320</v>
      </c>
      <c r="F438" t="inlineStr">
        <is>
          <t>VÄRMLANDS LÄN</t>
        </is>
      </c>
      <c r="G438" t="inlineStr">
        <is>
          <t>HAGFORS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46288</v>
      </c>
      <c r="E439" s="1" t="n">
        <v>46320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24438-2025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45797</v>
      </c>
      <c r="E440" s="1" t="n">
        <v>46320</v>
      </c>
      <c r="F440" t="inlineStr">
        <is>
          <t>VÄRMLANDS LÄN</t>
        </is>
      </c>
      <c r="G440" t="inlineStr">
        <is>
          <t>HAGFORS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46320</v>
      </c>
      <c r="F441" t="inlineStr">
        <is>
          <t>VÄRMLANDS LÄN</t>
        </is>
      </c>
      <c r="G441" t="inlineStr">
        <is>
          <t>HAGFORS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46320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39382-2026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46288</v>
      </c>
      <c r="E443" s="1" t="n">
        <v>46320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39347-2026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46320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46320</v>
      </c>
      <c r="F445" t="inlineStr">
        <is>
          <t>VÄRMLANDS LÄN</t>
        </is>
      </c>
      <c r="G445" t="inlineStr">
        <is>
          <t>HAGFORS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39070-2026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46287</v>
      </c>
      <c r="E446" s="1" t="n">
        <v>46320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46287</v>
      </c>
      <c r="E447" s="1" t="n">
        <v>46320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45799</v>
      </c>
      <c r="E448" s="1" t="n">
        <v>46320</v>
      </c>
      <c r="F448" t="inlineStr">
        <is>
          <t>VÄRMLANDS LÄN</t>
        </is>
      </c>
      <c r="G448" t="inlineStr">
        <is>
          <t>HAGFORS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45799</v>
      </c>
      <c r="E449" s="1" t="n">
        <v>46320</v>
      </c>
      <c r="F449" t="inlineStr">
        <is>
          <t>VÄRMLANDS LÄN</t>
        </is>
      </c>
      <c r="G449" t="inlineStr">
        <is>
          <t>HAGFORS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45799</v>
      </c>
      <c r="E450" s="1" t="n">
        <v>46320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46320</v>
      </c>
      <c r="F451" t="inlineStr">
        <is>
          <t>VÄRMLANDS LÄN</t>
        </is>
      </c>
      <c r="G451" t="inlineStr">
        <is>
          <t>HAGFORS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46320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46320</v>
      </c>
      <c r="F453" t="inlineStr">
        <is>
          <t>VÄRMLANDS LÄN</t>
        </is>
      </c>
      <c r="G453" t="inlineStr">
        <is>
          <t>HAGFORS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46320</v>
      </c>
      <c r="F454" t="inlineStr">
        <is>
          <t>VÄRMLANDS LÄN</t>
        </is>
      </c>
      <c r="G454" t="inlineStr">
        <is>
          <t>HAGFORS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46320</v>
      </c>
      <c r="F455" t="inlineStr">
        <is>
          <t>VÄRMLANDS LÄN</t>
        </is>
      </c>
      <c r="G455" t="inlineStr">
        <is>
          <t>HAGFORS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46320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46320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46050</v>
      </c>
      <c r="E458" s="1" t="n">
        <v>46320</v>
      </c>
      <c r="F458" t="inlineStr">
        <is>
          <t>VÄRMLANDS LÄN</t>
        </is>
      </c>
      <c r="G458" t="inlineStr">
        <is>
          <t>HAGFORS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46320</v>
      </c>
      <c r="F459" t="inlineStr">
        <is>
          <t>VÄRMLANDS LÄN</t>
        </is>
      </c>
      <c r="G459" t="inlineStr">
        <is>
          <t>HAGFORS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46320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46290</v>
      </c>
      <c r="E461" s="1" t="n">
        <v>46320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46290</v>
      </c>
      <c r="E462" s="1" t="n">
        <v>46320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46289</v>
      </c>
      <c r="E463" s="1" t="n">
        <v>46320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38474-2024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45546</v>
      </c>
      <c r="E464" s="1" t="n">
        <v>46320</v>
      </c>
      <c r="F464" t="inlineStr">
        <is>
          <t>VÄRMLANDS LÄN</t>
        </is>
      </c>
      <c r="G464" t="inlineStr">
        <is>
          <t>HAGFORS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26463-2025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45807</v>
      </c>
      <c r="E465" s="1" t="n">
        <v>46320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46320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45608</v>
      </c>
      <c r="E467" s="1" t="n">
        <v>46320</v>
      </c>
      <c r="F467" t="inlineStr">
        <is>
          <t>VÄRMLANDS LÄN</t>
        </is>
      </c>
      <c r="G467" t="inlineStr">
        <is>
          <t>HAGFORS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46320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39577-2026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46289</v>
      </c>
      <c r="E469" s="1" t="n">
        <v>46320</v>
      </c>
      <c r="F469" t="inlineStr">
        <is>
          <t>VÄRMLANDS LÄN</t>
        </is>
      </c>
      <c r="G469" t="inlineStr">
        <is>
          <t>HAGFORS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26617-2025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45810</v>
      </c>
      <c r="E470" s="1" t="n">
        <v>46320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46290</v>
      </c>
      <c r="E471" s="1" t="n">
        <v>46320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39708-2026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46290</v>
      </c>
      <c r="E472" s="1" t="n">
        <v>46320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46290</v>
      </c>
      <c r="E473" s="1" t="n">
        <v>46320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46320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46294</v>
      </c>
      <c r="E475" s="1" t="n">
        <v>46320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45811</v>
      </c>
      <c r="E476" s="1" t="n">
        <v>46320</v>
      </c>
      <c r="F476" t="inlineStr">
        <is>
          <t>VÄRMLANDS LÄN</t>
        </is>
      </c>
      <c r="G476" t="inlineStr">
        <is>
          <t>HAGFORS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46320</v>
      </c>
      <c r="F477" t="inlineStr">
        <is>
          <t>VÄRMLANDS LÄN</t>
        </is>
      </c>
      <c r="G477" t="inlineStr">
        <is>
          <t>HAGFORS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40205-2026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46290</v>
      </c>
      <c r="E478" s="1" t="n">
        <v>46320</v>
      </c>
      <c r="F478" t="inlineStr">
        <is>
          <t>VÄRMLANDS LÄN</t>
        </is>
      </c>
      <c r="G478" t="inlineStr">
        <is>
          <t>HAGFORS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45811</v>
      </c>
      <c r="E479" s="1" t="n">
        <v>46320</v>
      </c>
      <c r="F479" t="inlineStr">
        <is>
          <t>VÄRMLANDS LÄN</t>
        </is>
      </c>
      <c r="G479" t="inlineStr">
        <is>
          <t>HAGFORS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26982-2025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46320</v>
      </c>
      <c r="F480" t="inlineStr">
        <is>
          <t>VÄRMLANDS LÄN</t>
        </is>
      </c>
      <c r="G480" t="inlineStr">
        <is>
          <t>HAGFORS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45812</v>
      </c>
      <c r="E481" s="1" t="n">
        <v>46320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46248</v>
      </c>
      <c r="E482" s="1" t="n">
        <v>46320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46294</v>
      </c>
      <c r="E483" s="1" t="n">
        <v>46320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46320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45811</v>
      </c>
      <c r="E485" s="1" t="n">
        <v>46320</v>
      </c>
      <c r="F485" t="inlineStr">
        <is>
          <t>VÄRMLANDS LÄN</t>
        </is>
      </c>
      <c r="G485" t="inlineStr">
        <is>
          <t>HAGFORS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40436-2026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46294</v>
      </c>
      <c r="E486" s="1" t="n">
        <v>46320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46293</v>
      </c>
      <c r="E487" s="1" t="n">
        <v>46320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45812</v>
      </c>
      <c r="E488" s="1" t="n">
        <v>46320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46293</v>
      </c>
      <c r="E489" s="1" t="n">
        <v>46320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45812</v>
      </c>
      <c r="E490" s="1" t="n">
        <v>46320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45812</v>
      </c>
      <c r="E491" s="1" t="n">
        <v>46320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40148-2026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46320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40259-2026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46294</v>
      </c>
      <c r="E493" s="1" t="n">
        <v>46320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40191-2026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46290</v>
      </c>
      <c r="E494" s="1" t="n">
        <v>46320</v>
      </c>
      <c r="F494" t="inlineStr">
        <is>
          <t>VÄRMLANDS LÄN</t>
        </is>
      </c>
      <c r="G494" t="inlineStr">
        <is>
          <t>HAGFORS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46248</v>
      </c>
      <c r="E495" s="1" t="n">
        <v>46320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6.5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46248</v>
      </c>
      <c r="E496" s="1" t="n">
        <v>46320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46320</v>
      </c>
      <c r="F497" t="inlineStr">
        <is>
          <t>VÄRMLANDS LÄN</t>
        </is>
      </c>
      <c r="G497" t="inlineStr">
        <is>
          <t>HAGFORS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40125-2026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46293</v>
      </c>
      <c r="E498" s="1" t="n">
        <v>46320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46293</v>
      </c>
      <c r="E499" s="1" t="n">
        <v>46320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46290</v>
      </c>
      <c r="E500" s="1" t="n">
        <v>46320</v>
      </c>
      <c r="F500" t="inlineStr">
        <is>
          <t>VÄRMLANDS LÄN</t>
        </is>
      </c>
      <c r="G500" t="inlineStr">
        <is>
          <t>HAGFORS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40206-2026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46293</v>
      </c>
      <c r="E501" s="1" t="n">
        <v>46320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46320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46320</v>
      </c>
      <c r="F503" t="inlineStr">
        <is>
          <t>VÄRMLANDS LÄN</t>
        </is>
      </c>
      <c r="G503" t="inlineStr">
        <is>
          <t>HAGFORS</t>
        </is>
      </c>
      <c r="H503" t="inlineStr">
        <is>
          <t>Kyrkan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40207-2026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46290</v>
      </c>
      <c r="E504" s="1" t="n">
        <v>46320</v>
      </c>
      <c r="F504" t="inlineStr">
        <is>
          <t>VÄRMLANDS LÄN</t>
        </is>
      </c>
      <c r="G504" t="inlineStr">
        <is>
          <t>HAGFORS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46320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46294</v>
      </c>
      <c r="E506" s="1" t="n">
        <v>46320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46290</v>
      </c>
      <c r="E507" s="1" t="n">
        <v>46320</v>
      </c>
      <c r="F507" t="inlineStr">
        <is>
          <t>VÄRMLANDS LÄN</t>
        </is>
      </c>
      <c r="G507" t="inlineStr">
        <is>
          <t>HAGFORS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46320</v>
      </c>
      <c r="F508" t="inlineStr">
        <is>
          <t>VÄRMLANDS LÄN</t>
        </is>
      </c>
      <c r="G508" t="inlineStr">
        <is>
          <t>HAGFORS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46320</v>
      </c>
      <c r="F509" t="inlineStr">
        <is>
          <t>VÄRMLANDS LÄN</t>
        </is>
      </c>
      <c r="G509" t="inlineStr">
        <is>
          <t>HAGFORS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45819</v>
      </c>
      <c r="E510" s="1" t="n">
        <v>46320</v>
      </c>
      <c r="F510" t="inlineStr">
        <is>
          <t>VÄRMLANDS LÄN</t>
        </is>
      </c>
      <c r="G510" t="inlineStr">
        <is>
          <t>HAGFORS</t>
        </is>
      </c>
      <c r="H510" t="inlineStr">
        <is>
          <t>Kyrkan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45821</v>
      </c>
      <c r="E511" s="1" t="n">
        <v>46320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45821</v>
      </c>
      <c r="E512" s="1" t="n">
        <v>46320</v>
      </c>
      <c r="F512" t="inlineStr">
        <is>
          <t>VÄRMLANDS LÄN</t>
        </is>
      </c>
      <c r="G512" t="inlineStr">
        <is>
          <t>HAGFORS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46320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46320</v>
      </c>
      <c r="F514" t="inlineStr">
        <is>
          <t>VÄRMLANDS LÄN</t>
        </is>
      </c>
      <c r="G514" t="inlineStr">
        <is>
          <t>HAGFORS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46295</v>
      </c>
      <c r="E515" s="1" t="n">
        <v>46320</v>
      </c>
      <c r="F515" t="inlineStr">
        <is>
          <t>VÄRMLANDS LÄN</t>
        </is>
      </c>
      <c r="G515" t="inlineStr">
        <is>
          <t>HAGFORS</t>
        </is>
      </c>
      <c r="H515" t="inlineStr">
        <is>
          <t>Kommuner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45826</v>
      </c>
      <c r="E516" s="1" t="n">
        <v>46320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29958-2025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45826</v>
      </c>
      <c r="E517" s="1" t="n">
        <v>46320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46295</v>
      </c>
      <c r="E518" s="1" t="n">
        <v>46320</v>
      </c>
      <c r="F518" t="inlineStr">
        <is>
          <t>VÄRMLANDS LÄN</t>
        </is>
      </c>
      <c r="G518" t="inlineStr">
        <is>
          <t>HAGFORS</t>
        </is>
      </c>
      <c r="H518" t="inlineStr">
        <is>
          <t>Kommuner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34014-2026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46252</v>
      </c>
      <c r="E519" s="1" t="n">
        <v>46320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46320</v>
      </c>
      <c r="F520" t="inlineStr">
        <is>
          <t>VÄRMLANDS LÄN</t>
        </is>
      </c>
      <c r="G520" t="inlineStr">
        <is>
          <t>HAGFORS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45831</v>
      </c>
      <c r="E521" s="1" t="n">
        <v>46320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46295</v>
      </c>
      <c r="E522" s="1" t="n">
        <v>46320</v>
      </c>
      <c r="F522" t="inlineStr">
        <is>
          <t>VÄRMLANDS LÄN</t>
        </is>
      </c>
      <c r="G522" t="inlineStr">
        <is>
          <t>HAGFORS</t>
        </is>
      </c>
      <c r="H522" t="inlineStr">
        <is>
          <t>Kommuner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46320</v>
      </c>
      <c r="F523" t="inlineStr">
        <is>
          <t>VÄRMLANDS LÄN</t>
        </is>
      </c>
      <c r="G523" t="inlineStr">
        <is>
          <t>HAGFORS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46320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46320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46320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41119-2026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46300</v>
      </c>
      <c r="E527" s="1" t="n">
        <v>46320</v>
      </c>
      <c r="F527" t="inlineStr">
        <is>
          <t>VÄRMLANDS LÄN</t>
        </is>
      </c>
      <c r="G527" t="inlineStr">
        <is>
          <t>HAGFORS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46320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12611-2026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46320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46320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41050-2026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46300</v>
      </c>
      <c r="E531" s="1" t="n">
        <v>46320</v>
      </c>
      <c r="F531" t="inlineStr">
        <is>
          <t>VÄRMLANDS LÄN</t>
        </is>
      </c>
      <c r="G531" t="inlineStr">
        <is>
          <t>HAGFORS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41057-2026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46300</v>
      </c>
      <c r="E532" s="1" t="n">
        <v>46320</v>
      </c>
      <c r="F532" t="inlineStr">
        <is>
          <t>VÄRMLANDS LÄN</t>
        </is>
      </c>
      <c r="G532" t="inlineStr">
        <is>
          <t>HAGFORS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46320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46320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13338-2026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46320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46320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46320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13466-2026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46320</v>
      </c>
      <c r="F538" t="inlineStr">
        <is>
          <t>VÄRMLANDS LÄN</t>
        </is>
      </c>
      <c r="G538" t="inlineStr">
        <is>
          <t>HAGFORS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58808-2022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46320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45841</v>
      </c>
      <c r="E540" s="1" t="n">
        <v>46320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33440-2025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45841</v>
      </c>
      <c r="E541" s="1" t="n">
        <v>46320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13926-2026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46098</v>
      </c>
      <c r="E542" s="1" t="n">
        <v>46320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46320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46320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46320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46320</v>
      </c>
      <c r="F546" t="inlineStr">
        <is>
          <t>VÄRMLANDS LÄN</t>
        </is>
      </c>
      <c r="G546" t="inlineStr">
        <is>
          <t>HAGFORS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14667-2026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46101</v>
      </c>
      <c r="E547" s="1" t="n">
        <v>46320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46320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46320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45841</v>
      </c>
      <c r="E550" s="1" t="n">
        <v>46320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34107-2025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45845</v>
      </c>
      <c r="E551" s="1" t="n">
        <v>46320</v>
      </c>
      <c r="F551" t="inlineStr">
        <is>
          <t>VÄRMLANDS LÄN</t>
        </is>
      </c>
      <c r="G551" t="inlineStr">
        <is>
          <t>HAGFORS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46320</v>
      </c>
      <c r="F552" t="inlineStr">
        <is>
          <t>VÄRMLANDS LÄN</t>
        </is>
      </c>
      <c r="G552" t="inlineStr">
        <is>
          <t>HAGFORS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45845</v>
      </c>
      <c r="E553" s="1" t="n">
        <v>46320</v>
      </c>
      <c r="F553" t="inlineStr">
        <is>
          <t>VÄRMLANDS LÄN</t>
        </is>
      </c>
      <c r="G553" t="inlineStr">
        <is>
          <t>HAGFORS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46104</v>
      </c>
      <c r="E554" s="1" t="n">
        <v>46320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46320</v>
      </c>
      <c r="F555" t="inlineStr">
        <is>
          <t>VÄRMLANDS LÄN</t>
        </is>
      </c>
      <c r="G555" t="inlineStr">
        <is>
          <t>HAGFORS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46320</v>
      </c>
      <c r="F556" t="inlineStr">
        <is>
          <t>VÄRMLANDS LÄN</t>
        </is>
      </c>
      <c r="G556" t="inlineStr">
        <is>
          <t>HAGFORS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45565</v>
      </c>
      <c r="E557" s="1" t="n">
        <v>46320</v>
      </c>
      <c r="F557" t="inlineStr">
        <is>
          <t>VÄRMLANDS LÄN</t>
        </is>
      </c>
      <c r="G557" t="inlineStr">
        <is>
          <t>HAGFORS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46105</v>
      </c>
      <c r="E558" s="1" t="n">
        <v>46320</v>
      </c>
      <c r="F558" t="inlineStr">
        <is>
          <t>VÄRMLANDS LÄN</t>
        </is>
      </c>
      <c r="G558" t="inlineStr">
        <is>
          <t>HAGFORS</t>
        </is>
      </c>
      <c r="H558" t="inlineStr">
        <is>
          <t>Kyrkan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46320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46290</v>
      </c>
      <c r="E560" s="1" t="n">
        <v>46320</v>
      </c>
      <c r="F560" t="inlineStr">
        <is>
          <t>VÄRMLANDS LÄN</t>
        </is>
      </c>
      <c r="G560" t="inlineStr">
        <is>
          <t>HAGFORS</t>
        </is>
      </c>
      <c r="I560" t="n">
        <v>14.3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41581-2026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46301</v>
      </c>
      <c r="E561" s="1" t="n">
        <v>46320</v>
      </c>
      <c r="F561" t="inlineStr">
        <is>
          <t>VÄRMLANDS LÄN</t>
        </is>
      </c>
      <c r="G561" t="inlineStr">
        <is>
          <t>HAGFORS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46320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46320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46320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46320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46320</v>
      </c>
      <c r="F566" t="inlineStr">
        <is>
          <t>VÄRMLANDS LÄN</t>
        </is>
      </c>
      <c r="G566" t="inlineStr">
        <is>
          <t>HAGFORS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46320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61169-2024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45645</v>
      </c>
      <c r="E568" s="1" t="n">
        <v>46320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35289-2025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45854</v>
      </c>
      <c r="E569" s="1" t="n">
        <v>46320</v>
      </c>
      <c r="F569" t="inlineStr">
        <is>
          <t>VÄRMLANDS LÄN</t>
        </is>
      </c>
      <c r="G569" t="inlineStr">
        <is>
          <t>HAGFORS</t>
        </is>
      </c>
      <c r="H569" t="inlineStr">
        <is>
          <t>Kyrkan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35312-2025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45854</v>
      </c>
      <c r="E570" s="1" t="n">
        <v>46320</v>
      </c>
      <c r="F570" t="inlineStr">
        <is>
          <t>VÄRMLANDS LÄN</t>
        </is>
      </c>
      <c r="G570" t="inlineStr">
        <is>
          <t>HAGFORS</t>
        </is>
      </c>
      <c r="H570" t="inlineStr">
        <is>
          <t>Kyrkan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46320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46320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46320</v>
      </c>
      <c r="F573" t="inlineStr">
        <is>
          <t>VÄRMLANDS LÄN</t>
        </is>
      </c>
      <c r="G573" t="inlineStr">
        <is>
          <t>HAGFORS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16146-2026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46108</v>
      </c>
      <c r="E574" s="1" t="n">
        <v>46320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45793</v>
      </c>
      <c r="E575" s="1" t="n">
        <v>46320</v>
      </c>
      <c r="F575" t="inlineStr">
        <is>
          <t>VÄRMLANDS LÄN</t>
        </is>
      </c>
      <c r="G575" t="inlineStr">
        <is>
          <t>HAGFORS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46320</v>
      </c>
      <c r="F576" t="inlineStr">
        <is>
          <t>VÄRMLANDS LÄN</t>
        </is>
      </c>
      <c r="G576" t="inlineStr">
        <is>
          <t>HAGFORS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45838</v>
      </c>
      <c r="E577" s="1" t="n">
        <v>46320</v>
      </c>
      <c r="F577" t="inlineStr">
        <is>
          <t>VÄRMLANDS LÄN</t>
        </is>
      </c>
      <c r="G577" t="inlineStr">
        <is>
          <t>HAGFORS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46320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71447-2021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44540</v>
      </c>
      <c r="E579" s="1" t="n">
        <v>46320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46320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46320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46320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29269-2025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45824</v>
      </c>
      <c r="E583" s="1" t="n">
        <v>46320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46320</v>
      </c>
      <c r="F584" t="inlineStr">
        <is>
          <t>VÄRMLANDS LÄN</t>
        </is>
      </c>
      <c r="G584" t="inlineStr">
        <is>
          <t>HAGFORS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46260</v>
      </c>
      <c r="E585" s="1" t="n">
        <v>46320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46320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45874</v>
      </c>
      <c r="E587" s="1" t="n">
        <v>46320</v>
      </c>
      <c r="F587" t="inlineStr">
        <is>
          <t>VÄRMLANDS LÄN</t>
        </is>
      </c>
      <c r="G587" t="inlineStr">
        <is>
          <t>HAGFORS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46260</v>
      </c>
      <c r="E588" s="1" t="n">
        <v>46320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18797-2026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46128</v>
      </c>
      <c r="E589" s="1" t="n">
        <v>46320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46307</v>
      </c>
      <c r="E590" s="1" t="n">
        <v>46320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31.1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8830-2024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46320</v>
      </c>
      <c r="F591" t="inlineStr">
        <is>
          <t>VÄRMLANDS LÄN</t>
        </is>
      </c>
      <c r="G591" t="inlineStr">
        <is>
          <t>HAGFORS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43558-2024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45569</v>
      </c>
      <c r="E592" s="1" t="n">
        <v>46320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46265</v>
      </c>
      <c r="E593" s="1" t="n">
        <v>46320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46320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16153-2025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46320</v>
      </c>
      <c r="F595" t="inlineStr">
        <is>
          <t>VÄRMLANDS LÄN</t>
        </is>
      </c>
      <c r="G595" t="inlineStr">
        <is>
          <t>HAGFORS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62497-2022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44924</v>
      </c>
      <c r="E596" s="1" t="n">
        <v>46320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46320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46320</v>
      </c>
      <c r="F598" t="inlineStr">
        <is>
          <t>VÄRMLANDS LÄN</t>
        </is>
      </c>
      <c r="G598" t="inlineStr">
        <is>
          <t>HAGFORS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46320</v>
      </c>
      <c r="F599" t="inlineStr">
        <is>
          <t>VÄRMLANDS LÄN</t>
        </is>
      </c>
      <c r="G599" t="inlineStr">
        <is>
          <t>HAGFORS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35574-2026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46262</v>
      </c>
      <c r="E600" s="1" t="n">
        <v>46320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18895-2026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46129</v>
      </c>
      <c r="E601" s="1" t="n">
        <v>46320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42329-2026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46307</v>
      </c>
      <c r="E602" s="1" t="n">
        <v>46320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46320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46320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19307-2026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46133</v>
      </c>
      <c r="E605" s="1" t="n">
        <v>46320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27185-2025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45812</v>
      </c>
      <c r="E606" s="1" t="n">
        <v>46320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19350-2026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46320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46134</v>
      </c>
      <c r="E608" s="1" t="n">
        <v>46320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46320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35888-2023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45148</v>
      </c>
      <c r="E610" s="1" t="n">
        <v>46320</v>
      </c>
      <c r="F610" t="inlineStr">
        <is>
          <t>VÄRMLANDS LÄN</t>
        </is>
      </c>
      <c r="G610" t="inlineStr">
        <is>
          <t>HAGFORS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46320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46320</v>
      </c>
      <c r="F612" t="inlineStr">
        <is>
          <t>VÄRMLANDS LÄN</t>
        </is>
      </c>
      <c r="G612" t="inlineStr">
        <is>
          <t>HAGFORS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44582</v>
      </c>
      <c r="E613" s="1" t="n">
        <v>46320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45050</v>
      </c>
      <c r="E614" s="1" t="n">
        <v>46320</v>
      </c>
      <c r="F614" t="inlineStr">
        <is>
          <t>VÄRMLANDS LÄN</t>
        </is>
      </c>
      <c r="G614" t="inlineStr">
        <is>
          <t>HAGFORS</t>
        </is>
      </c>
      <c r="H614" t="inlineStr">
        <is>
          <t>Kommuner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46307</v>
      </c>
      <c r="E615" s="1" t="n">
        <v>46320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46307</v>
      </c>
      <c r="E616" s="1" t="n">
        <v>46320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46307</v>
      </c>
      <c r="E617" s="1" t="n">
        <v>46320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42279-2026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46307</v>
      </c>
      <c r="E618" s="1" t="n">
        <v>46320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28571-2025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46320</v>
      </c>
      <c r="F619" t="inlineStr">
        <is>
          <t>VÄRMLANDS LÄN</t>
        </is>
      </c>
      <c r="G619" t="inlineStr">
        <is>
          <t>HAGFORS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46307</v>
      </c>
      <c r="E620" s="1" t="n">
        <v>46320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42492-2026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46308</v>
      </c>
      <c r="E621" s="1" t="n">
        <v>46320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42691-2026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46309</v>
      </c>
      <c r="E622" s="1" t="n">
        <v>46320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42776-2026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46309</v>
      </c>
      <c r="E623" s="1" t="n">
        <v>46320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42637-2026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46309</v>
      </c>
      <c r="E624" s="1" t="n">
        <v>46320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42737-2026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46309</v>
      </c>
      <c r="E625" s="1" t="n">
        <v>46320</v>
      </c>
      <c r="F625" t="inlineStr">
        <is>
          <t>VÄRMLANDS LÄN</t>
        </is>
      </c>
      <c r="G625" t="inlineStr">
        <is>
          <t>HAGFORS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36110-2026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46267</v>
      </c>
      <c r="E626" s="1" t="n">
        <v>46320</v>
      </c>
      <c r="F626" t="inlineStr">
        <is>
          <t>VÄRMLANDS LÄN</t>
        </is>
      </c>
      <c r="G626" t="inlineStr">
        <is>
          <t>HAGFORS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44938</v>
      </c>
      <c r="E627" s="1" t="n">
        <v>46320</v>
      </c>
      <c r="F627" t="inlineStr">
        <is>
          <t>VÄRMLANDS LÄN</t>
        </is>
      </c>
      <c r="G627" t="inlineStr">
        <is>
          <t>HAGFORS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46320</v>
      </c>
      <c r="F628" t="inlineStr">
        <is>
          <t>VÄRMLANDS LÄN</t>
        </is>
      </c>
      <c r="G628" t="inlineStr">
        <is>
          <t>HAGFORS</t>
        </is>
      </c>
      <c r="H628" t="inlineStr">
        <is>
          <t>Kyrkan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36055-2026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46267</v>
      </c>
      <c r="E629" s="1" t="n">
        <v>46320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49766-2023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46320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4028-2025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45684</v>
      </c>
      <c r="E631" s="1" t="n">
        <v>46320</v>
      </c>
      <c r="F631" t="inlineStr">
        <is>
          <t>VÄRMLANDS LÄN</t>
        </is>
      </c>
      <c r="G631" t="inlineStr">
        <is>
          <t>HAGFORS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46320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42625-2026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46309</v>
      </c>
      <c r="E633" s="1" t="n">
        <v>46320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46320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42243-2024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45562</v>
      </c>
      <c r="E635" s="1" t="n">
        <v>46320</v>
      </c>
      <c r="F635" t="inlineStr">
        <is>
          <t>VÄRMLANDS LÄN</t>
        </is>
      </c>
      <c r="G635" t="inlineStr">
        <is>
          <t>HAGFORS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27410-2023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45097</v>
      </c>
      <c r="E636" s="1" t="n">
        <v>46320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36221-2026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46268</v>
      </c>
      <c r="E637" s="1" t="n">
        <v>46320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30520-2024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45492</v>
      </c>
      <c r="E638" s="1" t="n">
        <v>46320</v>
      </c>
      <c r="F638" t="inlineStr">
        <is>
          <t>VÄRMLANDS LÄN</t>
        </is>
      </c>
      <c r="G638" t="inlineStr">
        <is>
          <t>HAGFORS</t>
        </is>
      </c>
      <c r="H638" t="inlineStr">
        <is>
          <t>Kyrkan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46311</v>
      </c>
      <c r="E639" s="1" t="n">
        <v>46320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31618-2025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45833</v>
      </c>
      <c r="E640" s="1" t="n">
        <v>46320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36281-2026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46268</v>
      </c>
      <c r="E641" s="1" t="n">
        <v>46320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46311</v>
      </c>
      <c r="E642" s="1" t="n">
        <v>46320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15.9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46320</v>
      </c>
      <c r="F643" t="inlineStr">
        <is>
          <t>VÄRMLANDS LÄN</t>
        </is>
      </c>
      <c r="G643" t="inlineStr">
        <is>
          <t>HAGFORS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46320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36542-2026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46269</v>
      </c>
      <c r="E645" s="1" t="n">
        <v>46320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46269</v>
      </c>
      <c r="E646" s="1" t="n">
        <v>46320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46269</v>
      </c>
      <c r="E647" s="1" t="n">
        <v>46320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45786</v>
      </c>
      <c r="E648" s="1" t="n">
        <v>46320</v>
      </c>
      <c r="F648" t="inlineStr">
        <is>
          <t>VÄRMLANDS LÄN</t>
        </is>
      </c>
      <c r="G648" t="inlineStr">
        <is>
          <t>HAGFORS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45840</v>
      </c>
      <c r="E649" s="1" t="n">
        <v>46320</v>
      </c>
      <c r="F649" t="inlineStr">
        <is>
          <t>VÄRMLANDS LÄN</t>
        </is>
      </c>
      <c r="G649" t="inlineStr">
        <is>
          <t>HAGFORS</t>
        </is>
      </c>
      <c r="I649" t="n">
        <v>18.2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23047-2024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45450</v>
      </c>
      <c r="E650" s="1" t="n">
        <v>46320</v>
      </c>
      <c r="F650" t="inlineStr">
        <is>
          <t>VÄRMLANDS LÄN</t>
        </is>
      </c>
      <c r="G650" t="inlineStr">
        <is>
          <t>HAGFORS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43030-2026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46311</v>
      </c>
      <c r="E651" s="1" t="n">
        <v>46320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46269</v>
      </c>
      <c r="E652" s="1" t="n">
        <v>46320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45103</v>
      </c>
      <c r="E653" s="1" t="n">
        <v>46320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36448-2026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46269</v>
      </c>
      <c r="E654" s="1" t="n">
        <v>46320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34572-2025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45847</v>
      </c>
      <c r="E655" s="1" t="n">
        <v>46320</v>
      </c>
      <c r="F655" t="inlineStr">
        <is>
          <t>VÄRMLANDS LÄN</t>
        </is>
      </c>
      <c r="G655" t="inlineStr">
        <is>
          <t>HAGFORS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36240-2026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46268</v>
      </c>
      <c r="E656" s="1" t="n">
        <v>46320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53443-2024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45614</v>
      </c>
      <c r="E657" s="1" t="n">
        <v>46320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46020</v>
      </c>
      <c r="E658" s="1" t="n">
        <v>46320</v>
      </c>
      <c r="F658" t="inlineStr">
        <is>
          <t>VÄRMLANDS LÄN</t>
        </is>
      </c>
      <c r="G658" t="inlineStr">
        <is>
          <t>HAGFORS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16824-2023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45033</v>
      </c>
      <c r="E659" s="1" t="n">
        <v>46320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45484</v>
      </c>
      <c r="E660" s="1" t="n">
        <v>46320</v>
      </c>
      <c r="F660" t="inlineStr">
        <is>
          <t>VÄRMLANDS LÄN</t>
        </is>
      </c>
      <c r="G660" t="inlineStr">
        <is>
          <t>HAGFORS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54757-2022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44883</v>
      </c>
      <c r="E661" s="1" t="n">
        <v>46320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36728-2026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46272</v>
      </c>
      <c r="E662" s="1" t="n">
        <v>46320</v>
      </c>
      <c r="F662" t="inlineStr">
        <is>
          <t>VÄRMLANDS LÄN</t>
        </is>
      </c>
      <c r="G662" t="inlineStr">
        <is>
          <t>HAGFORS</t>
        </is>
      </c>
      <c r="H662" t="inlineStr">
        <is>
          <t>Kyrkan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18170-2024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45420</v>
      </c>
      <c r="E663" s="1" t="n">
        <v>46320</v>
      </c>
      <c r="F663" t="inlineStr">
        <is>
          <t>VÄRMLANDS LÄN</t>
        </is>
      </c>
      <c r="G663" t="inlineStr">
        <is>
          <t>HAGFORS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20260-2026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46139</v>
      </c>
      <c r="E664" s="1" t="n">
        <v>46320</v>
      </c>
      <c r="F664" t="inlineStr">
        <is>
          <t>VÄRMLANDS LÄN</t>
        </is>
      </c>
      <c r="G664" t="inlineStr">
        <is>
          <t>HAGFORS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47021-2023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46320</v>
      </c>
      <c r="F665" t="inlineStr">
        <is>
          <t>VÄRMLANDS LÄN</t>
        </is>
      </c>
      <c r="G665" t="inlineStr">
        <is>
          <t>HAGFORS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47027-2023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45201</v>
      </c>
      <c r="E666" s="1" t="n">
        <v>46320</v>
      </c>
      <c r="F666" t="inlineStr">
        <is>
          <t>VÄRMLANDS LÄN</t>
        </is>
      </c>
      <c r="G666" t="inlineStr">
        <is>
          <t>HAGFORS</t>
        </is>
      </c>
      <c r="I666" t="n">
        <v>7.7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47033-2023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46320</v>
      </c>
      <c r="F667" t="inlineStr">
        <is>
          <t>VÄRMLANDS LÄN</t>
        </is>
      </c>
      <c r="G667" t="inlineStr">
        <is>
          <t>HAGFORS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32690-2025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45839</v>
      </c>
      <c r="E668" s="1" t="n">
        <v>46320</v>
      </c>
      <c r="F668" t="inlineStr">
        <is>
          <t>VÄRMLANDS LÄN</t>
        </is>
      </c>
      <c r="G668" t="inlineStr">
        <is>
          <t>HAGFORS</t>
        </is>
      </c>
      <c r="H668" t="inlineStr">
        <is>
          <t>Kyrkan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45791</v>
      </c>
      <c r="E669" s="1" t="n">
        <v>46320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36764-2025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45873</v>
      </c>
      <c r="E670" s="1" t="n">
        <v>46320</v>
      </c>
      <c r="F670" t="inlineStr">
        <is>
          <t>VÄRMLANDS LÄN</t>
        </is>
      </c>
      <c r="G670" t="inlineStr">
        <is>
          <t>HAGFORS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36642-2026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46272</v>
      </c>
      <c r="E671" s="1" t="n">
        <v>46320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46320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43779-2026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46316</v>
      </c>
      <c r="E673" s="1" t="n">
        <v>46320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20594-2026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46140</v>
      </c>
      <c r="E674" s="1" t="n">
        <v>46320</v>
      </c>
      <c r="F674" t="inlineStr">
        <is>
          <t>VÄRMLANDS LÄN</t>
        </is>
      </c>
      <c r="G674" t="inlineStr">
        <is>
          <t>HAGFORS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46320</v>
      </c>
      <c r="F675" t="inlineStr">
        <is>
          <t>VÄRMLANDS LÄN</t>
        </is>
      </c>
      <c r="G675" t="inlineStr">
        <is>
          <t>HAGFORS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43670-2026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46316</v>
      </c>
      <c r="E676" s="1" t="n">
        <v>46320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43674-2026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46316</v>
      </c>
      <c r="E677" s="1" t="n">
        <v>46320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46272</v>
      </c>
      <c r="E678" s="1" t="n">
        <v>46320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20494-2026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46320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46122</v>
      </c>
      <c r="E680" s="1" t="n">
        <v>46320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46320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12426-2024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45379</v>
      </c>
      <c r="E682" s="1" t="n">
        <v>46320</v>
      </c>
      <c r="F682" t="inlineStr">
        <is>
          <t>VÄRMLANDS LÄN</t>
        </is>
      </c>
      <c r="G682" t="inlineStr">
        <is>
          <t>HAGFORS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46320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26615-2024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45469</v>
      </c>
      <c r="E684" s="1" t="n">
        <v>46320</v>
      </c>
      <c r="F684" t="inlineStr">
        <is>
          <t>VÄRMLANDS LÄN</t>
        </is>
      </c>
      <c r="G684" t="inlineStr">
        <is>
          <t>HAGFORS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45469</v>
      </c>
      <c r="E685" s="1" t="n">
        <v>46320</v>
      </c>
      <c r="F685" t="inlineStr">
        <is>
          <t>VÄRMLANDS LÄN</t>
        </is>
      </c>
      <c r="G685" t="inlineStr">
        <is>
          <t>HAGFORS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43671-2026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46316</v>
      </c>
      <c r="E686" s="1" t="n">
        <v>46320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12778-2025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45733</v>
      </c>
      <c r="E687" s="1" t="n">
        <v>46320</v>
      </c>
      <c r="F687" t="inlineStr">
        <is>
          <t>VÄRMLANDS LÄN</t>
        </is>
      </c>
      <c r="G687" t="inlineStr">
        <is>
          <t>HAGFORS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46320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45846</v>
      </c>
      <c r="E689" s="1" t="n">
        <v>46320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46320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20759-2026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46141</v>
      </c>
      <c r="E691" s="1" t="n">
        <v>46320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61265-2022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44915</v>
      </c>
      <c r="E692" s="1" t="n">
        <v>46320</v>
      </c>
      <c r="F692" t="inlineStr">
        <is>
          <t>VÄRMLANDS LÄN</t>
        </is>
      </c>
      <c r="G692" t="inlineStr">
        <is>
          <t>HAGFORS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68252-2021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44526</v>
      </c>
      <c r="E693" s="1" t="n">
        <v>46320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46320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20752-2026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46141</v>
      </c>
      <c r="E695" s="1" t="n">
        <v>46320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20729-2026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46320</v>
      </c>
      <c r="F696" t="inlineStr">
        <is>
          <t>VÄRMLANDS LÄN</t>
        </is>
      </c>
      <c r="G696" t="inlineStr">
        <is>
          <t>HAGFORS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22332-2024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45446</v>
      </c>
      <c r="E697" s="1" t="n">
        <v>46320</v>
      </c>
      <c r="F697" t="inlineStr">
        <is>
          <t>VÄRMLANDS LÄN</t>
        </is>
      </c>
      <c r="G697" t="inlineStr">
        <is>
          <t>HAGFORS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20880-2026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46142</v>
      </c>
      <c r="E698" s="1" t="n">
        <v>46320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20798-2026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46320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19391-2025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45769</v>
      </c>
      <c r="E700" s="1" t="n">
        <v>46320</v>
      </c>
      <c r="F700" t="inlineStr">
        <is>
          <t>VÄRMLANDS LÄN</t>
        </is>
      </c>
      <c r="G700" t="inlineStr">
        <is>
          <t>HAGFORS</t>
        </is>
      </c>
      <c r="I700" t="n">
        <v>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46058</v>
      </c>
      <c r="E701" s="1" t="n">
        <v>46320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64936-2023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45282</v>
      </c>
      <c r="E702" s="1" t="n">
        <v>46320</v>
      </c>
      <c r="F702" t="inlineStr">
        <is>
          <t>VÄRMLANDS LÄN</t>
        </is>
      </c>
      <c r="G702" t="inlineStr">
        <is>
          <t>HAGFORS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37497-2026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46320</v>
      </c>
      <c r="F703" t="inlineStr">
        <is>
          <t>VÄRMLANDS LÄN</t>
        </is>
      </c>
      <c r="G703" t="inlineStr">
        <is>
          <t>HAGFORS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17750-2023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45037</v>
      </c>
      <c r="E704" s="1" t="n">
        <v>46320</v>
      </c>
      <c r="F704" t="inlineStr">
        <is>
          <t>VÄRMLANDS LÄN</t>
        </is>
      </c>
      <c r="G704" t="inlineStr">
        <is>
          <t>HAGFORS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20870-2026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46142</v>
      </c>
      <c r="E705" s="1" t="n">
        <v>46320</v>
      </c>
      <c r="F705" t="inlineStr">
        <is>
          <t>VÄRMLANDS LÄN</t>
        </is>
      </c>
      <c r="G705" t="inlineStr">
        <is>
          <t>HAGFORS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20706-2026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46141</v>
      </c>
      <c r="E706" s="1" t="n">
        <v>46320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46275</v>
      </c>
      <c r="E707" s="1" t="n">
        <v>46320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37269-2026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46274</v>
      </c>
      <c r="E708" s="1" t="n">
        <v>46320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46320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37157-2026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46274</v>
      </c>
      <c r="E710" s="1" t="n">
        <v>46320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7.1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13635-2024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45390</v>
      </c>
      <c r="E711" s="1" t="n">
        <v>46320</v>
      </c>
      <c r="F711" t="inlineStr">
        <is>
          <t>VÄRMLANDS LÄN</t>
        </is>
      </c>
      <c r="G711" t="inlineStr">
        <is>
          <t>HAGFORS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21879-2026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46320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21776-2026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46320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46320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21762-2026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46150</v>
      </c>
      <c r="E715" s="1" t="n">
        <v>46320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19072-2025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45765</v>
      </c>
      <c r="E716" s="1" t="n">
        <v>46320</v>
      </c>
      <c r="F716" t="inlineStr">
        <is>
          <t>VÄRMLANDS LÄN</t>
        </is>
      </c>
      <c r="G716" t="inlineStr">
        <is>
          <t>HAGFORS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8922-2025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45713</v>
      </c>
      <c r="E717" s="1" t="n">
        <v>46320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8129-2024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45351</v>
      </c>
      <c r="E718" s="1" t="n">
        <v>46320</v>
      </c>
      <c r="F718" t="inlineStr">
        <is>
          <t>VÄRMLANDS LÄN</t>
        </is>
      </c>
      <c r="G718" t="inlineStr">
        <is>
          <t>HAGFORS</t>
        </is>
      </c>
      <c r="H718" t="inlineStr">
        <is>
          <t>Kyrkan</t>
        </is>
      </c>
      <c r="I718" t="n">
        <v>10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42175-2024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45562</v>
      </c>
      <c r="E719" s="1" t="n">
        <v>46320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22667-2026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46320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46320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46320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46155</v>
      </c>
      <c r="E723" s="1" t="n">
        <v>46320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46320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22556-2026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46320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13300-2023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46320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22917-2026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46160</v>
      </c>
      <c r="E727" s="1" t="n">
        <v>46320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45671</v>
      </c>
      <c r="E728" s="1" t="n">
        <v>46320</v>
      </c>
      <c r="F728" t="inlineStr">
        <is>
          <t>VÄRMLANDS LÄN</t>
        </is>
      </c>
      <c r="G728" t="inlineStr">
        <is>
          <t>HAGFORS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52494-2024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45609</v>
      </c>
      <c r="E729" s="1" t="n">
        <v>46320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22911-2026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46160</v>
      </c>
      <c r="E730" s="1" t="n">
        <v>46320</v>
      </c>
      <c r="F730" t="inlineStr">
        <is>
          <t>VÄRMLANDS LÄN</t>
        </is>
      </c>
      <c r="G730" t="inlineStr">
        <is>
          <t>HAGFORS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46160</v>
      </c>
      <c r="E731" s="1" t="n">
        <v>46320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55758-2024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45623</v>
      </c>
      <c r="E732" s="1" t="n">
        <v>46320</v>
      </c>
      <c r="F732" t="inlineStr">
        <is>
          <t>VÄRMLANDS LÄN</t>
        </is>
      </c>
      <c r="G732" t="inlineStr">
        <is>
          <t>HAGFORS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46320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19783-2023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45051</v>
      </c>
      <c r="E734" s="1" t="n">
        <v>46320</v>
      </c>
      <c r="F734" t="inlineStr">
        <is>
          <t>VÄRMLANDS LÄN</t>
        </is>
      </c>
      <c r="G734" t="inlineStr">
        <is>
          <t>HAGFORS</t>
        </is>
      </c>
      <c r="H734" t="inlineStr">
        <is>
          <t>Kommuner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24947-2024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45461</v>
      </c>
      <c r="E735" s="1" t="n">
        <v>46320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47028-2023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45201</v>
      </c>
      <c r="E736" s="1" t="n">
        <v>46320</v>
      </c>
      <c r="F736" t="inlineStr">
        <is>
          <t>VÄRMLANDS LÄN</t>
        </is>
      </c>
      <c r="G736" t="inlineStr">
        <is>
          <t>HAGFORS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38555-2023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45162</v>
      </c>
      <c r="E737" s="1" t="n">
        <v>46320</v>
      </c>
      <c r="F737" t="inlineStr">
        <is>
          <t>VÄRMLANDS LÄN</t>
        </is>
      </c>
      <c r="G737" t="inlineStr">
        <is>
          <t>HAGFORS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20682-2024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45436</v>
      </c>
      <c r="E738" s="1" t="n">
        <v>46320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17884-2025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45758</v>
      </c>
      <c r="E739" s="1" t="n">
        <v>46320</v>
      </c>
      <c r="F739" t="inlineStr">
        <is>
          <t>VÄRMLANDS LÄN</t>
        </is>
      </c>
      <c r="G739" t="inlineStr">
        <is>
          <t>HAGFORS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53813-2024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45615</v>
      </c>
      <c r="E740" s="1" t="n">
        <v>46320</v>
      </c>
      <c r="F740" t="inlineStr">
        <is>
          <t>VÄRMLANDS LÄN</t>
        </is>
      </c>
      <c r="G740" t="inlineStr">
        <is>
          <t>HAGFORS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30180-2022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44757</v>
      </c>
      <c r="E741" s="1" t="n">
        <v>46320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19702-2022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44694</v>
      </c>
      <c r="E742" s="1" t="n">
        <v>46320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45152</v>
      </c>
      <c r="E743" s="1" t="n">
        <v>46320</v>
      </c>
      <c r="F743" t="inlineStr">
        <is>
          <t>VÄRMLANDS LÄN</t>
        </is>
      </c>
      <c r="G743" t="inlineStr">
        <is>
          <t>HAGFORS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44770</v>
      </c>
      <c r="E744" s="1" t="n">
        <v>46320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57379-2022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44896</v>
      </c>
      <c r="E745" s="1" t="n">
        <v>46320</v>
      </c>
      <c r="F745" t="inlineStr">
        <is>
          <t>VÄRMLANDS LÄN</t>
        </is>
      </c>
      <c r="G745" t="inlineStr">
        <is>
          <t>HAGFORS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47019-2023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45201</v>
      </c>
      <c r="E746" s="1" t="n">
        <v>46320</v>
      </c>
      <c r="F746" t="inlineStr">
        <is>
          <t>VÄRMLANDS LÄN</t>
        </is>
      </c>
      <c r="G746" t="inlineStr">
        <is>
          <t>HAGFORS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16525-2023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45029</v>
      </c>
      <c r="E747" s="1" t="n">
        <v>46320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39029-2022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44817</v>
      </c>
      <c r="E748" s="1" t="n">
        <v>46320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61981-2024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45653</v>
      </c>
      <c r="E749" s="1" t="n">
        <v>46320</v>
      </c>
      <c r="F749" t="inlineStr">
        <is>
          <t>VÄRMLANDS LÄN</t>
        </is>
      </c>
      <c r="G749" t="inlineStr">
        <is>
          <t>HAGFORS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45057</v>
      </c>
      <c r="E750" s="1" t="n">
        <v>46320</v>
      </c>
      <c r="F750" t="inlineStr">
        <is>
          <t>VÄRMLANDS LÄN</t>
        </is>
      </c>
      <c r="G750" t="inlineStr">
        <is>
          <t>HAGFORS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20652-2022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44700</v>
      </c>
      <c r="E751" s="1" t="n">
        <v>46320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45720</v>
      </c>
      <c r="E752" s="1" t="n">
        <v>46320</v>
      </c>
      <c r="F752" t="inlineStr">
        <is>
          <t>VÄRMLANDS LÄN</t>
        </is>
      </c>
      <c r="G752" t="inlineStr">
        <is>
          <t>HAGFORS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51915-2023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45223</v>
      </c>
      <c r="E753" s="1" t="n">
        <v>46320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1464-2023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44937</v>
      </c>
      <c r="E754" s="1" t="n">
        <v>46320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37085-2023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45155</v>
      </c>
      <c r="E755" s="1" t="n">
        <v>46320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37463-2022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44809</v>
      </c>
      <c r="E756" s="1" t="n">
        <v>46320</v>
      </c>
      <c r="F756" t="inlineStr">
        <is>
          <t>VÄRMLANDS LÄN</t>
        </is>
      </c>
      <c r="G756" t="inlineStr">
        <is>
          <t>HAGFORS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46792-2022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44851</v>
      </c>
      <c r="E757" s="1" t="n">
        <v>46320</v>
      </c>
      <c r="F757" t="inlineStr">
        <is>
          <t>VÄRMLANDS LÄN</t>
        </is>
      </c>
      <c r="G757" t="inlineStr">
        <is>
          <t>HAGFORS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45525</v>
      </c>
      <c r="E758" s="1" t="n">
        <v>46320</v>
      </c>
      <c r="F758" t="inlineStr">
        <is>
          <t>VÄRMLANDS LÄN</t>
        </is>
      </c>
      <c r="G758" t="inlineStr">
        <is>
          <t>HAGFORS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33969-2022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44790</v>
      </c>
      <c r="E759" s="1" t="n">
        <v>46320</v>
      </c>
      <c r="F759" t="inlineStr">
        <is>
          <t>VÄRMLANDS LÄN</t>
        </is>
      </c>
      <c r="G759" t="inlineStr">
        <is>
          <t>HAGFORS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24814-2024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45461</v>
      </c>
      <c r="E760" s="1" t="n">
        <v>46320</v>
      </c>
      <c r="F760" t="inlineStr">
        <is>
          <t>VÄRMLANDS LÄN</t>
        </is>
      </c>
      <c r="G760" t="inlineStr">
        <is>
          <t>HAGFORS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46320</v>
      </c>
      <c r="F761" t="inlineStr">
        <is>
          <t>VÄRMLANDS LÄN</t>
        </is>
      </c>
      <c r="G761" t="inlineStr">
        <is>
          <t>HAGFORS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61315-2023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45264</v>
      </c>
      <c r="E762" s="1" t="n">
        <v>46320</v>
      </c>
      <c r="F762" t="inlineStr">
        <is>
          <t>VÄRMLANDS LÄN</t>
        </is>
      </c>
      <c r="G762" t="inlineStr">
        <is>
          <t>HAGFORS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70712-2021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44537</v>
      </c>
      <c r="E763" s="1" t="n">
        <v>46320</v>
      </c>
      <c r="F763" t="inlineStr">
        <is>
          <t>VÄRMLANDS LÄN</t>
        </is>
      </c>
      <c r="G763" t="inlineStr">
        <is>
          <t>HAGFORS</t>
        </is>
      </c>
      <c r="H763" t="inlineStr">
        <is>
          <t>Kommuner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20060-2023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45054</v>
      </c>
      <c r="E764" s="1" t="n">
        <v>46320</v>
      </c>
      <c r="F764" t="inlineStr">
        <is>
          <t>VÄRMLANDS LÄN</t>
        </is>
      </c>
      <c r="G764" t="inlineStr">
        <is>
          <t>HAGFORS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44571</v>
      </c>
      <c r="E765" s="1" t="n">
        <v>46320</v>
      </c>
      <c r="F765" t="inlineStr">
        <is>
          <t>VÄRMLANDS LÄN</t>
        </is>
      </c>
      <c r="G765" t="inlineStr">
        <is>
          <t>HAGFORS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17882-2025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45758</v>
      </c>
      <c r="E766" s="1" t="n">
        <v>46320</v>
      </c>
      <c r="F766" t="inlineStr">
        <is>
          <t>VÄRMLANDS LÄN</t>
        </is>
      </c>
      <c r="G766" t="inlineStr">
        <is>
          <t>HAGFORS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62546-2022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44924</v>
      </c>
      <c r="E767" s="1" t="n">
        <v>46320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61140-2023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45261</v>
      </c>
      <c r="E768" s="1" t="n">
        <v>46320</v>
      </c>
      <c r="F768" t="inlineStr">
        <is>
          <t>VÄRMLANDS LÄN</t>
        </is>
      </c>
      <c r="G768" t="inlineStr">
        <is>
          <t>HAGFORS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14435-2025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45741</v>
      </c>
      <c r="E769" s="1" t="n">
        <v>46320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57359-2022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44896</v>
      </c>
      <c r="E770" s="1" t="n">
        <v>46320</v>
      </c>
      <c r="F770" t="inlineStr">
        <is>
          <t>VÄRMLANDS LÄN</t>
        </is>
      </c>
      <c r="G770" t="inlineStr">
        <is>
          <t>HAGFORS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39640-2022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44817</v>
      </c>
      <c r="E771" s="1" t="n">
        <v>46320</v>
      </c>
      <c r="F771" t="inlineStr">
        <is>
          <t>VÄRMLANDS LÄN</t>
        </is>
      </c>
      <c r="G771" t="inlineStr">
        <is>
          <t>HAGFORS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25759-2023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45090</v>
      </c>
      <c r="E772" s="1" t="n">
        <v>46320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44246-2022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46320</v>
      </c>
      <c r="F773" t="inlineStr">
        <is>
          <t>VÄRMLANDS LÄN</t>
        </is>
      </c>
      <c r="G773" t="inlineStr">
        <is>
          <t>HAGFORS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61818-2023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45266</v>
      </c>
      <c r="E774" s="1" t="n">
        <v>46320</v>
      </c>
      <c r="F774" t="inlineStr">
        <is>
          <t>VÄRMLANDS LÄN</t>
        </is>
      </c>
      <c r="G774" t="inlineStr">
        <is>
          <t>HAGFORS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54751-2022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44883</v>
      </c>
      <c r="E775" s="1" t="n">
        <v>46320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20081-2025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45772</v>
      </c>
      <c r="E776" s="1" t="n">
        <v>46320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19554-2024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45429</v>
      </c>
      <c r="E777" s="1" t="n">
        <v>46320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28654-2023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45103</v>
      </c>
      <c r="E778" s="1" t="n">
        <v>46320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22503-2024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45447</v>
      </c>
      <c r="E779" s="1" t="n">
        <v>46320</v>
      </c>
      <c r="F779" t="inlineStr">
        <is>
          <t>VÄRMLANDS LÄN</t>
        </is>
      </c>
      <c r="G779" t="inlineStr">
        <is>
          <t>HAGFORS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42168-2024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45562</v>
      </c>
      <c r="E780" s="1" t="n">
        <v>46320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45684</v>
      </c>
      <c r="E781" s="1" t="n">
        <v>46320</v>
      </c>
      <c r="F781" t="inlineStr">
        <is>
          <t>VÄRMLANDS LÄN</t>
        </is>
      </c>
      <c r="G781" t="inlineStr">
        <is>
          <t>HAGFORS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44728-2023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45190</v>
      </c>
      <c r="E782" s="1" t="n">
        <v>46320</v>
      </c>
      <c r="F782" t="inlineStr">
        <is>
          <t>VÄRMLANDS LÄN</t>
        </is>
      </c>
      <c r="G782" t="inlineStr">
        <is>
          <t>HAGFORS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44950</v>
      </c>
      <c r="E783" s="1" t="n">
        <v>46320</v>
      </c>
      <c r="F783" t="inlineStr">
        <is>
          <t>VÄRMLANDS LÄN</t>
        </is>
      </c>
      <c r="G783" t="inlineStr">
        <is>
          <t>HAGFORS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3566-2023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44950</v>
      </c>
      <c r="E784" s="1" t="n">
        <v>46320</v>
      </c>
      <c r="F784" t="inlineStr">
        <is>
          <t>VÄRMLANDS LÄN</t>
        </is>
      </c>
      <c r="G784" t="inlineStr">
        <is>
          <t>HAGFORS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65065-2023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45287</v>
      </c>
      <c r="E785" s="1" t="n">
        <v>46320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58210-2022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44901</v>
      </c>
      <c r="E786" s="1" t="n">
        <v>46320</v>
      </c>
      <c r="F786" t="inlineStr">
        <is>
          <t>VÄRMLANDS LÄN</t>
        </is>
      </c>
      <c r="G786" t="inlineStr">
        <is>
          <t>HAGFORS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25258-2023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45079</v>
      </c>
      <c r="E787" s="1" t="n">
        <v>46320</v>
      </c>
      <c r="F787" t="inlineStr">
        <is>
          <t>VÄRMLANDS LÄN</t>
        </is>
      </c>
      <c r="G787" t="inlineStr">
        <is>
          <t>HAGFORS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46320</v>
      </c>
      <c r="F788" t="inlineStr">
        <is>
          <t>VÄRMLANDS LÄN</t>
        </is>
      </c>
      <c r="G788" t="inlineStr">
        <is>
          <t>HAGFORS</t>
        </is>
      </c>
      <c r="I788" t="n">
        <v>8.4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30158-2024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45489</v>
      </c>
      <c r="E789" s="1" t="n">
        <v>46320</v>
      </c>
      <c r="F789" t="inlineStr">
        <is>
          <t>VÄRMLANDS LÄN</t>
        </is>
      </c>
      <c r="G789" t="inlineStr">
        <is>
          <t>HAGFORS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38612-2023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45162</v>
      </c>
      <c r="E790" s="1" t="n">
        <v>46320</v>
      </c>
      <c r="F790" t="inlineStr">
        <is>
          <t>VÄRMLANDS LÄN</t>
        </is>
      </c>
      <c r="G790" t="inlineStr">
        <is>
          <t>HAGFORS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24638-2023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45084</v>
      </c>
      <c r="E791" s="1" t="n">
        <v>46320</v>
      </c>
      <c r="F791" t="inlineStr">
        <is>
          <t>VÄRMLANDS LÄN</t>
        </is>
      </c>
      <c r="G791" t="inlineStr">
        <is>
          <t>HAGFORS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44951</v>
      </c>
      <c r="E792" s="1" t="n">
        <v>46320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1735-2023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44938</v>
      </c>
      <c r="E793" s="1" t="n">
        <v>46320</v>
      </c>
      <c r="F793" t="inlineStr">
        <is>
          <t>VÄRMLANDS LÄN</t>
        </is>
      </c>
      <c r="G793" t="inlineStr">
        <is>
          <t>HAGFORS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6910-2024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45343</v>
      </c>
      <c r="E794" s="1" t="n">
        <v>46320</v>
      </c>
      <c r="F794" t="inlineStr">
        <is>
          <t>VÄRMLANDS LÄN</t>
        </is>
      </c>
      <c r="G794" t="inlineStr">
        <is>
          <t>HAGFORS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27826-2024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46320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27827-2024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45475</v>
      </c>
      <c r="E796" s="1" t="n">
        <v>46320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45428</v>
      </c>
      <c r="E797" s="1" t="n">
        <v>46320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45335</v>
      </c>
      <c r="E798" s="1" t="n">
        <v>46320</v>
      </c>
      <c r="F798" t="inlineStr">
        <is>
          <t>VÄRMLANDS LÄN</t>
        </is>
      </c>
      <c r="G798" t="inlineStr">
        <is>
          <t>HAGFORS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17305-2023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45035</v>
      </c>
      <c r="E799" s="1" t="n">
        <v>46320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44567</v>
      </c>
      <c r="E800" s="1" t="n">
        <v>46320</v>
      </c>
      <c r="F800" t="inlineStr">
        <is>
          <t>VÄRMLANDS LÄN</t>
        </is>
      </c>
      <c r="G800" t="inlineStr">
        <is>
          <t>HAGFORS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10236-2022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44622</v>
      </c>
      <c r="E801" s="1" t="n">
        <v>46320</v>
      </c>
      <c r="F801" t="inlineStr">
        <is>
          <t>VÄRMLANDS LÄN</t>
        </is>
      </c>
      <c r="G801" t="inlineStr">
        <is>
          <t>HAGFORS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10297-2025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45720</v>
      </c>
      <c r="E802" s="1" t="n">
        <v>46320</v>
      </c>
      <c r="F802" t="inlineStr">
        <is>
          <t>VÄRMLANDS LÄN</t>
        </is>
      </c>
      <c r="G802" t="inlineStr">
        <is>
          <t>HAGFORS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41603-2023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45175</v>
      </c>
      <c r="E803" s="1" t="n">
        <v>46320</v>
      </c>
      <c r="F803" t="inlineStr">
        <is>
          <t>VÄRMLANDS LÄN</t>
        </is>
      </c>
      <c r="G803" t="inlineStr">
        <is>
          <t>HAGFORS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32147-2023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45107</v>
      </c>
      <c r="E804" s="1" t="n">
        <v>46320</v>
      </c>
      <c r="F804" t="inlineStr">
        <is>
          <t>VÄRMLANDS LÄN</t>
        </is>
      </c>
      <c r="G804" t="inlineStr">
        <is>
          <t>HAGFORS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38887-2024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45547</v>
      </c>
      <c r="E805" s="1" t="n">
        <v>46320</v>
      </c>
      <c r="F805" t="inlineStr">
        <is>
          <t>VÄRMLANDS LÄN</t>
        </is>
      </c>
      <c r="G805" t="inlineStr">
        <is>
          <t>HAGFORS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35065-2023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45145</v>
      </c>
      <c r="E806" s="1" t="n">
        <v>46320</v>
      </c>
      <c r="F806" t="inlineStr">
        <is>
          <t>VÄRMLANDS LÄN</t>
        </is>
      </c>
      <c r="G806" t="inlineStr">
        <is>
          <t>HAGFORS</t>
        </is>
      </c>
      <c r="I806" t="n">
        <v>13.5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34636-2024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45526</v>
      </c>
      <c r="E807" s="1" t="n">
        <v>46320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57162-2024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45629</v>
      </c>
      <c r="E808" s="1" t="n">
        <v>46320</v>
      </c>
      <c r="F808" t="inlineStr">
        <is>
          <t>VÄRMLANDS LÄN</t>
        </is>
      </c>
      <c r="G808" t="inlineStr">
        <is>
          <t>HAGFORS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44824</v>
      </c>
      <c r="E809" s="1" t="n">
        <v>46320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52083-2024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46320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46426-2024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45582</v>
      </c>
      <c r="E811" s="1" t="n">
        <v>46320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43998-2024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45572</v>
      </c>
      <c r="E812" s="1" t="n">
        <v>46320</v>
      </c>
      <c r="F812" t="inlineStr">
        <is>
          <t>VÄRMLANDS LÄN</t>
        </is>
      </c>
      <c r="G812" t="inlineStr">
        <is>
          <t>HAGFORS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59552-2024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45638</v>
      </c>
      <c r="E813" s="1" t="n">
        <v>46320</v>
      </c>
      <c r="F813" t="inlineStr">
        <is>
          <t>VÄRMLANDS LÄN</t>
        </is>
      </c>
      <c r="G813" t="inlineStr">
        <is>
          <t>HAGFORS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6980-2022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44603</v>
      </c>
      <c r="E814" s="1" t="n">
        <v>46320</v>
      </c>
      <c r="F814" t="inlineStr">
        <is>
          <t>VÄRMLANDS LÄN</t>
        </is>
      </c>
      <c r="G814" t="inlineStr">
        <is>
          <t>HAGFORS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5749-2022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44596</v>
      </c>
      <c r="E815" s="1" t="n">
        <v>46320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50929-2023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45211</v>
      </c>
      <c r="E816" s="1" t="n">
        <v>46320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45559</v>
      </c>
      <c r="E817" s="1" t="n">
        <v>46320</v>
      </c>
      <c r="F817" t="inlineStr">
        <is>
          <t>VÄRMLANDS LÄN</t>
        </is>
      </c>
      <c r="G817" t="inlineStr">
        <is>
          <t>HAGFORS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54744-2024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45618</v>
      </c>
      <c r="E818" s="1" t="n">
        <v>46320</v>
      </c>
      <c r="F818" t="inlineStr">
        <is>
          <t>VÄRMLANDS LÄN</t>
        </is>
      </c>
      <c r="G818" t="inlineStr">
        <is>
          <t>HAGFORS</t>
        </is>
      </c>
      <c r="H818" t="inlineStr">
        <is>
          <t>Kyrkan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22031-2023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45069</v>
      </c>
      <c r="E819" s="1" t="n">
        <v>46320</v>
      </c>
      <c r="F819" t="inlineStr">
        <is>
          <t>VÄRMLANDS LÄN</t>
        </is>
      </c>
      <c r="G819" t="inlineStr">
        <is>
          <t>HAGFORS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60582-2024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45644</v>
      </c>
      <c r="E820" s="1" t="n">
        <v>46320</v>
      </c>
      <c r="F820" t="inlineStr">
        <is>
          <t>VÄRMLANDS LÄN</t>
        </is>
      </c>
      <c r="G820" t="inlineStr">
        <is>
          <t>HAGFORS</t>
        </is>
      </c>
      <c r="H820" t="inlineStr">
        <is>
          <t>Kyrkan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31657-2024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45506</v>
      </c>
      <c r="E821" s="1" t="n">
        <v>46320</v>
      </c>
      <c r="F821" t="inlineStr">
        <is>
          <t>VÄRMLANDS LÄN</t>
        </is>
      </c>
      <c r="G821" t="inlineStr">
        <is>
          <t>HAGFORS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60991-2024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45645</v>
      </c>
      <c r="E822" s="1" t="n">
        <v>46320</v>
      </c>
      <c r="F822" t="inlineStr">
        <is>
          <t>VÄRMLANDS LÄN</t>
        </is>
      </c>
      <c r="G822" t="inlineStr">
        <is>
          <t>HAGFORS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15886-2022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44664</v>
      </c>
      <c r="E823" s="1" t="n">
        <v>46320</v>
      </c>
      <c r="F823" t="inlineStr">
        <is>
          <t>VÄRMLANDS LÄN</t>
        </is>
      </c>
      <c r="G823" t="inlineStr">
        <is>
          <t>HAGFORS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45659</v>
      </c>
      <c r="E824" s="1" t="n">
        <v>46320</v>
      </c>
      <c r="F824" t="inlineStr">
        <is>
          <t>VÄRMLANDS LÄN</t>
        </is>
      </c>
      <c r="G824" t="inlineStr">
        <is>
          <t>HAGFORS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20113-2023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45055</v>
      </c>
      <c r="E825" s="1" t="n">
        <v>46320</v>
      </c>
      <c r="F825" t="inlineStr">
        <is>
          <t>VÄRMLANDS LÄN</t>
        </is>
      </c>
      <c r="G825" t="inlineStr">
        <is>
          <t>HAGFORS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18585-2025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45763</v>
      </c>
      <c r="E826" s="1" t="n">
        <v>46320</v>
      </c>
      <c r="F826" t="inlineStr">
        <is>
          <t>VÄRMLANDS LÄN</t>
        </is>
      </c>
      <c r="G826" t="inlineStr">
        <is>
          <t>HAGFORS</t>
        </is>
      </c>
      <c r="H826" t="inlineStr">
        <is>
          <t>Kyrkan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54112-2023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45232</v>
      </c>
      <c r="E827" s="1" t="n">
        <v>46320</v>
      </c>
      <c r="F827" t="inlineStr">
        <is>
          <t>VÄRMLANDS LÄN</t>
        </is>
      </c>
      <c r="G827" t="inlineStr">
        <is>
          <t>HAGFORS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32627-2023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45121</v>
      </c>
      <c r="E828" s="1" t="n">
        <v>46320</v>
      </c>
      <c r="F828" t="inlineStr">
        <is>
          <t>VÄRMLANDS LÄN</t>
        </is>
      </c>
      <c r="G828" t="inlineStr">
        <is>
          <t>HAGFORS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45716</v>
      </c>
      <c r="E829" s="1" t="n">
        <v>46320</v>
      </c>
      <c r="F829" t="inlineStr">
        <is>
          <t>VÄRMLANDS LÄN</t>
        </is>
      </c>
      <c r="G829" t="inlineStr">
        <is>
          <t>HAGFORS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52924-2023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45226</v>
      </c>
      <c r="E830" s="1" t="n">
        <v>46320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13094-2024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45385</v>
      </c>
      <c r="E831" s="1" t="n">
        <v>46320</v>
      </c>
      <c r="F831" t="inlineStr">
        <is>
          <t>VÄRMLANDS LÄN</t>
        </is>
      </c>
      <c r="G831" t="inlineStr">
        <is>
          <t>HAGFORS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8496-2022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44613</v>
      </c>
      <c r="E832" s="1" t="n">
        <v>46320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3162-2025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45679</v>
      </c>
      <c r="E833" s="1" t="n">
        <v>46320</v>
      </c>
      <c r="F833" t="inlineStr">
        <is>
          <t>VÄRMLANDS LÄN</t>
        </is>
      </c>
      <c r="G833" t="inlineStr">
        <is>
          <t>HAGFORS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5338-2025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45692</v>
      </c>
      <c r="E834" s="1" t="n">
        <v>46320</v>
      </c>
      <c r="F834" t="inlineStr">
        <is>
          <t>VÄRMLANDS LÄN</t>
        </is>
      </c>
      <c r="G834" t="inlineStr">
        <is>
          <t>HAGFORS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12434-2022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44638</v>
      </c>
      <c r="E835" s="1" t="n">
        <v>46320</v>
      </c>
      <c r="F835" t="inlineStr">
        <is>
          <t>VÄRMLANDS LÄN</t>
        </is>
      </c>
      <c r="G835" t="inlineStr">
        <is>
          <t>HAGFORS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36030-2023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46320</v>
      </c>
      <c r="F836" t="inlineStr">
        <is>
          <t>VÄRMLANDS LÄN</t>
        </is>
      </c>
      <c r="G836" t="inlineStr">
        <is>
          <t>HAGFORS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7332-2025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45703</v>
      </c>
      <c r="E837" s="1" t="n">
        <v>46320</v>
      </c>
      <c r="F837" t="inlineStr">
        <is>
          <t>VÄRMLANDS LÄN</t>
        </is>
      </c>
      <c r="G837" t="inlineStr">
        <is>
          <t>HAGFORS</t>
        </is>
      </c>
      <c r="H837" t="inlineStr">
        <is>
          <t>Kyrkan</t>
        </is>
      </c>
      <c r="I837" t="n">
        <v>15.9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35886-2023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45148</v>
      </c>
      <c r="E838" s="1" t="n">
        <v>46320</v>
      </c>
      <c r="F838" t="inlineStr">
        <is>
          <t>VÄRMLANDS LÄN</t>
        </is>
      </c>
      <c r="G838" t="inlineStr">
        <is>
          <t>HAGFORS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29855-2023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45107</v>
      </c>
      <c r="E839" s="1" t="n">
        <v>46320</v>
      </c>
      <c r="F839" t="inlineStr">
        <is>
          <t>VÄRMLANDS LÄN</t>
        </is>
      </c>
      <c r="G839" t="inlineStr">
        <is>
          <t>HAGFORS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18699-2022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44687</v>
      </c>
      <c r="E840" s="1" t="n">
        <v>46320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56808-2023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45244</v>
      </c>
      <c r="E841" s="1" t="n">
        <v>46320</v>
      </c>
      <c r="F841" t="inlineStr">
        <is>
          <t>VÄRMLANDS LÄN</t>
        </is>
      </c>
      <c r="G841" t="inlineStr">
        <is>
          <t>HAGFORS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3996-2025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45684</v>
      </c>
      <c r="E842" s="1" t="n">
        <v>46320</v>
      </c>
      <c r="F842" t="inlineStr">
        <is>
          <t>VÄRMLANDS LÄN</t>
        </is>
      </c>
      <c r="G842" t="inlineStr">
        <is>
          <t>HAGFORS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40835-2023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45172</v>
      </c>
      <c r="E843" s="1" t="n">
        <v>46320</v>
      </c>
      <c r="F843" t="inlineStr">
        <is>
          <t>VÄRMLANDS LÄN</t>
        </is>
      </c>
      <c r="G843" t="inlineStr">
        <is>
          <t>HAGFORS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52224-2023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45224</v>
      </c>
      <c r="E844" s="1" t="n">
        <v>46320</v>
      </c>
      <c r="F844" t="inlineStr">
        <is>
          <t>VÄRMLANDS LÄN</t>
        </is>
      </c>
      <c r="G844" t="inlineStr">
        <is>
          <t>HAGFORS</t>
        </is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9474-2025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46320</v>
      </c>
      <c r="F845" t="inlineStr">
        <is>
          <t>VÄRMLANDS LÄN</t>
        </is>
      </c>
      <c r="G845" t="inlineStr">
        <is>
          <t>HAGFORS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45764</v>
      </c>
      <c r="E846" s="1" t="n">
        <v>46320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30180-2023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45110</v>
      </c>
      <c r="E847" s="1" t="n">
        <v>46320</v>
      </c>
      <c r="F847" t="inlineStr">
        <is>
          <t>VÄRMLANDS LÄN</t>
        </is>
      </c>
      <c r="G847" t="inlineStr">
        <is>
          <t>HAGFORS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61232-2024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45645</v>
      </c>
      <c r="E848" s="1" t="n">
        <v>46320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64155-2023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45279</v>
      </c>
      <c r="E849" s="1" t="n">
        <v>46320</v>
      </c>
      <c r="F849" t="inlineStr">
        <is>
          <t>VÄRMLANDS LÄN</t>
        </is>
      </c>
      <c r="G849" t="inlineStr">
        <is>
          <t>HAGFORS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14464-2025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45741</v>
      </c>
      <c r="E850" s="1" t="n">
        <v>46320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58437-2023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45250</v>
      </c>
      <c r="E851" s="1" t="n">
        <v>46320</v>
      </c>
      <c r="F851" t="inlineStr">
        <is>
          <t>VÄRMLANDS LÄN</t>
        </is>
      </c>
      <c r="G851" t="inlineStr">
        <is>
          <t>HAGFORS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11160-2025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45723</v>
      </c>
      <c r="E852" s="1" t="n">
        <v>46320</v>
      </c>
      <c r="F852" t="inlineStr">
        <is>
          <t>VÄRMLANDS LÄN</t>
        </is>
      </c>
      <c r="G852" t="inlineStr">
        <is>
          <t>HAGFORS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11180-2025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45725</v>
      </c>
      <c r="E853" s="1" t="n">
        <v>46320</v>
      </c>
      <c r="F853" t="inlineStr">
        <is>
          <t>VÄRMLANDS LÄN</t>
        </is>
      </c>
      <c r="G853" t="inlineStr">
        <is>
          <t>HAGFORS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30710-2022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44763</v>
      </c>
      <c r="E854" s="1" t="n">
        <v>46320</v>
      </c>
      <c r="F854" t="inlineStr">
        <is>
          <t>VÄRMLANDS LÄN</t>
        </is>
      </c>
      <c r="G854" t="inlineStr">
        <is>
          <t>HAGFORS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2315-2024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45310</v>
      </c>
      <c r="E855" s="1" t="n">
        <v>46320</v>
      </c>
      <c r="F855" t="inlineStr">
        <is>
          <t>VÄRMLANDS LÄN</t>
        </is>
      </c>
      <c r="G855" t="inlineStr">
        <is>
          <t>HAGFORS</t>
        </is>
      </c>
      <c r="H855" t="inlineStr">
        <is>
          <t>Kyrkan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49585-2023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45211</v>
      </c>
      <c r="E856" s="1" t="n">
        <v>46320</v>
      </c>
      <c r="F856" t="inlineStr">
        <is>
          <t>VÄRMLANDS LÄN</t>
        </is>
      </c>
      <c r="G856" t="inlineStr">
        <is>
          <t>HAGFORS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25349-2023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45087</v>
      </c>
      <c r="E857" s="1" t="n">
        <v>46320</v>
      </c>
      <c r="F857" t="inlineStr">
        <is>
          <t>VÄRMLANDS LÄN</t>
        </is>
      </c>
      <c r="G857" t="inlineStr">
        <is>
          <t>HAGFORS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61304-2023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45264</v>
      </c>
      <c r="E858" s="1" t="n">
        <v>46320</v>
      </c>
      <c r="F858" t="inlineStr">
        <is>
          <t>VÄRMLANDS LÄN</t>
        </is>
      </c>
      <c r="G858" t="inlineStr">
        <is>
          <t>HAGFORS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5482-2022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44595</v>
      </c>
      <c r="E859" s="1" t="n">
        <v>46320</v>
      </c>
      <c r="F859" t="inlineStr">
        <is>
          <t>VÄRMLANDS LÄN</t>
        </is>
      </c>
      <c r="G859" t="inlineStr">
        <is>
          <t>HAGFORS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30327-2022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44760</v>
      </c>
      <c r="E860" s="1" t="n">
        <v>46320</v>
      </c>
      <c r="F860" t="inlineStr">
        <is>
          <t>VÄRMLANDS LÄN</t>
        </is>
      </c>
      <c r="G860" t="inlineStr">
        <is>
          <t>HAGFORS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54929-2024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45618</v>
      </c>
      <c r="E861" s="1" t="n">
        <v>46320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49753-2023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45212</v>
      </c>
      <c r="E862" s="1" t="n">
        <v>46320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31660-2022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44776</v>
      </c>
      <c r="E863" s="1" t="n">
        <v>46320</v>
      </c>
      <c r="F863" t="inlineStr">
        <is>
          <t>VÄRMLANDS LÄN</t>
        </is>
      </c>
      <c r="G863" t="inlineStr">
        <is>
          <t>HAGFORS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56466-2024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45625</v>
      </c>
      <c r="E864" s="1" t="n">
        <v>46320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2317-2025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45673</v>
      </c>
      <c r="E865" s="1" t="n">
        <v>46320</v>
      </c>
      <c r="F865" t="inlineStr">
        <is>
          <t>VÄRMLANDS LÄN</t>
        </is>
      </c>
      <c r="G865" t="inlineStr">
        <is>
          <t>HAGFORS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28087-2024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45476</v>
      </c>
      <c r="E866" s="1" t="n">
        <v>46320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36206-2024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45534</v>
      </c>
      <c r="E867" s="1" t="n">
        <v>46320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31812-2024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45509</v>
      </c>
      <c r="E868" s="1" t="n">
        <v>46320</v>
      </c>
      <c r="F868" t="inlineStr">
        <is>
          <t>VÄRMLANDS LÄN</t>
        </is>
      </c>
      <c r="G868" t="inlineStr">
        <is>
          <t>HAGFORS</t>
        </is>
      </c>
      <c r="H868" t="inlineStr">
        <is>
          <t>Kommuner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42150-2024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45562</v>
      </c>
      <c r="E869" s="1" t="n">
        <v>46320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60178-2023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45258</v>
      </c>
      <c r="E870" s="1" t="n">
        <v>46320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15270-2024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45400</v>
      </c>
      <c r="E871" s="1" t="n">
        <v>46320</v>
      </c>
      <c r="F871" t="inlineStr">
        <is>
          <t>VÄRMLANDS LÄN</t>
        </is>
      </c>
      <c r="G871" t="inlineStr">
        <is>
          <t>HAGFORS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8304-2022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44610</v>
      </c>
      <c r="E872" s="1" t="n">
        <v>46320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55447-2022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44887</v>
      </c>
      <c r="E873" s="1" t="n">
        <v>46320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4260-2023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44953</v>
      </c>
      <c r="E874" s="1" t="n">
        <v>46320</v>
      </c>
      <c r="F874" t="inlineStr">
        <is>
          <t>VÄRMLANDS LÄN</t>
        </is>
      </c>
      <c r="G874" t="inlineStr">
        <is>
          <t>HAGFORS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3846-2023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44951</v>
      </c>
      <c r="E875" s="1" t="n">
        <v>46320</v>
      </c>
      <c r="F875" t="inlineStr">
        <is>
          <t>VÄRMLANDS LÄN</t>
        </is>
      </c>
      <c r="G875" t="inlineStr">
        <is>
          <t>HAGFORS</t>
        </is>
      </c>
      <c r="H875" t="inlineStr">
        <is>
          <t>Kommuner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13850-2022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44649</v>
      </c>
      <c r="E876" s="1" t="n">
        <v>46320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2225-2020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44127</v>
      </c>
      <c r="E877" s="1" t="n">
        <v>46320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2050-2022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44671</v>
      </c>
      <c r="E878" s="1" t="n">
        <v>46320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937-2022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46320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59.4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931-2022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46320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49.5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44578</v>
      </c>
      <c r="E881" s="1" t="n">
        <v>46320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78.90000000000001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907-2022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46320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43.5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913-2022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46320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898-2022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46320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900-2022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44606</v>
      </c>
      <c r="E885" s="1" t="n">
        <v>46320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914-2022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44606</v>
      </c>
      <c r="E886" s="1" t="n">
        <v>46320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4419-2023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46320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4420-2023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46320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44.2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4426-2023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46320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9.699999999999999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5512-2022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44834</v>
      </c>
      <c r="E890" s="1" t="n">
        <v>46320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29.9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4415-2023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46320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9.199999999999999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6970-2022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46320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29.3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4408-2023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45266</v>
      </c>
      <c r="E893" s="1" t="n">
        <v>46320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6968-2022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44901</v>
      </c>
      <c r="E894" s="1" t="n">
        <v>46320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19.3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4423-2023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46320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15.7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4418-2023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45266</v>
      </c>
      <c r="E896" s="1" t="n">
        <v>46320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19.1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651-2024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45356</v>
      </c>
      <c r="E897" s="1" t="n">
        <v>46320</v>
      </c>
      <c r="F897" t="inlineStr">
        <is>
          <t>VÄRMLANDS LÄN</t>
        </is>
      </c>
      <c r="G897" t="inlineStr">
        <is>
          <t>HAGFORS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4145-2023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46320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6967-2022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44901</v>
      </c>
      <c r="E899" s="1" t="n">
        <v>46320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27.1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89-2025</t>
        </is>
      </c>
      <c r="B900" t="inlineStr">
        <is>
          <t>samrådsanmälan</t>
        </is>
      </c>
      <c r="C900" t="inlineStr">
        <is>
          <t>Åtgärd i nyckelbiotop</t>
        </is>
      </c>
      <c r="D900" s="1" t="n">
        <v>45316</v>
      </c>
      <c r="E900" s="1" t="n">
        <v>46320</v>
      </c>
      <c r="F900" t="inlineStr">
        <is>
          <t>VÄRMLANDS LÄN</t>
        </is>
      </c>
      <c r="G900" t="inlineStr">
        <is>
          <t>HAGFORS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6969-2022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44901</v>
      </c>
      <c r="E901" s="1" t="n">
        <v>46320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24.3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220-2025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45680</v>
      </c>
      <c r="E902" s="1" t="n">
        <v>46320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4150-2023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46320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34.4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4410-2023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46320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39.3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4409-2023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45266</v>
      </c>
      <c r="E905" s="1" t="n">
        <v>46320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4155-2023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46320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40.9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4140-2023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46320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36.5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6977-2022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46320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6973-2022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46320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30.1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4143-2023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46320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4407-2023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45266</v>
      </c>
      <c r="E911" s="1" t="n">
        <v>46320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12.1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6965-2022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44901</v>
      </c>
      <c r="E912" s="1" t="n">
        <v>46320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21.4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662-2025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45716</v>
      </c>
      <c r="E913" s="1" t="n">
        <v>46320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52.4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108-2026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46037</v>
      </c>
      <c r="E914" s="1" t="n">
        <v>46320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204.4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102-2026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46036</v>
      </c>
      <c r="E915" s="1" t="n">
        <v>46320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57.9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60-2026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46013</v>
      </c>
      <c r="E916" s="1" t="n">
        <v>46320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10.6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382-2025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45691</v>
      </c>
      <c r="E917" s="1" t="n">
        <v>46320</v>
      </c>
      <c r="F917" t="inlineStr">
        <is>
          <t>VÄRMLANDS LÄN</t>
        </is>
      </c>
      <c r="G917" t="inlineStr">
        <is>
          <t>HAGFORS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2026-10-25T02:01:16Z</dcterms:created>
  <dcterms:modified xmlns:dcterms="http://purl.org/dc/terms/" xmlns:xsi="http://www.w3.org/2001/XMLSchema-instance" xsi:type="dcterms:W3CDTF">2026-10-25T02:01:16Z</dcterms:modified>
</cp:coreProperties>
</file>