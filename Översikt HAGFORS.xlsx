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A 46698-2021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44445</v>
      </c>
      <c r="E6" s="1" t="n">
        <v>46272</v>
      </c>
      <c r="F6" t="inlineStr">
        <is>
          <t>VÄRMLANDS LÄN</t>
        </is>
      </c>
      <c r="G6" t="inlineStr">
        <is>
          <t>HAGFORS</t>
        </is>
      </c>
      <c r="H6" t="inlineStr">
        <is>
          <t>Kyrkan</t>
        </is>
      </c>
      <c r="I6" t="n">
        <v>8.300000000000001</v>
      </c>
      <c r="J6" t="n">
        <v>1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11</v>
      </c>
      <c r="V6" s="2" t="inlineStr">
        <is>
          <t>Garnlav
Kattfotslav
Kolflarnlav
Lunglav
Mörk kolflarnlav
Vedskivlav
Korallblylav
Spindelblomster
Stuplav</t>
        </is>
      </c>
      <c r="W6">
        <f>HYPERLINK("https://klasma.github.io/Logging_1783/artfynd/A 46698-2021 artfynd.xlsx", "A 46698-2021")</f>
        <v/>
      </c>
      <c r="X6">
        <f>HYPERLINK("https://klasma.github.io/Logging_1783/kartor/A 46698-2021 karta.png", "A 46698-2021")</f>
        <v/>
      </c>
      <c r="Y6">
        <f>HYPERLINK("https://klasma.github.io/Logging_1783/kartor_geotiff/A 46698-2021 georefererad karta.tif", "A 46698-2021")</f>
        <v/>
      </c>
      <c r="AA6">
        <f>HYPERLINK("https://klasma.github.io/Logging_1783/klagomål/A 46698-2021 FSC-klagomål.docx", "A 46698-2021")</f>
        <v/>
      </c>
      <c r="AB6">
        <f>HYPERLINK("https://klasma.github.io/Logging_1783/klagomålsmail/A 46698-2021 FSC-klagomål mail.docx", "A 46698-2021")</f>
        <v/>
      </c>
      <c r="AC6">
        <f>HYPERLINK("https://klasma.github.io/Logging_1783/tillsyn/A 46698-2021 tillsynsbegäran.docx", "A 46698-2021")</f>
        <v/>
      </c>
      <c r="AD6">
        <f>HYPERLINK("https://klasma.github.io/Logging_1783/tillsynsmail/A 46698-2021 tillsynsbegäran mail.docx", "A 46698-2021")</f>
        <v/>
      </c>
    </row>
    <row r="7" ht="15" customHeight="1">
      <c r="A7" t="inlineStr">
        <is>
          <t>S 196-2025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45678</v>
      </c>
      <c r="E7" s="1" t="n">
        <v>46272</v>
      </c>
      <c r="F7" t="inlineStr">
        <is>
          <t>VÄRMLANDS LÄN</t>
        </is>
      </c>
      <c r="G7" t="inlineStr">
        <is>
          <t>HAGFORS</t>
        </is>
      </c>
      <c r="H7" t="inlineStr">
        <is>
          <t>Bergvik skog väst AB</t>
        </is>
      </c>
      <c r="I7" t="n">
        <v>18.2</v>
      </c>
      <c r="J7" t="n">
        <v>0</v>
      </c>
      <c r="K7" t="n">
        <v>5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12</v>
      </c>
      <c r="U7" t="n">
        <v>0</v>
      </c>
      <c r="V7" s="2" t="inlineStr">
        <is>
          <t>Garnlav
Lunglav
Skuggblåslav
Vedtrappmossa
Bronshjon
Korallblylav
Mindre märgborre
Thomsons trägnagare
Vanlig flatbagge</t>
        </is>
      </c>
      <c r="W7">
        <f>HYPERLINK("https://klasma.github.io/Logging_1783/artfynd/S 196-2025 artfynd.xlsx", "S 196-2025")</f>
        <v/>
      </c>
      <c r="X7">
        <f>HYPERLINK("https://klasma.github.io/Logging_1783/kartor/S 196-2025 karta.png", "S 196-2025")</f>
        <v/>
      </c>
      <c r="Y7">
        <f>HYPERLINK("https://klasma.github.io/Logging_1783/kartor_geotiff/S 196-2025 georefererad karta.tif", "S 196-2025")</f>
        <v/>
      </c>
      <c r="AA7">
        <f>HYPERLINK("https://klasma.github.io/Logging_1783/klagomål/S 196-2025 FSC-klagomål.docx", "S 196-2025")</f>
        <v/>
      </c>
      <c r="AB7">
        <f>HYPERLINK("https://klasma.github.io/Logging_1783/klagomålsmail/S 196-2025 FSC-klagomål mail.docx", "S 196-2025")</f>
        <v/>
      </c>
      <c r="AC7">
        <f>HYPERLINK("https://klasma.github.io/Logging_1783/tillsyn/S 196-2025 tillsynsbegäran.docx", "S 196-2025")</f>
        <v/>
      </c>
      <c r="AD7">
        <f>HYPERLINK("https://klasma.github.io/Logging_1783/tillsynsmail/S 196-2025 tillsynsbegäran mail.docx", "S 196-2025")</f>
        <v/>
      </c>
    </row>
    <row r="8" ht="15" customHeight="1">
      <c r="A8" t="inlineStr">
        <is>
          <t>A 29984-2024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45488</v>
      </c>
      <c r="E8" s="1" t="n">
        <v>46272</v>
      </c>
      <c r="F8" t="inlineStr">
        <is>
          <t>VÄRMLANDS LÄN</t>
        </is>
      </c>
      <c r="G8" t="inlineStr">
        <is>
          <t>HAGFORS</t>
        </is>
      </c>
      <c r="I8" t="n">
        <v>11.8</v>
      </c>
      <c r="J8" t="n">
        <v>0</v>
      </c>
      <c r="K8" t="n">
        <v>3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8</v>
      </c>
      <c r="T8" t="n">
        <v>15</v>
      </c>
      <c r="U8" t="n">
        <v>0</v>
      </c>
      <c r="V8" s="2" t="inlineStr">
        <is>
          <t>Garnlav
Dropptaggsvamp
Kattfotslav
Lunglav
Vedtrappmossa
Bronshjon
Korallblylav
Thomsons trägnagare</t>
        </is>
      </c>
      <c r="W8">
        <f>HYPERLINK("https://klasma.github.io/Logging_1783/artfynd/A 29984-2024 artfynd.xlsx", "A 29984-2024")</f>
        <v/>
      </c>
      <c r="X8">
        <f>HYPERLINK("https://klasma.github.io/Logging_1783/kartor/A 29984-2024 karta.png", "A 29984-2024")</f>
        <v/>
      </c>
      <c r="Y8">
        <f>HYPERLINK("https://klasma.github.io/Logging_1783/kartor_geotiff/A 29984-2024 georefererad karta.tif", "A 29984-2024")</f>
        <v/>
      </c>
      <c r="AA8">
        <f>HYPERLINK("https://klasma.github.io/Logging_1783/klagomål/A 29984-2024 FSC-klagomål.docx", "A 29984-2024")</f>
        <v/>
      </c>
      <c r="AB8">
        <f>HYPERLINK("https://klasma.github.io/Logging_1783/klagomålsmail/A 29984-2024 FSC-klagomål mail.docx", "A 29984-2024")</f>
        <v/>
      </c>
      <c r="AC8">
        <f>HYPERLINK("https://klasma.github.io/Logging_1783/tillsyn/A 29984-2024 tillsynsbegäran.docx", "A 29984-2024")</f>
        <v/>
      </c>
      <c r="AD8">
        <f>HYPERLINK("https://klasma.github.io/Logging_1783/tillsynsmail/A 29984-2024 tillsynsbegäran mail.docx", "A 29984-2024")</f>
        <v/>
      </c>
    </row>
    <row r="9" ht="15" customHeight="1">
      <c r="A9" t="inlineStr">
        <is>
          <t>A 40910-2023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45173</v>
      </c>
      <c r="E9" s="1" t="n">
        <v>46272</v>
      </c>
      <c r="F9" t="inlineStr">
        <is>
          <t>VÄRMLANDS LÄN</t>
        </is>
      </c>
      <c r="G9" t="inlineStr">
        <is>
          <t>HAGFORS</t>
        </is>
      </c>
      <c r="H9" t="inlineStr">
        <is>
          <t>Kyrkan</t>
        </is>
      </c>
      <c r="I9" t="n">
        <v>13.1</v>
      </c>
      <c r="J9" t="n">
        <v>0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Kolflarnlav
Lunglav
Mörk kolflarnlav
Vedskivlav
Stuplav</t>
        </is>
      </c>
      <c r="W9">
        <f>HYPERLINK("https://klasma.github.io/Logging_1783/artfynd/A 40910-2023 artfynd.xlsx", "A 40910-2023")</f>
        <v/>
      </c>
      <c r="X9">
        <f>HYPERLINK("https://klasma.github.io/Logging_1783/kartor/A 40910-2023 karta.png", "A 40910-2023")</f>
        <v/>
      </c>
      <c r="Y9">
        <f>HYPERLINK("https://klasma.github.io/Logging_1783/kartor_geotiff/A 40910-2023 georefererad karta.tif", "A 40910-2023")</f>
        <v/>
      </c>
      <c r="AA9">
        <f>HYPERLINK("https://klasma.github.io/Logging_1783/klagomål/A 40910-2023 FSC-klagomål.docx", "A 40910-2023")</f>
        <v/>
      </c>
      <c r="AB9">
        <f>HYPERLINK("https://klasma.github.io/Logging_1783/klagomålsmail/A 40910-2023 FSC-klagomål mail.docx", "A 40910-2023")</f>
        <v/>
      </c>
      <c r="AC9">
        <f>HYPERLINK("https://klasma.github.io/Logging_1783/tillsyn/A 40910-2023 tillsynsbegäran.docx", "A 40910-2023")</f>
        <v/>
      </c>
      <c r="AD9">
        <f>HYPERLINK("https://klasma.github.io/Logging_1783/tillsynsmail/A 40910-2023 tillsynsbegäran mail.docx", "A 40910-2023")</f>
        <v/>
      </c>
    </row>
    <row r="10" ht="15" customHeight="1">
      <c r="A10" t="inlineStr">
        <is>
          <t>A 56054-2025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45973</v>
      </c>
      <c r="E10" s="1" t="n">
        <v>46272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4.8</v>
      </c>
      <c r="J10" t="n">
        <v>1</v>
      </c>
      <c r="K10" t="n">
        <v>3</v>
      </c>
      <c r="L10" t="n">
        <v>1</v>
      </c>
      <c r="M10" t="n">
        <v>2</v>
      </c>
      <c r="N10" t="n">
        <v>0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8</v>
      </c>
      <c r="U10" t="n">
        <v>1</v>
      </c>
      <c r="V10" s="2" t="inlineStr">
        <is>
          <t>Aspgelélav
Knärot
Violettgrå tagellav
Dvärgtufs
Korallblylav
Stuplav</t>
        </is>
      </c>
      <c r="W10">
        <f>HYPERLINK("https://klasma.github.io/Logging_1783/artfynd/A 56054-2025 artfynd.xlsx", "A 56054-2025")</f>
        <v/>
      </c>
      <c r="X10">
        <f>HYPERLINK("https://klasma.github.io/Logging_1783/kartor/A 56054-2025 karta.png", "A 56054-2025")</f>
        <v/>
      </c>
      <c r="Y10">
        <f>HYPERLINK("https://klasma.github.io/Logging_1783/kartor_geotiff/A 56054-2025 georefererad karta.tif", "A 56054-2025")</f>
        <v/>
      </c>
      <c r="Z10">
        <f>HYPERLINK("https://klasma.github.io/Logging_1783/knärot/A 56054-2025 karta knärot.png", "A 56054-2025")</f>
        <v/>
      </c>
      <c r="AA10">
        <f>HYPERLINK("https://klasma.github.io/Logging_1783/klagomål/A 56054-2025 FSC-klagomål.docx", "A 56054-2025")</f>
        <v/>
      </c>
      <c r="AB10">
        <f>HYPERLINK("https://klasma.github.io/Logging_1783/klagomålsmail/A 56054-2025 FSC-klagomål mail.docx", "A 56054-2025")</f>
        <v/>
      </c>
      <c r="AC10">
        <f>HYPERLINK("https://klasma.github.io/Logging_1783/tillsyn/A 56054-2025 tillsynsbegäran.docx", "A 56054-2025")</f>
        <v/>
      </c>
      <c r="AD10">
        <f>HYPERLINK("https://klasma.github.io/Logging_1783/tillsynsmail/A 56054-2025 tillsynsbegäran mail.docx", "A 56054-2025")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46272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46272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46272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46272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46272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46272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46272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46272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46272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46272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46272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46272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46272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46272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46272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46272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46272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46272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46272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46272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46272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46272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46272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46272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46272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46272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46272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46272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46272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46272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46272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46272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8254-2026 artfynd.xlsx", "A 8254-2026")</f>
        <v/>
      </c>
      <c r="X45">
        <f>HYPERLINK("https://klasma.github.io/Logging_1783/kartor/A 8254-2026 karta.png", "A 8254-2026")</f>
        <v/>
      </c>
      <c r="Y45">
        <f>HYPERLINK("https://klasma.github.io/Logging_1783/kartor_geotiff/A 8254-2026 georefererad karta.tif", "A 8254-2026")</f>
        <v/>
      </c>
      <c r="AA45">
        <f>HYPERLINK("https://klasma.github.io/Logging_1783/klagomål/A 8254-2026 FSC-klagomål.docx", "A 8254-2026")</f>
        <v/>
      </c>
      <c r="AB45">
        <f>HYPERLINK("https://klasma.github.io/Logging_1783/klagomålsmail/A 8254-2026 FSC-klagomål mail.docx", "A 8254-2026")</f>
        <v/>
      </c>
      <c r="AC45">
        <f>HYPERLINK("https://klasma.github.io/Logging_1783/tillsyn/A 8254-2026 tillsynsbegäran.docx", "A 8254-2026")</f>
        <v/>
      </c>
      <c r="AD45">
        <f>HYPERLINK("https://klasma.github.io/Logging_1783/tillsynsmail/A 8254-2026 tillsynsbegäran mail.docx", "A 8254-2026")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46272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46272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12445-2026 artfynd.xlsx", "A 12445-2026")</f>
        <v/>
      </c>
      <c r="X47">
        <f>HYPERLINK("https://klasma.github.io/Logging_1783/kartor/A 12445-2026 karta.png", "A 12445-2026")</f>
        <v/>
      </c>
      <c r="Y47">
        <f>HYPERLINK("https://klasma.github.io/Logging_1783/kartor_geotiff/A 12445-2026 georefererad karta.tif", "A 12445-2026")</f>
        <v/>
      </c>
      <c r="AA47">
        <f>HYPERLINK("https://klasma.github.io/Logging_1783/klagomål/A 12445-2026 FSC-klagomål.docx", "A 12445-2026")</f>
        <v/>
      </c>
      <c r="AB47">
        <f>HYPERLINK("https://klasma.github.io/Logging_1783/klagomålsmail/A 12445-2026 FSC-klagomål mail.docx", "A 12445-2026")</f>
        <v/>
      </c>
      <c r="AC47">
        <f>HYPERLINK("https://klasma.github.io/Logging_1783/tillsyn/A 12445-2026 tillsynsbegäran.docx", "A 12445-2026")</f>
        <v/>
      </c>
      <c r="AD47">
        <f>HYPERLINK("https://klasma.github.io/Logging_1783/tillsynsmail/A 12445-2026 tillsynsbegäran mail.docx", "A 12445-2026")</f>
        <v/>
      </c>
      <c r="AE47">
        <f>HYPERLINK("https://klasma.github.io/Logging_1783/fåglar/A 12445-2026 prioriterade fågelarter.docx", "A 12445-2026")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46272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46272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46272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46272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46272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46272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46272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46272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12673-2024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45384</v>
      </c>
      <c r="E58" s="1" t="n">
        <v>46272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12673-2024 artfynd.xlsx", "A 12673-2024")</f>
        <v/>
      </c>
      <c r="X58">
        <f>HYPERLINK("https://klasma.github.io/Logging_1783/kartor/A 12673-2024 karta.png", "A 12673-2024")</f>
        <v/>
      </c>
      <c r="Y58">
        <f>HYPERLINK("https://klasma.github.io/Logging_1783/kartor_geotiff/A 12673-2024 georefererad karta.tif", "A 12673-2024")</f>
        <v/>
      </c>
      <c r="AA58">
        <f>HYPERLINK("https://klasma.github.io/Logging_1783/klagomål/A 12673-2024 FSC-klagomål.docx", "A 12673-2024")</f>
        <v/>
      </c>
      <c r="AB58">
        <f>HYPERLINK("https://klasma.github.io/Logging_1783/klagomålsmail/A 12673-2024 FSC-klagomål mail.docx", "A 12673-2024")</f>
        <v/>
      </c>
      <c r="AC58">
        <f>HYPERLINK("https://klasma.github.io/Logging_1783/tillsyn/A 12673-2024 tillsynsbegäran.docx", "A 12673-2024")</f>
        <v/>
      </c>
      <c r="AD58">
        <f>HYPERLINK("https://klasma.github.io/Logging_1783/tillsynsmail/A 12673-2024 tillsynsbegäran mail.docx", "A 12673-2024")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46272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46272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46272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46272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46272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46272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S 412-2024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45335</v>
      </c>
      <c r="E65" s="1" t="n">
        <v>46272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344.9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HYPERLINK("https://klasma.github.io/Logging_1783/artfynd/S 412-2024 artfynd.xlsx", "S 412-2024")</f>
        <v/>
      </c>
      <c r="X65">
        <f>HYPERLINK("https://klasma.github.io/Logging_1783/kartor/S 412-2024 karta.png", "S 412-2024")</f>
        <v/>
      </c>
      <c r="Y65">
        <f>HYPERLINK("https://klasma.github.io/Logging_1783/kartor_geotiff/S 412-2024 georefererad karta.tif", "S 412-2024")</f>
        <v/>
      </c>
      <c r="AA65">
        <f>HYPERLINK("https://klasma.github.io/Logging_1783/klagomål/S 412-2024 FSC-klagomål.docx", "S 412-2024")</f>
        <v/>
      </c>
      <c r="AB65">
        <f>HYPERLINK("https://klasma.github.io/Logging_1783/klagomålsmail/S 412-2024 FSC-klagomål mail.docx", "S 412-2024")</f>
        <v/>
      </c>
      <c r="AC65">
        <f>HYPERLINK("https://klasma.github.io/Logging_1783/tillsyn/S 412-2024 tillsynsbegäran.docx", "S 412-2024")</f>
        <v/>
      </c>
      <c r="AD65">
        <f>HYPERLINK("https://klasma.github.io/Logging_1783/tillsynsmail/S 412-2024 tillsynsbegäran mail.docx", "S 412-2024")</f>
        <v/>
      </c>
      <c r="AE65">
        <f>HYPERLINK("https://klasma.github.io/Logging_1783/fåglar/S 412-2024 prioriterade fågelarter.docx", "S 412-2024")</f>
        <v/>
      </c>
    </row>
    <row r="66" ht="15" customHeight="1">
      <c r="A66" t="inlineStr">
        <is>
          <t>S 4427-2023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45266</v>
      </c>
      <c r="E66" s="1" t="n">
        <v>46272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33.3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Fjällig jordtunga</t>
        </is>
      </c>
      <c r="W66">
        <f>HYPERLINK("https://klasma.github.io/Logging_1783/artfynd/S 4427-2023 artfynd.xlsx", "S 4427-2023")</f>
        <v/>
      </c>
      <c r="X66">
        <f>HYPERLINK("https://klasma.github.io/Logging_1783/kartor/S 4427-2023 karta.png", "S 4427-2023")</f>
        <v/>
      </c>
      <c r="Y66">
        <f>HYPERLINK("https://klasma.github.io/Logging_1783/kartor_geotiff/S 4427-2023 georefererad karta.tif", "S 4427-2023")</f>
        <v/>
      </c>
      <c r="AA66">
        <f>HYPERLINK("https://klasma.github.io/Logging_1783/klagomål/S 4427-2023 FSC-klagomål.docx", "S 4427-2023")</f>
        <v/>
      </c>
      <c r="AB66">
        <f>HYPERLINK("https://klasma.github.io/Logging_1783/klagomålsmail/S 4427-2023 FSC-klagomål mail.docx", "S 4427-2023")</f>
        <v/>
      </c>
      <c r="AC66">
        <f>HYPERLINK("https://klasma.github.io/Logging_1783/tillsyn/S 4427-2023 tillsynsbegäran.docx", "S 4427-2023")</f>
        <v/>
      </c>
      <c r="AD66">
        <f>HYPERLINK("https://klasma.github.io/Logging_1783/tillsynsmail/S 4427-2023 tillsynsbegäran mail.docx", "S 4427-2023")</f>
        <v/>
      </c>
    </row>
    <row r="67" ht="15" customHeight="1">
      <c r="A67" t="inlineStr">
        <is>
          <t>S 61-2026</t>
        </is>
      </c>
      <c r="B67" t="inlineStr">
        <is>
          <t>samrådsanmälan</t>
        </is>
      </c>
      <c r="C67" t="inlineStr">
        <is>
          <t>Skogsgödsling</t>
        </is>
      </c>
      <c r="D67" s="1" t="n">
        <v>46013</v>
      </c>
      <c r="E67" s="1" t="n">
        <v>46272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421.5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HYPERLINK("https://klasma.github.io/Logging_1783/artfynd/S 61-2026 artfynd.xlsx", "S 61-2026")</f>
        <v/>
      </c>
      <c r="X67">
        <f>HYPERLINK("https://klasma.github.io/Logging_1783/kartor/S 61-2026 karta.png", "S 61-2026")</f>
        <v/>
      </c>
      <c r="Y67">
        <f>HYPERLINK("https://klasma.github.io/Logging_1783/kartor_geotiff/S 61-2026 georefererad karta.tif", "S 61-2026")</f>
        <v/>
      </c>
      <c r="AA67">
        <f>HYPERLINK("https://klasma.github.io/Logging_1783/klagomål/S 61-2026 FSC-klagomål.docx", "S 61-2026")</f>
        <v/>
      </c>
      <c r="AB67">
        <f>HYPERLINK("https://klasma.github.io/Logging_1783/klagomålsmail/S 61-2026 FSC-klagomål mail.docx", "S 61-2026")</f>
        <v/>
      </c>
      <c r="AC67">
        <f>HYPERLINK("https://klasma.github.io/Logging_1783/tillsyn/S 61-2026 tillsynsbegäran.docx", "S 61-2026")</f>
        <v/>
      </c>
      <c r="AD67">
        <f>HYPERLINK("https://klasma.github.io/Logging_1783/tillsynsmail/S 61-2026 tillsynsbegäran mail.docx", "S 61-2026")</f>
        <v/>
      </c>
    </row>
    <row r="68" ht="15" customHeight="1">
      <c r="A68" t="inlineStr">
        <is>
          <t>A 42739-2022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46272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46272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46272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46272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46272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46272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46272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46272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46272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46272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46272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46272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46272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46272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46272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46272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46272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46272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46272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46272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46272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46272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46272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46272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46272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46272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46272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46272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46272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46272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46272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46272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46272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46272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46272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46272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46272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46272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46272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46272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46272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46272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46272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46272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46272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46272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46272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46272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46272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46272</v>
      </c>
      <c r="F118" t="inlineStr">
        <is>
          <t>VÄRMLANDS LÄN</t>
        </is>
      </c>
      <c r="G118" t="inlineStr">
        <is>
          <t>HAGFORS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46272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46272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46272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46272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46272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46272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46272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46272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46272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46272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46272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46272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46272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46272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46272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46272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46272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46272</v>
      </c>
      <c r="F136" t="inlineStr">
        <is>
          <t>VÄRMLANDS LÄN</t>
        </is>
      </c>
      <c r="G136" t="inlineStr">
        <is>
          <t>HAGFORS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46272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46272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46272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45258</v>
      </c>
      <c r="E140" s="1" t="n">
        <v>46272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15643-2024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45404</v>
      </c>
      <c r="E141" s="1" t="n">
        <v>46272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24434-2025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45797</v>
      </c>
      <c r="E142" s="1" t="n">
        <v>46272</v>
      </c>
      <c r="F142" t="inlineStr">
        <is>
          <t>VÄRMLANDS LÄN</t>
        </is>
      </c>
      <c r="G142" t="inlineStr">
        <is>
          <t>HAGFORS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44834</v>
      </c>
      <c r="E143" s="1" t="n">
        <v>46272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46272</v>
      </c>
      <c r="F144" t="inlineStr">
        <is>
          <t>VÄRMLANDS LÄN</t>
        </is>
      </c>
      <c r="G144" t="inlineStr">
        <is>
          <t>HAGFORS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24435-2025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45797</v>
      </c>
      <c r="E145" s="1" t="n">
        <v>46272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45797</v>
      </c>
      <c r="E146" s="1" t="n">
        <v>46272</v>
      </c>
      <c r="F146" t="inlineStr">
        <is>
          <t>VÄRMLANDS LÄN</t>
        </is>
      </c>
      <c r="G146" t="inlineStr">
        <is>
          <t>HAGFORS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46272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46272</v>
      </c>
      <c r="F148" t="inlineStr">
        <is>
          <t>VÄRMLANDS LÄN</t>
        </is>
      </c>
      <c r="G148" t="inlineStr">
        <is>
          <t>HAGFORS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46272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46272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46272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46272</v>
      </c>
      <c r="F152" t="inlineStr">
        <is>
          <t>VÄRMLANDS LÄN</t>
        </is>
      </c>
      <c r="G152" t="inlineStr">
        <is>
          <t>HAGFORS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46272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46272</v>
      </c>
      <c r="F154" t="inlineStr">
        <is>
          <t>VÄRMLANDS LÄN</t>
        </is>
      </c>
      <c r="G154" t="inlineStr">
        <is>
          <t>HAGFORS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46272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46272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46272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46272</v>
      </c>
      <c r="F158" t="inlineStr">
        <is>
          <t>VÄRMLANDS LÄN</t>
        </is>
      </c>
      <c r="G158" t="inlineStr">
        <is>
          <t>HAGFORS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46272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46020</v>
      </c>
      <c r="E160" s="1" t="n">
        <v>46272</v>
      </c>
      <c r="F160" t="inlineStr">
        <is>
          <t>VÄRMLANDS LÄN</t>
        </is>
      </c>
      <c r="G160" t="inlineStr">
        <is>
          <t>HAGFORS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46272</v>
      </c>
      <c r="F161" t="inlineStr">
        <is>
          <t>VÄRMLANDS LÄN</t>
        </is>
      </c>
      <c r="G161" t="inlineStr">
        <is>
          <t>HAGFORS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46018</v>
      </c>
      <c r="E162" s="1" t="n">
        <v>46272</v>
      </c>
      <c r="F162" t="inlineStr">
        <is>
          <t>VÄRMLANDS LÄN</t>
        </is>
      </c>
      <c r="G162" t="inlineStr">
        <is>
          <t>HAGFORS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46272</v>
      </c>
      <c r="F163" t="inlineStr">
        <is>
          <t>VÄRMLANDS LÄN</t>
        </is>
      </c>
      <c r="G163" t="inlineStr">
        <is>
          <t>HAGFORS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46272</v>
      </c>
      <c r="F164" t="inlineStr">
        <is>
          <t>VÄRMLANDS LÄN</t>
        </is>
      </c>
      <c r="G164" t="inlineStr">
        <is>
          <t>HAGFORS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46272</v>
      </c>
      <c r="F165" t="inlineStr">
        <is>
          <t>VÄRMLANDS LÄN</t>
        </is>
      </c>
      <c r="G165" t="inlineStr">
        <is>
          <t>HAGFORS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44770</v>
      </c>
      <c r="E166" s="1" t="n">
        <v>46272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26463-2025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45807</v>
      </c>
      <c r="E167" s="1" t="n">
        <v>46272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46272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46272</v>
      </c>
      <c r="F169" t="inlineStr">
        <is>
          <t>VÄRMLANDS LÄN</t>
        </is>
      </c>
      <c r="G169" t="inlineStr">
        <is>
          <t>HAGFORS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46272</v>
      </c>
      <c r="F170" t="inlineStr">
        <is>
          <t>VÄRMLANDS LÄN</t>
        </is>
      </c>
      <c r="G170" t="inlineStr">
        <is>
          <t>HAGFORS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46272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46272</v>
      </c>
      <c r="F172" t="inlineStr">
        <is>
          <t>VÄRMLANDS LÄN</t>
        </is>
      </c>
      <c r="G172" t="inlineStr">
        <is>
          <t>HAGFORS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45810</v>
      </c>
      <c r="E173" s="1" t="n">
        <v>46272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46272</v>
      </c>
      <c r="F174" t="inlineStr">
        <is>
          <t>VÄRMLANDS LÄN</t>
        </is>
      </c>
      <c r="G174" t="inlineStr">
        <is>
          <t>HAGFORS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46272</v>
      </c>
      <c r="F175" t="inlineStr">
        <is>
          <t>VÄRMLANDS LÄN</t>
        </is>
      </c>
      <c r="G175" t="inlineStr">
        <is>
          <t>HAGFORS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46272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46272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46272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45055</v>
      </c>
      <c r="E179" s="1" t="n">
        <v>46272</v>
      </c>
      <c r="F179" t="inlineStr">
        <is>
          <t>VÄRMLANDS LÄN</t>
        </is>
      </c>
      <c r="G179" t="inlineStr">
        <is>
          <t>HAGFORS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46272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46272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46272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46272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61140-2023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45261</v>
      </c>
      <c r="E184" s="1" t="n">
        <v>46272</v>
      </c>
      <c r="F184" t="inlineStr">
        <is>
          <t>VÄRMLANDS LÄN</t>
        </is>
      </c>
      <c r="G184" t="inlineStr">
        <is>
          <t>HAGFORS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48807-2025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45937</v>
      </c>
      <c r="E185" s="1" t="n">
        <v>46272</v>
      </c>
      <c r="F185" t="inlineStr">
        <is>
          <t>VÄRMLANDS LÄN</t>
        </is>
      </c>
      <c r="G185" t="inlineStr">
        <is>
          <t>HAGFORS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46272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46272</v>
      </c>
      <c r="F187" t="inlineStr">
        <is>
          <t>VÄRMLANDS LÄN</t>
        </is>
      </c>
      <c r="G187" t="inlineStr">
        <is>
          <t>HAGFORS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46272</v>
      </c>
      <c r="F188" t="inlineStr">
        <is>
          <t>VÄRMLANDS LÄN</t>
        </is>
      </c>
      <c r="G188" t="inlineStr">
        <is>
          <t>HAGFORS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46272</v>
      </c>
      <c r="F189" t="inlineStr">
        <is>
          <t>VÄRMLANDS LÄN</t>
        </is>
      </c>
      <c r="G189" t="inlineStr">
        <is>
          <t>HAGFORS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46272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46272</v>
      </c>
      <c r="F191" t="inlineStr">
        <is>
          <t>VÄRMLANDS LÄN</t>
        </is>
      </c>
      <c r="G191" t="inlineStr">
        <is>
          <t>HAGFORS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46272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46272</v>
      </c>
      <c r="F193" t="inlineStr">
        <is>
          <t>VÄRMLANDS LÄN</t>
        </is>
      </c>
      <c r="G193" t="inlineStr">
        <is>
          <t>HAGFORS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46272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46272</v>
      </c>
      <c r="F195" t="inlineStr">
        <is>
          <t>VÄRMLANDS LÄN</t>
        </is>
      </c>
      <c r="G195" t="inlineStr">
        <is>
          <t>HAGFORS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46272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46272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46272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46272</v>
      </c>
      <c r="F199" t="inlineStr">
        <is>
          <t>VÄRMLANDS LÄN</t>
        </is>
      </c>
      <c r="G199" t="inlineStr">
        <is>
          <t>HAGFORS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46272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46272</v>
      </c>
      <c r="F201" t="inlineStr">
        <is>
          <t>VÄRMLANDS LÄN</t>
        </is>
      </c>
      <c r="G201" t="inlineStr">
        <is>
          <t>HAGFORS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46272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46272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46272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46272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46272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46272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46272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46272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46272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44566</v>
      </c>
      <c r="E211" s="1" t="n">
        <v>46272</v>
      </c>
      <c r="F211" t="inlineStr">
        <is>
          <t>VÄRMLANDS LÄN</t>
        </is>
      </c>
      <c r="G211" t="inlineStr">
        <is>
          <t>HAGFORS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46272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57379-2022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44896</v>
      </c>
      <c r="E213" s="1" t="n">
        <v>46272</v>
      </c>
      <c r="F213" t="inlineStr">
        <is>
          <t>VÄRMLANDS LÄN</t>
        </is>
      </c>
      <c r="G213" t="inlineStr">
        <is>
          <t>HAGFORS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41739-2025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45902</v>
      </c>
      <c r="E214" s="1" t="n">
        <v>46272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46272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46272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46272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46272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46272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46272</v>
      </c>
      <c r="F220" t="inlineStr">
        <is>
          <t>VÄRMLANDS LÄN</t>
        </is>
      </c>
      <c r="G220" t="inlineStr">
        <is>
          <t>HAGFORS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46272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46272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46272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52224-2023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45224</v>
      </c>
      <c r="E224" s="1" t="n">
        <v>46272</v>
      </c>
      <c r="F224" t="inlineStr">
        <is>
          <t>VÄRMLANDS LÄN</t>
        </is>
      </c>
      <c r="G224" t="inlineStr">
        <is>
          <t>HAGFORS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46272</v>
      </c>
      <c r="F225" t="inlineStr">
        <is>
          <t>VÄRMLANDS LÄN</t>
        </is>
      </c>
      <c r="G225" t="inlineStr">
        <is>
          <t>HAGFORS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46272</v>
      </c>
      <c r="F226" t="inlineStr">
        <is>
          <t>VÄRMLANDS LÄN</t>
        </is>
      </c>
      <c r="G226" t="inlineStr">
        <is>
          <t>HAGFORS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46272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46030</v>
      </c>
      <c r="E228" s="1" t="n">
        <v>46272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46272</v>
      </c>
      <c r="F229" t="inlineStr">
        <is>
          <t>VÄRMLANDS LÄN</t>
        </is>
      </c>
      <c r="G229" t="inlineStr">
        <is>
          <t>HAGFORS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46272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46272</v>
      </c>
      <c r="F231" t="inlineStr">
        <is>
          <t>VÄRMLANDS LÄN</t>
        </is>
      </c>
      <c r="G231" t="inlineStr">
        <is>
          <t>HAGFORS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45433</v>
      </c>
      <c r="E232" s="1" t="n">
        <v>46272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46272</v>
      </c>
      <c r="F233" t="inlineStr">
        <is>
          <t>VÄRMLANDS LÄN</t>
        </is>
      </c>
      <c r="G233" t="inlineStr">
        <is>
          <t>HAGFORS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46272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46272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46272</v>
      </c>
      <c r="F236" t="inlineStr">
        <is>
          <t>VÄRMLANDS LÄN</t>
        </is>
      </c>
      <c r="G236" t="inlineStr">
        <is>
          <t>HAGFORS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33440-2025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45841</v>
      </c>
      <c r="E237" s="1" t="n">
        <v>46272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46272</v>
      </c>
      <c r="F238" t="inlineStr">
        <is>
          <t>VÄRMLANDS LÄN</t>
        </is>
      </c>
      <c r="G238" t="inlineStr">
        <is>
          <t>HAGFORS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46272</v>
      </c>
      <c r="F239" t="inlineStr">
        <is>
          <t>VÄRMLANDS LÄN</t>
        </is>
      </c>
      <c r="G239" t="inlineStr">
        <is>
          <t>HAGFORS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46272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45673</v>
      </c>
      <c r="E242" s="1" t="n">
        <v>46272</v>
      </c>
      <c r="F242" t="inlineStr">
        <is>
          <t>VÄRMLANDS LÄN</t>
        </is>
      </c>
      <c r="G242" t="inlineStr">
        <is>
          <t>HAGFORS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46272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46272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46272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46272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44790</v>
      </c>
      <c r="E247" s="1" t="n">
        <v>46272</v>
      </c>
      <c r="F247" t="inlineStr">
        <is>
          <t>VÄRMLANDS LÄN</t>
        </is>
      </c>
      <c r="G247" t="inlineStr">
        <is>
          <t>HAGFORS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46272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46272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45845</v>
      </c>
      <c r="E250" s="1" t="n">
        <v>46272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46272</v>
      </c>
      <c r="F251" t="inlineStr">
        <is>
          <t>VÄRMLANDS LÄN</t>
        </is>
      </c>
      <c r="G251" t="inlineStr">
        <is>
          <t>HAGFORS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44776</v>
      </c>
      <c r="E252" s="1" t="n">
        <v>46272</v>
      </c>
      <c r="F252" t="inlineStr">
        <is>
          <t>VÄRMLANDS LÄN</t>
        </is>
      </c>
      <c r="G252" t="inlineStr">
        <is>
          <t>HAGFORS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46272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45928</v>
      </c>
      <c r="E254" s="1" t="n">
        <v>46272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46272</v>
      </c>
      <c r="F255" t="inlineStr">
        <is>
          <t>VÄRMLANDS LÄN</t>
        </is>
      </c>
      <c r="G255" t="inlineStr">
        <is>
          <t>HAGFORS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46272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46272</v>
      </c>
      <c r="F257" t="inlineStr">
        <is>
          <t>VÄRMLANDS LÄN</t>
        </is>
      </c>
      <c r="G257" t="inlineStr">
        <is>
          <t>HAGFORS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46272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45927</v>
      </c>
      <c r="E259" s="1" t="n">
        <v>46272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45565</v>
      </c>
      <c r="E260" s="1" t="n">
        <v>46272</v>
      </c>
      <c r="F260" t="inlineStr">
        <is>
          <t>VÄRMLANDS LÄN</t>
        </is>
      </c>
      <c r="G260" t="inlineStr">
        <is>
          <t>HAGFORS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46272</v>
      </c>
      <c r="F261" t="inlineStr">
        <is>
          <t>VÄRMLANDS LÄN</t>
        </is>
      </c>
      <c r="G261" t="inlineStr">
        <is>
          <t>HAGFORS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46272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46272</v>
      </c>
      <c r="F263" t="inlineStr">
        <is>
          <t>VÄRMLANDS LÄN</t>
        </is>
      </c>
      <c r="G263" t="inlineStr">
        <is>
          <t>HAGFORS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46272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45854</v>
      </c>
      <c r="E265" s="1" t="n">
        <v>46272</v>
      </c>
      <c r="F265" t="inlineStr">
        <is>
          <t>VÄRMLANDS LÄN</t>
        </is>
      </c>
      <c r="G265" t="inlineStr">
        <is>
          <t>HAGFORS</t>
        </is>
      </c>
      <c r="H265" t="inlineStr">
        <is>
          <t>Kyrkan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46272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46272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46272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46272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46272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46272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46272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46272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46272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11104-2022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44628</v>
      </c>
      <c r="E275" s="1" t="n">
        <v>46272</v>
      </c>
      <c r="F275" t="inlineStr">
        <is>
          <t>VÄRMLANDS LÄN</t>
        </is>
      </c>
      <c r="G275" t="inlineStr">
        <is>
          <t>HAGFORS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46272</v>
      </c>
      <c r="F276" t="inlineStr">
        <is>
          <t>VÄRMLANDS LÄN</t>
        </is>
      </c>
      <c r="G276" t="inlineStr">
        <is>
          <t>HAGFORS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46272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46272</v>
      </c>
      <c r="F278" t="inlineStr">
        <is>
          <t>VÄRMLANDS LÄN</t>
        </is>
      </c>
      <c r="G278" t="inlineStr">
        <is>
          <t>HAGFORS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16824-2023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45033</v>
      </c>
      <c r="E279" s="1" t="n">
        <v>46272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46272</v>
      </c>
      <c r="F280" t="inlineStr">
        <is>
          <t>VÄRMLANDS LÄN</t>
        </is>
      </c>
      <c r="G280" t="inlineStr">
        <is>
          <t>HAGFORS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46272</v>
      </c>
      <c r="F281" t="inlineStr">
        <is>
          <t>VÄRMLANDS LÄN</t>
        </is>
      </c>
      <c r="G281" t="inlineStr">
        <is>
          <t>HAGFORS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45941</v>
      </c>
      <c r="E282" s="1" t="n">
        <v>46272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46272</v>
      </c>
      <c r="F283" t="inlineStr">
        <is>
          <t>VÄRMLANDS LÄN</t>
        </is>
      </c>
      <c r="G283" t="inlineStr">
        <is>
          <t>HAGFORS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46272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46272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46272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46272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45310</v>
      </c>
      <c r="E288" s="1" t="n">
        <v>46272</v>
      </c>
      <c r="F288" t="inlineStr">
        <is>
          <t>VÄRMLANDS LÄN</t>
        </is>
      </c>
      <c r="G288" t="inlineStr">
        <is>
          <t>HAGFORS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46272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46272</v>
      </c>
      <c r="F290" t="inlineStr">
        <is>
          <t>VÄRMLANDS LÄN</t>
        </is>
      </c>
      <c r="G290" t="inlineStr">
        <is>
          <t>HAGFORS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46272</v>
      </c>
      <c r="F291" t="inlineStr">
        <is>
          <t>VÄRMLANDS LÄN</t>
        </is>
      </c>
      <c r="G291" t="inlineStr">
        <is>
          <t>HAGFORS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46272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46272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46272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46272</v>
      </c>
      <c r="F295" t="inlineStr">
        <is>
          <t>VÄRMLANDS LÄN</t>
        </is>
      </c>
      <c r="G295" t="inlineStr">
        <is>
          <t>HAGFORS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46272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46272</v>
      </c>
      <c r="F297" t="inlineStr">
        <is>
          <t>VÄRMLANDS LÄN</t>
        </is>
      </c>
      <c r="G297" t="inlineStr">
        <is>
          <t>HAGFORS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46272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46272</v>
      </c>
      <c r="F299" t="inlineStr">
        <is>
          <t>VÄRMLANDS LÄN</t>
        </is>
      </c>
      <c r="G299" t="inlineStr">
        <is>
          <t>HAGFORS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46272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52479-2025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46272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46272</v>
      </c>
      <c r="F302" t="inlineStr">
        <is>
          <t>VÄRMLANDS LÄN</t>
        </is>
      </c>
      <c r="G302" t="inlineStr">
        <is>
          <t>HAGFORS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46272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46272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46272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46272</v>
      </c>
      <c r="F307" t="inlineStr">
        <is>
          <t>VÄRMLANDS LÄN</t>
        </is>
      </c>
      <c r="G307" t="inlineStr">
        <is>
          <t>HAGFORS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46272</v>
      </c>
      <c r="F308" t="inlineStr">
        <is>
          <t>VÄRMLANDS LÄN</t>
        </is>
      </c>
      <c r="G308" t="inlineStr">
        <is>
          <t>HAGFORS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46272</v>
      </c>
      <c r="F309" t="inlineStr">
        <is>
          <t>VÄRMLANDS LÄN</t>
        </is>
      </c>
      <c r="G309" t="inlineStr">
        <is>
          <t>HAGFORS</t>
        </is>
      </c>
      <c r="I309" t="n">
        <v>13.1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44757</v>
      </c>
      <c r="E310" s="1" t="n">
        <v>46272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46272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46272</v>
      </c>
      <c r="F312" t="inlineStr">
        <is>
          <t>VÄRMLANDS LÄN</t>
        </is>
      </c>
      <c r="G312" t="inlineStr">
        <is>
          <t>HAGFORS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46272</v>
      </c>
      <c r="F313" t="inlineStr">
        <is>
          <t>VÄRMLANDS LÄN</t>
        </is>
      </c>
      <c r="G313" t="inlineStr">
        <is>
          <t>HAGFORS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46272</v>
      </c>
      <c r="F314" t="inlineStr">
        <is>
          <t>VÄRMLANDS LÄN</t>
        </is>
      </c>
      <c r="G314" t="inlineStr">
        <is>
          <t>HAGFORS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46272</v>
      </c>
      <c r="F315" t="inlineStr">
        <is>
          <t>VÄRMLANDS LÄN</t>
        </is>
      </c>
      <c r="G315" t="inlineStr">
        <is>
          <t>HAGFORS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46272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46272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46272</v>
      </c>
      <c r="F318" t="inlineStr">
        <is>
          <t>VÄRMLANDS LÄN</t>
        </is>
      </c>
      <c r="G318" t="inlineStr">
        <is>
          <t>HAGFORS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46272</v>
      </c>
      <c r="F319" t="inlineStr">
        <is>
          <t>VÄRMLANDS LÄN</t>
        </is>
      </c>
      <c r="G319" t="inlineStr">
        <is>
          <t>HAGFORS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46272</v>
      </c>
      <c r="F320" t="inlineStr">
        <is>
          <t>VÄRMLANDS LÄN</t>
        </is>
      </c>
      <c r="G320" t="inlineStr">
        <is>
          <t>HAGFORS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46272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46272</v>
      </c>
      <c r="F323" t="inlineStr">
        <is>
          <t>VÄRMLANDS LÄN</t>
        </is>
      </c>
      <c r="G323" t="inlineStr">
        <is>
          <t>HAGFORS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46272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46272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44687</v>
      </c>
      <c r="E326" s="1" t="n">
        <v>46272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46272</v>
      </c>
      <c r="F327" t="inlineStr">
        <is>
          <t>VÄRMLANDS LÄN</t>
        </is>
      </c>
      <c r="G327" t="inlineStr">
        <is>
          <t>HAGFORS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45390</v>
      </c>
      <c r="E328" s="1" t="n">
        <v>46272</v>
      </c>
      <c r="F328" t="inlineStr">
        <is>
          <t>VÄRMLANDS LÄN</t>
        </is>
      </c>
      <c r="G328" t="inlineStr">
        <is>
          <t>HAGFORS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46272</v>
      </c>
      <c r="F329" t="inlineStr">
        <is>
          <t>VÄRMLANDS LÄN</t>
        </is>
      </c>
      <c r="G329" t="inlineStr">
        <is>
          <t>HAGFORS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46272</v>
      </c>
      <c r="F330" t="inlineStr">
        <is>
          <t>VÄRMLANDS LÄN</t>
        </is>
      </c>
      <c r="G330" t="inlineStr">
        <is>
          <t>HAGFORS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44812</v>
      </c>
      <c r="E331" s="1" t="n">
        <v>46272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46272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46272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46272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46272</v>
      </c>
      <c r="F335" t="inlineStr">
        <is>
          <t>VÄRMLANDS LÄN</t>
        </is>
      </c>
      <c r="G335" t="inlineStr">
        <is>
          <t>HAGFORS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46272</v>
      </c>
      <c r="F336" t="inlineStr">
        <is>
          <t>VÄRMLANDS LÄN</t>
        </is>
      </c>
      <c r="G336" t="inlineStr">
        <is>
          <t>HAGFORS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46272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46272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46272</v>
      </c>
      <c r="F339" t="inlineStr">
        <is>
          <t>VÄRMLANDS LÄN</t>
        </is>
      </c>
      <c r="G339" t="inlineStr">
        <is>
          <t>HAGFORS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15538-2024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45401</v>
      </c>
      <c r="E340" s="1" t="n">
        <v>46272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46272</v>
      </c>
      <c r="F341" t="inlineStr">
        <is>
          <t>VÄRMLANDS LÄN</t>
        </is>
      </c>
      <c r="G341" t="inlineStr">
        <is>
          <t>HAGFORS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46272</v>
      </c>
      <c r="F342" t="inlineStr">
        <is>
          <t>VÄRMLANDS LÄN</t>
        </is>
      </c>
      <c r="G342" t="inlineStr">
        <is>
          <t>HAGFORS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46272</v>
      </c>
      <c r="F343" t="inlineStr">
        <is>
          <t>VÄRMLANDS LÄN</t>
        </is>
      </c>
      <c r="G343" t="inlineStr">
        <is>
          <t>HAGFORS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44924</v>
      </c>
      <c r="E344" s="1" t="n">
        <v>46272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45699</v>
      </c>
      <c r="E345" s="1" t="n">
        <v>46272</v>
      </c>
      <c r="F345" t="inlineStr">
        <is>
          <t>VÄRMLANDS LÄN</t>
        </is>
      </c>
      <c r="G345" t="inlineStr">
        <is>
          <t>HAGFORS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46272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46272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46272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46272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46272</v>
      </c>
      <c r="F350" t="inlineStr">
        <is>
          <t>VÄRMLANDS LÄN</t>
        </is>
      </c>
      <c r="G350" t="inlineStr">
        <is>
          <t>HAGFORS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46272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46272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46272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46272</v>
      </c>
      <c r="F354" t="inlineStr">
        <is>
          <t>VÄRMLANDS LÄN</t>
        </is>
      </c>
      <c r="G354" t="inlineStr">
        <is>
          <t>HAGFORS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46272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46272</v>
      </c>
      <c r="F356" t="inlineStr">
        <is>
          <t>VÄRMLANDS LÄN</t>
        </is>
      </c>
      <c r="G356" t="inlineStr">
        <is>
          <t>HAGFORS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46272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46272</v>
      </c>
      <c r="F358" t="inlineStr">
        <is>
          <t>VÄRMLANDS LÄN</t>
        </is>
      </c>
      <c r="G358" t="inlineStr">
        <is>
          <t>HAGFORS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45684</v>
      </c>
      <c r="E359" s="1" t="n">
        <v>46272</v>
      </c>
      <c r="F359" t="inlineStr">
        <is>
          <t>VÄRMLANDS LÄN</t>
        </is>
      </c>
      <c r="G359" t="inlineStr">
        <is>
          <t>HAGFORS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46272</v>
      </c>
      <c r="F360" t="inlineStr">
        <is>
          <t>VÄRMLANDS LÄN</t>
        </is>
      </c>
      <c r="G360" t="inlineStr">
        <is>
          <t>HAGFORS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46272</v>
      </c>
      <c r="F361" t="inlineStr">
        <is>
          <t>VÄRMLANDS LÄN</t>
        </is>
      </c>
      <c r="G361" t="inlineStr">
        <is>
          <t>HAGFORS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46272</v>
      </c>
      <c r="F362" t="inlineStr">
        <is>
          <t>VÄRMLANDS LÄN</t>
        </is>
      </c>
      <c r="G362" t="inlineStr">
        <is>
          <t>HAGFORS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40692-2022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44824</v>
      </c>
      <c r="E363" s="1" t="n">
        <v>46272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46272</v>
      </c>
      <c r="F364" t="inlineStr">
        <is>
          <t>VÄRMLANDS LÄN</t>
        </is>
      </c>
      <c r="G364" t="inlineStr">
        <is>
          <t>HAGFORS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59047-2025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45988</v>
      </c>
      <c r="E365" s="1" t="n">
        <v>46272</v>
      </c>
      <c r="F365" t="inlineStr">
        <is>
          <t>VÄRMLANDS LÄN</t>
        </is>
      </c>
      <c r="G365" t="inlineStr">
        <is>
          <t>HAGFORS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45201</v>
      </c>
      <c r="E366" s="1" t="n">
        <v>46272</v>
      </c>
      <c r="F366" t="inlineStr">
        <is>
          <t>VÄRMLANDS LÄN</t>
        </is>
      </c>
      <c r="G366" t="inlineStr">
        <is>
          <t>HAGFORS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71447-2021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46272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46272</v>
      </c>
      <c r="F368" t="inlineStr">
        <is>
          <t>VÄRMLANDS LÄN</t>
        </is>
      </c>
      <c r="G368" t="inlineStr">
        <is>
          <t>HAGFORS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46272</v>
      </c>
      <c r="F369" t="inlineStr">
        <is>
          <t>VÄRMLANDS LÄN</t>
        </is>
      </c>
      <c r="G369" t="inlineStr">
        <is>
          <t>HAGFORS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46272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46272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46272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45684</v>
      </c>
      <c r="E373" s="1" t="n">
        <v>46272</v>
      </c>
      <c r="F373" t="inlineStr">
        <is>
          <t>VÄRMLANDS LÄN</t>
        </is>
      </c>
      <c r="G373" t="inlineStr">
        <is>
          <t>HAGFORS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46272</v>
      </c>
      <c r="F374" t="inlineStr">
        <is>
          <t>VÄRMLANDS LÄN</t>
        </is>
      </c>
      <c r="G374" t="inlineStr">
        <is>
          <t>HAGFORS</t>
        </is>
      </c>
      <c r="H374" t="inlineStr">
        <is>
          <t>Kommuner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45623</v>
      </c>
      <c r="E375" s="1" t="n">
        <v>46272</v>
      </c>
      <c r="F375" t="inlineStr">
        <is>
          <t>VÄRMLANDS LÄN</t>
        </is>
      </c>
      <c r="G375" t="inlineStr">
        <is>
          <t>HAGFORS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46272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45087</v>
      </c>
      <c r="E377" s="1" t="n">
        <v>46272</v>
      </c>
      <c r="F377" t="inlineStr">
        <is>
          <t>VÄRMLANDS LÄN</t>
        </is>
      </c>
      <c r="G377" t="inlineStr">
        <is>
          <t>HAGFORS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61843-2025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46003</v>
      </c>
      <c r="E378" s="1" t="n">
        <v>46272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46272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35088-2024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46272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46272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46272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46272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61910-2025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46003</v>
      </c>
      <c r="E384" s="1" t="n">
        <v>46272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46272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46272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46006</v>
      </c>
      <c r="E387" s="1" t="n">
        <v>46272</v>
      </c>
      <c r="F387" t="inlineStr">
        <is>
          <t>VÄRMLANDS LÄN</t>
        </is>
      </c>
      <c r="G387" t="inlineStr">
        <is>
          <t>HAGFORS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46272</v>
      </c>
      <c r="F388" t="inlineStr">
        <is>
          <t>VÄRMLANDS LÄN</t>
        </is>
      </c>
      <c r="G388" t="inlineStr">
        <is>
          <t>HAGFORS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46272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46272</v>
      </c>
      <c r="F390" t="inlineStr">
        <is>
          <t>VÄRMLANDS LÄN</t>
        </is>
      </c>
      <c r="G390" t="inlineStr">
        <is>
          <t>HAGFORS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46272</v>
      </c>
      <c r="F391" t="inlineStr">
        <is>
          <t>VÄRMLANDS LÄN</t>
        </is>
      </c>
      <c r="G391" t="inlineStr">
        <is>
          <t>HAGFORS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46272</v>
      </c>
      <c r="F392" t="inlineStr">
        <is>
          <t>VÄRMLANDS LÄN</t>
        </is>
      </c>
      <c r="G392" t="inlineStr">
        <is>
          <t>HAGFORS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46272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46272</v>
      </c>
      <c r="F395" t="inlineStr">
        <is>
          <t>VÄRMLANDS LÄN</t>
        </is>
      </c>
      <c r="G395" t="inlineStr">
        <is>
          <t>HAGFORS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46272</v>
      </c>
      <c r="F396" t="inlineStr">
        <is>
          <t>VÄRMLANDS LÄN</t>
        </is>
      </c>
      <c r="G396" t="inlineStr">
        <is>
          <t>HAGFORS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46272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46272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46272</v>
      </c>
      <c r="F399" t="inlineStr">
        <is>
          <t>VÄRMLANDS LÄN</t>
        </is>
      </c>
      <c r="G399" t="inlineStr">
        <is>
          <t>HAGFORS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46272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46272</v>
      </c>
      <c r="F401" t="inlineStr">
        <is>
          <t>VÄRMLANDS LÄN</t>
        </is>
      </c>
      <c r="G401" t="inlineStr">
        <is>
          <t>HAGFORS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46272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46272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46272</v>
      </c>
      <c r="F404" t="inlineStr">
        <is>
          <t>VÄRMLANDS LÄN</t>
        </is>
      </c>
      <c r="G404" t="inlineStr">
        <is>
          <t>HAGFORS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44502</v>
      </c>
      <c r="E405" s="1" t="n">
        <v>46272</v>
      </c>
      <c r="F405" t="inlineStr">
        <is>
          <t>VÄRMLANDS LÄN</t>
        </is>
      </c>
      <c r="G405" t="inlineStr">
        <is>
          <t>HAGFORS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46272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46272</v>
      </c>
      <c r="F407" t="inlineStr">
        <is>
          <t>VÄRMLANDS LÄN</t>
        </is>
      </c>
      <c r="G407" t="inlineStr">
        <is>
          <t>HAGFORS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46272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46272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46272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46272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46272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46272</v>
      </c>
      <c r="F413" t="inlineStr">
        <is>
          <t>VÄRMLANDS LÄN</t>
        </is>
      </c>
      <c r="G413" t="inlineStr">
        <is>
          <t>HAGFORS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46272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45036</v>
      </c>
      <c r="E415" s="1" t="n">
        <v>46272</v>
      </c>
      <c r="F415" t="inlineStr">
        <is>
          <t>VÄRMLANDS LÄN</t>
        </is>
      </c>
      <c r="G415" t="inlineStr">
        <is>
          <t>HAGFORS</t>
        </is>
      </c>
      <c r="H415" t="inlineStr">
        <is>
          <t>Kommuner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46272</v>
      </c>
      <c r="F416" t="inlineStr">
        <is>
          <t>VÄRMLANDS LÄN</t>
        </is>
      </c>
      <c r="G416" t="inlineStr">
        <is>
          <t>HAGFORS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46272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44613</v>
      </c>
      <c r="E418" s="1" t="n">
        <v>46272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61169-2024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45645</v>
      </c>
      <c r="E420" s="1" t="n">
        <v>46272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46272</v>
      </c>
      <c r="F421" t="inlineStr">
        <is>
          <t>VÄRMLANDS LÄN</t>
        </is>
      </c>
      <c r="G421" t="inlineStr">
        <is>
          <t>HAGFORS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46272</v>
      </c>
      <c r="F422" t="inlineStr">
        <is>
          <t>VÄRMLANDS LÄN</t>
        </is>
      </c>
      <c r="G422" t="inlineStr">
        <is>
          <t>HAGFORS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24814-2024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45461</v>
      </c>
      <c r="E423" s="1" t="n">
        <v>46272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46272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46101</v>
      </c>
      <c r="E425" s="1" t="n">
        <v>46272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46272</v>
      </c>
      <c r="F426" t="inlineStr">
        <is>
          <t>VÄRMLANDS LÄN</t>
        </is>
      </c>
      <c r="G426" t="inlineStr">
        <is>
          <t>HAGFORS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46272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45152</v>
      </c>
      <c r="E428" s="1" t="n">
        <v>46272</v>
      </c>
      <c r="F428" t="inlineStr">
        <is>
          <t>VÄRMLANDS LÄN</t>
        </is>
      </c>
      <c r="G428" t="inlineStr">
        <is>
          <t>HAGFORS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46272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46272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46272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46272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46272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46272</v>
      </c>
      <c r="F434" t="inlineStr">
        <is>
          <t>VÄRMLANDS LÄN</t>
        </is>
      </c>
      <c r="G434" t="inlineStr">
        <is>
          <t>HAGFORS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46272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46272</v>
      </c>
      <c r="F436" t="inlineStr">
        <is>
          <t>VÄRMLANDS LÄN</t>
        </is>
      </c>
      <c r="G436" t="inlineStr">
        <is>
          <t>HAGFORS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46272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46272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46272</v>
      </c>
      <c r="F439" t="inlineStr">
        <is>
          <t>VÄRMLANDS LÄN</t>
        </is>
      </c>
      <c r="G439" t="inlineStr">
        <is>
          <t>HAGFORS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59048-2022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44903</v>
      </c>
      <c r="E440" s="1" t="n">
        <v>46272</v>
      </c>
      <c r="F440" t="inlineStr">
        <is>
          <t>VÄRMLANDS LÄN</t>
        </is>
      </c>
      <c r="G440" t="inlineStr">
        <is>
          <t>HAGFORS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46272</v>
      </c>
      <c r="F441" t="inlineStr">
        <is>
          <t>VÄRMLANDS LÄN</t>
        </is>
      </c>
      <c r="G441" t="inlineStr">
        <is>
          <t>HAGFORS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46272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46272</v>
      </c>
      <c r="F443" t="inlineStr">
        <is>
          <t>VÄRMLANDS LÄN</t>
        </is>
      </c>
      <c r="G443" t="inlineStr">
        <is>
          <t>HAGFORS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45057</v>
      </c>
      <c r="E444" s="1" t="n">
        <v>46272</v>
      </c>
      <c r="F444" t="inlineStr">
        <is>
          <t>VÄRMLANDS LÄN</t>
        </is>
      </c>
      <c r="G444" t="inlineStr">
        <is>
          <t>HAGFORS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46272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19554-2024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45429</v>
      </c>
      <c r="E446" s="1" t="n">
        <v>46272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44763</v>
      </c>
      <c r="E447" s="1" t="n">
        <v>46272</v>
      </c>
      <c r="F447" t="inlineStr">
        <is>
          <t>VÄRMLANDS LÄN</t>
        </is>
      </c>
      <c r="G447" t="inlineStr">
        <is>
          <t>HAGFORS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52830-2023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45226</v>
      </c>
      <c r="E448" s="1" t="n">
        <v>46272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45476</v>
      </c>
      <c r="E449" s="1" t="n">
        <v>46272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46272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45420</v>
      </c>
      <c r="E451" s="1" t="n">
        <v>46272</v>
      </c>
      <c r="F451" t="inlineStr">
        <is>
          <t>VÄRMLANDS LÄN</t>
        </is>
      </c>
      <c r="G451" t="inlineStr">
        <is>
          <t>HAGFORS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46272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46272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46272</v>
      </c>
      <c r="F454" t="inlineStr">
        <is>
          <t>VÄRMLANDS LÄN</t>
        </is>
      </c>
      <c r="G454" t="inlineStr">
        <is>
          <t>HAGFORS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46272</v>
      </c>
      <c r="F455" t="inlineStr">
        <is>
          <t>VÄRMLANDS LÄN</t>
        </is>
      </c>
      <c r="G455" t="inlineStr">
        <is>
          <t>HAGFORS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45338</v>
      </c>
      <c r="E456" s="1" t="n">
        <v>46272</v>
      </c>
      <c r="F456" t="inlineStr">
        <is>
          <t>VÄRMLANDS LÄN</t>
        </is>
      </c>
      <c r="G456" t="inlineStr">
        <is>
          <t>HAGFORS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46272</v>
      </c>
      <c r="F457" t="inlineStr">
        <is>
          <t>VÄRMLANDS LÄN</t>
        </is>
      </c>
      <c r="G457" t="inlineStr">
        <is>
          <t>HAGFORS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46272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46272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46272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46272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46272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46272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46272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46272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46272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46272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45287</v>
      </c>
      <c r="E468" s="1" t="n">
        <v>46272</v>
      </c>
      <c r="F468" t="inlineStr">
        <is>
          <t>VÄRMLANDS LÄN</t>
        </is>
      </c>
      <c r="G468" t="inlineStr">
        <is>
          <t>HAGFORS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46272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46272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46272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45614</v>
      </c>
      <c r="E472" s="1" t="n">
        <v>46272</v>
      </c>
      <c r="F472" t="inlineStr">
        <is>
          <t>VÄRMLANDS LÄN</t>
        </is>
      </c>
      <c r="G472" t="inlineStr">
        <is>
          <t>HAGFORS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45226</v>
      </c>
      <c r="E473" s="1" t="n">
        <v>46272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45765</v>
      </c>
      <c r="E474" s="1" t="n">
        <v>46272</v>
      </c>
      <c r="F474" t="inlineStr">
        <is>
          <t>VÄRMLANDS LÄN</t>
        </is>
      </c>
      <c r="G474" t="inlineStr">
        <is>
          <t>HAGFORS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46272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46272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45223</v>
      </c>
      <c r="E477" s="1" t="n">
        <v>46272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45624</v>
      </c>
      <c r="E478" s="1" t="n">
        <v>46272</v>
      </c>
      <c r="F478" t="inlineStr">
        <is>
          <t>VÄRMLANDS LÄN</t>
        </is>
      </c>
      <c r="G478" t="inlineStr">
        <is>
          <t>HAGFORS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46272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45741</v>
      </c>
      <c r="E480" s="1" t="n">
        <v>46272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46272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46272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46272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45534</v>
      </c>
      <c r="E484" s="1" t="n">
        <v>46272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46272</v>
      </c>
      <c r="F485" t="inlineStr">
        <is>
          <t>VÄRMLANDS LÄN</t>
        </is>
      </c>
      <c r="G485" t="inlineStr">
        <is>
          <t>HAGFORS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44582</v>
      </c>
      <c r="E486" s="1" t="n">
        <v>46272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45434</v>
      </c>
      <c r="E487" s="1" t="n">
        <v>46272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45725</v>
      </c>
      <c r="E488" s="1" t="n">
        <v>46272</v>
      </c>
      <c r="F488" t="inlineStr">
        <is>
          <t>VÄRMLANDS LÄN</t>
        </is>
      </c>
      <c r="G488" t="inlineStr">
        <is>
          <t>HAGFORS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46272</v>
      </c>
      <c r="F489" t="inlineStr">
        <is>
          <t>VÄRMLANDS LÄN</t>
        </is>
      </c>
      <c r="G489" t="inlineStr">
        <is>
          <t>HAGFORS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46272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46272</v>
      </c>
      <c r="F491" t="inlineStr">
        <is>
          <t>VÄRMLANDS LÄN</t>
        </is>
      </c>
      <c r="G491" t="inlineStr">
        <is>
          <t>HAGFORS</t>
        </is>
      </c>
      <c r="I491" t="n">
        <v>18.2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46426-2024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45582</v>
      </c>
      <c r="E492" s="1" t="n">
        <v>46272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45469</v>
      </c>
      <c r="E493" s="1" t="n">
        <v>46272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44567</v>
      </c>
      <c r="E494" s="1" t="n">
        <v>46272</v>
      </c>
      <c r="F494" t="inlineStr">
        <is>
          <t>VÄRMLANDS LÄN</t>
        </is>
      </c>
      <c r="G494" t="inlineStr">
        <is>
          <t>HAGFORS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46272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45484</v>
      </c>
      <c r="E496" s="1" t="n">
        <v>46272</v>
      </c>
      <c r="F496" t="inlineStr">
        <is>
          <t>VÄRMLANDS LÄN</t>
        </is>
      </c>
      <c r="G496" t="inlineStr">
        <is>
          <t>HAGFORS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46272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45786</v>
      </c>
      <c r="E498" s="1" t="n">
        <v>46272</v>
      </c>
      <c r="F498" t="inlineStr">
        <is>
          <t>VÄRMLANDS LÄN</t>
        </is>
      </c>
      <c r="G498" t="inlineStr">
        <is>
          <t>HAGFORS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45791</v>
      </c>
      <c r="E499" s="1" t="n">
        <v>46272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46272</v>
      </c>
      <c r="F500" t="inlineStr">
        <is>
          <t>VÄRMLANDS LÄN</t>
        </is>
      </c>
      <c r="G500" t="inlineStr">
        <is>
          <t>HAGFORS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46272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46272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46272</v>
      </c>
      <c r="F503" t="inlineStr">
        <is>
          <t>VÄRMLANDS LÄN</t>
        </is>
      </c>
      <c r="G503" t="inlineStr">
        <is>
          <t>HAGFORS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45796</v>
      </c>
      <c r="E504" s="1" t="n">
        <v>46272</v>
      </c>
      <c r="F504" t="inlineStr">
        <is>
          <t>VÄRMLANDS LÄN</t>
        </is>
      </c>
      <c r="G504" t="inlineStr">
        <is>
          <t>HAGFORS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44883</v>
      </c>
      <c r="E505" s="1" t="n">
        <v>46272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45450</v>
      </c>
      <c r="E506" s="1" t="n">
        <v>46272</v>
      </c>
      <c r="F506" t="inlineStr">
        <is>
          <t>VÄRMLANDS LÄN</t>
        </is>
      </c>
      <c r="G506" t="inlineStr">
        <is>
          <t>HAGFORS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21724-2025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45783</v>
      </c>
      <c r="E507" s="1" t="n">
        <v>46272</v>
      </c>
      <c r="F507" t="inlineStr">
        <is>
          <t>VÄRMLANDS LÄN</t>
        </is>
      </c>
      <c r="G507" t="inlineStr">
        <is>
          <t>HAGFORS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46272</v>
      </c>
      <c r="F508" t="inlineStr">
        <is>
          <t>VÄRMLANDS LÄN</t>
        </is>
      </c>
      <c r="G508" t="inlineStr">
        <is>
          <t>HAGFORS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45155</v>
      </c>
      <c r="E509" s="1" t="n">
        <v>46272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46272</v>
      </c>
      <c r="F510" t="inlineStr">
        <is>
          <t>VÄRMLANDS LÄN</t>
        </is>
      </c>
      <c r="G510" t="inlineStr">
        <is>
          <t>HAGFORS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45268</v>
      </c>
      <c r="E511" s="1" t="n">
        <v>46272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46272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45057</v>
      </c>
      <c r="E513" s="1" t="n">
        <v>46272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46272</v>
      </c>
      <c r="F514" t="inlineStr">
        <is>
          <t>VÄRMLANDS LÄN</t>
        </is>
      </c>
      <c r="G514" t="inlineStr">
        <is>
          <t>HAGFORS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46272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53813-2024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45615</v>
      </c>
      <c r="E516" s="1" t="n">
        <v>46272</v>
      </c>
      <c r="F516" t="inlineStr">
        <is>
          <t>VÄRMLANDS LÄN</t>
        </is>
      </c>
      <c r="G516" t="inlineStr">
        <is>
          <t>HAGFORS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46272</v>
      </c>
      <c r="F517" t="inlineStr">
        <is>
          <t>VÄRMLANDS LÄN</t>
        </is>
      </c>
      <c r="G517" t="inlineStr">
        <is>
          <t>HAGFORS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45846</v>
      </c>
      <c r="E518" s="1" t="n">
        <v>46272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46272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45079</v>
      </c>
      <c r="E520" s="1" t="n">
        <v>46272</v>
      </c>
      <c r="F520" t="inlineStr">
        <is>
          <t>VÄRMLANDS LÄN</t>
        </is>
      </c>
      <c r="G520" t="inlineStr">
        <is>
          <t>HAGFORS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45847</v>
      </c>
      <c r="E521" s="1" t="n">
        <v>46272</v>
      </c>
      <c r="F521" t="inlineStr">
        <is>
          <t>VÄRMLANDS LÄN</t>
        </is>
      </c>
      <c r="G521" t="inlineStr">
        <is>
          <t>HAGFORS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68252-2021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46272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46272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45441</v>
      </c>
      <c r="E524" s="1" t="n">
        <v>46272</v>
      </c>
      <c r="F524" t="inlineStr">
        <is>
          <t>VÄRMLANDS LÄN</t>
        </is>
      </c>
      <c r="G524" t="inlineStr">
        <is>
          <t>HAGFORS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46272</v>
      </c>
      <c r="F525" t="inlineStr">
        <is>
          <t>VÄRMLANDS LÄN</t>
        </is>
      </c>
      <c r="G525" t="inlineStr">
        <is>
          <t>HAGFORS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20756-2026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46272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46272</v>
      </c>
      <c r="F527" t="inlineStr">
        <is>
          <t>VÄRMLANDS LÄN</t>
        </is>
      </c>
      <c r="G527" t="inlineStr">
        <is>
          <t>HAGFORS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46272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46272</v>
      </c>
      <c r="F529" t="inlineStr">
        <is>
          <t>VÄRMLANDS LÄN</t>
        </is>
      </c>
      <c r="G529" t="inlineStr">
        <is>
          <t>HAGFORS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46272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45203</v>
      </c>
      <c r="E531" s="1" t="n">
        <v>46272</v>
      </c>
      <c r="F531" t="inlineStr">
        <is>
          <t>VÄRMLANDS LÄN</t>
        </is>
      </c>
      <c r="G531" t="inlineStr">
        <is>
          <t>HAGFORS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31657-2024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45506</v>
      </c>
      <c r="E532" s="1" t="n">
        <v>46272</v>
      </c>
      <c r="F532" t="inlineStr">
        <is>
          <t>VÄRMLANDS LÄN</t>
        </is>
      </c>
      <c r="G532" t="inlineStr">
        <is>
          <t>HAGFORS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46272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46272</v>
      </c>
      <c r="F534" t="inlineStr">
        <is>
          <t>VÄRMLANDS LÄN</t>
        </is>
      </c>
      <c r="G534" t="inlineStr">
        <is>
          <t>HAGFORS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46272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45833</v>
      </c>
      <c r="E536" s="1" t="n">
        <v>46272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46272</v>
      </c>
      <c r="F537" t="inlineStr">
        <is>
          <t>VÄRMLANDS LÄN</t>
        </is>
      </c>
      <c r="G537" t="inlineStr">
        <is>
          <t>HAGFORS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46141</v>
      </c>
      <c r="E538" s="1" t="n">
        <v>46272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20752-2026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46141</v>
      </c>
      <c r="E539" s="1" t="n">
        <v>46272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64936-2023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45282</v>
      </c>
      <c r="E540" s="1" t="n">
        <v>46272</v>
      </c>
      <c r="F540" t="inlineStr">
        <is>
          <t>VÄRMLANDS LÄN</t>
        </is>
      </c>
      <c r="G540" t="inlineStr">
        <is>
          <t>HAGFORS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46272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46272</v>
      </c>
      <c r="F543" t="inlineStr">
        <is>
          <t>VÄRMLANDS LÄN</t>
        </is>
      </c>
      <c r="G543" t="inlineStr">
        <is>
          <t>HAGFORS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46272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44949</v>
      </c>
      <c r="E545" s="1" t="n">
        <v>46272</v>
      </c>
      <c r="F545" t="inlineStr">
        <is>
          <t>VÄRMLANDS LÄN</t>
        </is>
      </c>
      <c r="G545" t="inlineStr">
        <is>
          <t>HAGFORS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46272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46272</v>
      </c>
      <c r="F547" t="inlineStr">
        <is>
          <t>VÄRMLANDS LÄN</t>
        </is>
      </c>
      <c r="G547" t="inlineStr">
        <is>
          <t>HAGFORS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44760</v>
      </c>
      <c r="E548" s="1" t="n">
        <v>46272</v>
      </c>
      <c r="F548" t="inlineStr">
        <is>
          <t>VÄRMLANDS LÄN</t>
        </is>
      </c>
      <c r="G548" t="inlineStr">
        <is>
          <t>HAGFORS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20880-2026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46142</v>
      </c>
      <c r="E549" s="1" t="n">
        <v>46272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46272</v>
      </c>
      <c r="F550" t="inlineStr">
        <is>
          <t>VÄRMLANDS LÄN</t>
        </is>
      </c>
      <c r="G550" t="inlineStr">
        <is>
          <t>HAGFORS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46272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45050</v>
      </c>
      <c r="E552" s="1" t="n">
        <v>46272</v>
      </c>
      <c r="F552" t="inlineStr">
        <is>
          <t>VÄRMLANDS LÄN</t>
        </is>
      </c>
      <c r="G552" t="inlineStr">
        <is>
          <t>HAGFORS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46272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46272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46272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46272</v>
      </c>
      <c r="F556" t="inlineStr">
        <is>
          <t>VÄRMLANDS LÄN</t>
        </is>
      </c>
      <c r="G556" t="inlineStr">
        <is>
          <t>HAGFORS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45400</v>
      </c>
      <c r="E557" s="1" t="n">
        <v>46272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46272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21762-2026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46150</v>
      </c>
      <c r="E559" s="1" t="n">
        <v>46272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46272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46272</v>
      </c>
      <c r="F561" t="inlineStr">
        <is>
          <t>VÄRMLANDS LÄN</t>
        </is>
      </c>
      <c r="G561" t="inlineStr">
        <is>
          <t>HAGFORS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46272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45351</v>
      </c>
      <c r="E563" s="1" t="n">
        <v>46272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46272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46272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46272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46272</v>
      </c>
      <c r="F567" t="inlineStr">
        <is>
          <t>VÄRMLANDS LÄN</t>
        </is>
      </c>
      <c r="G567" t="inlineStr">
        <is>
          <t>HAGFORS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46272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46272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20652-2022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44700</v>
      </c>
      <c r="E570" s="1" t="n">
        <v>46272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46272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46272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46272</v>
      </c>
      <c r="F573" t="inlineStr">
        <is>
          <t>VÄRMLANDS LÄN</t>
        </is>
      </c>
      <c r="G573" t="inlineStr">
        <is>
          <t>HAGFORS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46272</v>
      </c>
      <c r="F574" t="inlineStr">
        <is>
          <t>VÄRMLANDS LÄN</t>
        </is>
      </c>
      <c r="G574" t="inlineStr">
        <is>
          <t>HAGFORS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45679</v>
      </c>
      <c r="E575" s="1" t="n">
        <v>46272</v>
      </c>
      <c r="F575" t="inlineStr">
        <is>
          <t>VÄRMLANDS LÄN</t>
        </is>
      </c>
      <c r="G575" t="inlineStr">
        <is>
          <t>HAGFORS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46272</v>
      </c>
      <c r="F576" t="inlineStr">
        <is>
          <t>VÄRMLANDS LÄN</t>
        </is>
      </c>
      <c r="G576" t="inlineStr">
        <is>
          <t>HAGFORS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46272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8.800000000000001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46272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46272</v>
      </c>
      <c r="F579" t="inlineStr">
        <is>
          <t>VÄRMLANDS LÄN</t>
        </is>
      </c>
      <c r="G579" t="inlineStr">
        <is>
          <t>HAGFORS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23129-2026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46272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46272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45502</v>
      </c>
      <c r="E583" s="1" t="n">
        <v>46272</v>
      </c>
      <c r="F583" t="inlineStr">
        <is>
          <t>VÄRMLANDS LÄN</t>
        </is>
      </c>
      <c r="G583" t="inlineStr">
        <is>
          <t>HAGFORS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46272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45947</v>
      </c>
      <c r="E585" s="1" t="n">
        <v>46272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46272</v>
      </c>
      <c r="F586" t="inlineStr">
        <is>
          <t>VÄRMLANDS LÄN</t>
        </is>
      </c>
      <c r="G586" t="inlineStr">
        <is>
          <t>HAGFORS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44596</v>
      </c>
      <c r="E587" s="1" t="n">
        <v>46272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46272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46272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23269-2026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46272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23728-2026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46164</v>
      </c>
      <c r="E591" s="1" t="n">
        <v>46272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52378-2021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44465</v>
      </c>
      <c r="E592" s="1" t="n">
        <v>46272</v>
      </c>
      <c r="F592" t="inlineStr">
        <is>
          <t>VÄRMLANDS LÄN</t>
        </is>
      </c>
      <c r="G592" t="inlineStr">
        <is>
          <t>HAGFORS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46272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46272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49753-2023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46272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46272</v>
      </c>
      <c r="F596" t="inlineStr">
        <is>
          <t>VÄRMLANDS LÄN</t>
        </is>
      </c>
      <c r="G596" t="inlineStr">
        <is>
          <t>HAGFORS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46272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8.1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46272</v>
      </c>
      <c r="F599" t="inlineStr">
        <is>
          <t>VÄRMLANDS LÄN</t>
        </is>
      </c>
      <c r="G599" t="inlineStr">
        <is>
          <t>HAGFORS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46272</v>
      </c>
      <c r="F600" t="inlineStr">
        <is>
          <t>VÄRMLANDS LÄN</t>
        </is>
      </c>
      <c r="G600" t="inlineStr">
        <is>
          <t>HAGFORS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45244</v>
      </c>
      <c r="E601" s="1" t="n">
        <v>46272</v>
      </c>
      <c r="F601" t="inlineStr">
        <is>
          <t>VÄRMLANDS LÄN</t>
        </is>
      </c>
      <c r="G601" t="inlineStr">
        <is>
          <t>HAGFORS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44610</v>
      </c>
      <c r="E602" s="1" t="n">
        <v>46272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46171</v>
      </c>
      <c r="E603" s="1" t="n">
        <v>46272</v>
      </c>
      <c r="F603" t="inlineStr">
        <is>
          <t>VÄRMLANDS LÄN</t>
        </is>
      </c>
      <c r="G603" t="inlineStr">
        <is>
          <t>HAGFORS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46272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24677-2026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46272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24761-2026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46171</v>
      </c>
      <c r="E606" s="1" t="n">
        <v>46272</v>
      </c>
      <c r="F606" t="inlineStr">
        <is>
          <t>VÄRMLANDS LÄN</t>
        </is>
      </c>
      <c r="G606" t="inlineStr">
        <is>
          <t>HAGFORS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44950</v>
      </c>
      <c r="E607" s="1" t="n">
        <v>46272</v>
      </c>
      <c r="F607" t="inlineStr">
        <is>
          <t>VÄRMLANDS LÄN</t>
        </is>
      </c>
      <c r="G607" t="inlineStr">
        <is>
          <t>HAGFORS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44950</v>
      </c>
      <c r="E608" s="1" t="n">
        <v>46272</v>
      </c>
      <c r="F608" t="inlineStr">
        <is>
          <t>VÄRMLANDS LÄN</t>
        </is>
      </c>
      <c r="G608" t="inlineStr">
        <is>
          <t>HAGFORS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24628-2026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46272</v>
      </c>
      <c r="F609" t="inlineStr">
        <is>
          <t>VÄRMLANDS LÄN</t>
        </is>
      </c>
      <c r="G609" t="inlineStr">
        <is>
          <t>HAGFORS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46272</v>
      </c>
      <c r="F610" t="inlineStr">
        <is>
          <t>VÄRMLANDS LÄN</t>
        </is>
      </c>
      <c r="G610" t="inlineStr">
        <is>
          <t>HAGFORS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24699-2026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46171</v>
      </c>
      <c r="E611" s="1" t="n">
        <v>46272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24626-2026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46171</v>
      </c>
      <c r="E612" s="1" t="n">
        <v>46272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45518</v>
      </c>
      <c r="E613" s="1" t="n">
        <v>46272</v>
      </c>
      <c r="F613" t="inlineStr">
        <is>
          <t>VÄRMLANDS LÄN</t>
        </is>
      </c>
      <c r="G613" t="inlineStr">
        <is>
          <t>HAGFORS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42223-2022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44830</v>
      </c>
      <c r="E614" s="1" t="n">
        <v>46272</v>
      </c>
      <c r="F614" t="inlineStr">
        <is>
          <t>VÄRMLANDS LÄN</t>
        </is>
      </c>
      <c r="G614" t="inlineStr">
        <is>
          <t>HAGFORS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46171</v>
      </c>
      <c r="E615" s="1" t="n">
        <v>46272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46272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46272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46272</v>
      </c>
      <c r="F619" t="inlineStr">
        <is>
          <t>VÄRMLANDS LÄN</t>
        </is>
      </c>
      <c r="G619" t="inlineStr">
        <is>
          <t>HAGFORS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45371</v>
      </c>
      <c r="E620" s="1" t="n">
        <v>46272</v>
      </c>
      <c r="F620" t="inlineStr">
        <is>
          <t>VÄRMLANDS LÄN</t>
        </is>
      </c>
      <c r="G620" t="inlineStr">
        <is>
          <t>HAGFORS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46272</v>
      </c>
      <c r="F621" t="inlineStr">
        <is>
          <t>VÄRMLANDS LÄN</t>
        </is>
      </c>
      <c r="G621" t="inlineStr">
        <is>
          <t>HAGFORS</t>
        </is>
      </c>
      <c r="H621" t="inlineStr">
        <is>
          <t>Kyrkan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46272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46272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36.8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46272</v>
      </c>
      <c r="F625" t="inlineStr">
        <is>
          <t>VÄRMLANDS LÄN</t>
        </is>
      </c>
      <c r="G625" t="inlineStr">
        <is>
          <t>HAGFORS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26012-2026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46272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46272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60664-2023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45259</v>
      </c>
      <c r="E628" s="1" t="n">
        <v>46272</v>
      </c>
      <c r="F628" t="inlineStr">
        <is>
          <t>VÄRMLANDS LÄN</t>
        </is>
      </c>
      <c r="G628" t="inlineStr">
        <is>
          <t>HAGFORS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35775-2024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45532</v>
      </c>
      <c r="E629" s="1" t="n">
        <v>46272</v>
      </c>
      <c r="F629" t="inlineStr">
        <is>
          <t>VÄRMLANDS LÄN</t>
        </is>
      </c>
      <c r="G629" t="inlineStr">
        <is>
          <t>HAGFORS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46272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46272</v>
      </c>
      <c r="F631" t="inlineStr">
        <is>
          <t>VÄRMLANDS LÄN</t>
        </is>
      </c>
      <c r="G631" t="inlineStr">
        <is>
          <t>HAGFORS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46272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45211</v>
      </c>
      <c r="E633" s="1" t="n">
        <v>46272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46272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57359-2022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46272</v>
      </c>
      <c r="F635" t="inlineStr">
        <is>
          <t>VÄRMLANDS LÄN</t>
        </is>
      </c>
      <c r="G635" t="inlineStr">
        <is>
          <t>HAGFORS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41092-2024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46272</v>
      </c>
      <c r="F636" t="inlineStr">
        <is>
          <t>VÄRMLANDS LÄN</t>
        </is>
      </c>
      <c r="G636" t="inlineStr">
        <is>
          <t>HAGFORS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46272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46272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46272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46272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46272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46272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46272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46272</v>
      </c>
      <c r="F644" t="inlineStr">
        <is>
          <t>VÄRMLANDS LÄN</t>
        </is>
      </c>
      <c r="G644" t="inlineStr">
        <is>
          <t>HAGFORS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44694</v>
      </c>
      <c r="E645" s="1" t="n">
        <v>46272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46272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18.2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46272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46272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22503-2024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45447</v>
      </c>
      <c r="E650" s="1" t="n">
        <v>46272</v>
      </c>
      <c r="F650" t="inlineStr">
        <is>
          <t>VÄRMLANDS LÄN</t>
        </is>
      </c>
      <c r="G650" t="inlineStr">
        <is>
          <t>HAGFORS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45324</v>
      </c>
      <c r="E651" s="1" t="n">
        <v>46272</v>
      </c>
      <c r="F651" t="inlineStr">
        <is>
          <t>VÄRMLANDS LÄN</t>
        </is>
      </c>
      <c r="G651" t="inlineStr">
        <is>
          <t>HAGFORS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46272</v>
      </c>
      <c r="F652" t="inlineStr">
        <is>
          <t>VÄRMLANDS LÄN</t>
        </is>
      </c>
      <c r="G652" t="inlineStr">
        <is>
          <t>HAGFORS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44571</v>
      </c>
      <c r="E653" s="1" t="n">
        <v>46272</v>
      </c>
      <c r="F653" t="inlineStr">
        <is>
          <t>VÄRMLANDS LÄN</t>
        </is>
      </c>
      <c r="G653" t="inlineStr">
        <is>
          <t>HAGFORS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46272</v>
      </c>
      <c r="F654" t="inlineStr">
        <is>
          <t>VÄRMLANDS LÄN</t>
        </is>
      </c>
      <c r="G654" t="inlineStr">
        <is>
          <t>HAGFORS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46272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8.300000000000001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12426-2024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45379</v>
      </c>
      <c r="E656" s="1" t="n">
        <v>46272</v>
      </c>
      <c r="F656" t="inlineStr">
        <is>
          <t>VÄRMLANDS LÄN</t>
        </is>
      </c>
      <c r="G656" t="inlineStr">
        <is>
          <t>HAGFORS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46272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27394-2026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46272</v>
      </c>
      <c r="F658" t="inlineStr">
        <is>
          <t>VÄRMLANDS LÄN</t>
        </is>
      </c>
      <c r="G658" t="inlineStr">
        <is>
          <t>HAGFORS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46272</v>
      </c>
      <c r="F659" t="inlineStr">
        <is>
          <t>VÄRMLANDS LÄN</t>
        </is>
      </c>
      <c r="G659" t="inlineStr">
        <is>
          <t>HAGFORS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45758</v>
      </c>
      <c r="E660" s="1" t="n">
        <v>46272</v>
      </c>
      <c r="F660" t="inlineStr">
        <is>
          <t>VÄRMLANDS LÄN</t>
        </is>
      </c>
      <c r="G660" t="inlineStr">
        <is>
          <t>HAGFORS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45703</v>
      </c>
      <c r="E661" s="1" t="n">
        <v>46272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15.9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46272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17329-2024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45414</v>
      </c>
      <c r="E663" s="1" t="n">
        <v>46272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46272</v>
      </c>
      <c r="F664" t="inlineStr">
        <is>
          <t>VÄRMLANDS LÄN</t>
        </is>
      </c>
      <c r="G664" t="inlineStr">
        <is>
          <t>HAGFORS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46239</v>
      </c>
      <c r="E665" s="1" t="n">
        <v>46272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32490-2026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46239</v>
      </c>
      <c r="E666" s="1" t="n">
        <v>46272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46272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46272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46239</v>
      </c>
      <c r="E669" s="1" t="n">
        <v>46272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45671</v>
      </c>
      <c r="E670" s="1" t="n">
        <v>46272</v>
      </c>
      <c r="F670" t="inlineStr">
        <is>
          <t>VÄRMLANDS LÄN</t>
        </is>
      </c>
      <c r="G670" t="inlineStr">
        <is>
          <t>HAGFORS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28185-2026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46272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45590</v>
      </c>
      <c r="E672" s="1" t="n">
        <v>46272</v>
      </c>
      <c r="F672" t="inlineStr">
        <is>
          <t>VÄRMLANDS LÄN</t>
        </is>
      </c>
      <c r="G672" t="inlineStr">
        <is>
          <t>HAGFORS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54751-2022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44883</v>
      </c>
      <c r="E673" s="1" t="n">
        <v>46272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46272</v>
      </c>
      <c r="F674" t="inlineStr">
        <is>
          <t>VÄRMLANDS LÄN</t>
        </is>
      </c>
      <c r="G674" t="inlineStr">
        <is>
          <t>HAGFORS</t>
        </is>
      </c>
      <c r="I674" t="n">
        <v>9.1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46272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52494-2024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45609</v>
      </c>
      <c r="E676" s="1" t="n">
        <v>46272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45692</v>
      </c>
      <c r="E677" s="1" t="n">
        <v>46272</v>
      </c>
      <c r="F677" t="inlineStr">
        <is>
          <t>VÄRMLANDS LÄN</t>
        </is>
      </c>
      <c r="G677" t="inlineStr">
        <is>
          <t>HAGFORS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45366</v>
      </c>
      <c r="E678" s="1" t="n">
        <v>46272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46241</v>
      </c>
      <c r="E679" s="1" t="n">
        <v>46272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44595</v>
      </c>
      <c r="E680" s="1" t="n">
        <v>46272</v>
      </c>
      <c r="F680" t="inlineStr">
        <is>
          <t>VÄRMLANDS LÄN</t>
        </is>
      </c>
      <c r="G680" t="inlineStr">
        <is>
          <t>HAGFORS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28788-2026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46272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46272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46272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60167-2023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45258</v>
      </c>
      <c r="E685" s="1" t="n">
        <v>46272</v>
      </c>
      <c r="F685" t="inlineStr">
        <is>
          <t>VÄRMLANDS LÄN</t>
        </is>
      </c>
      <c r="G685" t="inlineStr">
        <is>
          <t>HAGFORS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60178-2023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45258</v>
      </c>
      <c r="E686" s="1" t="n">
        <v>46272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46272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46200</v>
      </c>
      <c r="E688" s="1" t="n">
        <v>46272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29103-2026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46200</v>
      </c>
      <c r="E689" s="1" t="n">
        <v>46272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27855-2026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46191</v>
      </c>
      <c r="E690" s="1" t="n">
        <v>46272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46272</v>
      </c>
      <c r="F691" t="inlineStr">
        <is>
          <t>VÄRMLANDS LÄN</t>
        </is>
      </c>
      <c r="G691" t="inlineStr">
        <is>
          <t>HAGFORS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16525-2023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45029</v>
      </c>
      <c r="E692" s="1" t="n">
        <v>46272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45175</v>
      </c>
      <c r="E693" s="1" t="n">
        <v>46272</v>
      </c>
      <c r="F693" t="inlineStr">
        <is>
          <t>VÄRMLANDS LÄN</t>
        </is>
      </c>
      <c r="G693" t="inlineStr">
        <is>
          <t>HAGFORS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46245</v>
      </c>
      <c r="E694" s="1" t="n">
        <v>46272</v>
      </c>
      <c r="F694" t="inlineStr">
        <is>
          <t>VÄRMLANDS LÄN</t>
        </is>
      </c>
      <c r="G694" t="inlineStr">
        <is>
          <t>HAGFORS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45726</v>
      </c>
      <c r="E695" s="1" t="n">
        <v>46272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45244</v>
      </c>
      <c r="E696" s="1" t="n">
        <v>46272</v>
      </c>
      <c r="F696" t="inlineStr">
        <is>
          <t>VÄRMLANDS LÄN</t>
        </is>
      </c>
      <c r="G696" t="inlineStr">
        <is>
          <t>HAGFORS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46272</v>
      </c>
      <c r="F697" t="inlineStr">
        <is>
          <t>VÄRMLANDS LÄN</t>
        </is>
      </c>
      <c r="G697" t="inlineStr">
        <is>
          <t>HAGFORS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29580-2026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46272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46272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45172</v>
      </c>
      <c r="E700" s="1" t="n">
        <v>46272</v>
      </c>
      <c r="F700" t="inlineStr">
        <is>
          <t>VÄRMLANDS LÄN</t>
        </is>
      </c>
      <c r="G700" t="inlineStr">
        <is>
          <t>HAGFORS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46272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46203</v>
      </c>
      <c r="E702" s="1" t="n">
        <v>46272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46272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46272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45492</v>
      </c>
      <c r="E705" s="1" t="n">
        <v>46272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46272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45519</v>
      </c>
      <c r="E707" s="1" t="n">
        <v>46272</v>
      </c>
      <c r="F707" t="inlineStr">
        <is>
          <t>VÄRMLANDS LÄN</t>
        </is>
      </c>
      <c r="G707" t="inlineStr">
        <is>
          <t>HAGFORS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46272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46272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10236-2022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46272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46792-2022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44851</v>
      </c>
      <c r="E711" s="1" t="n">
        <v>46272</v>
      </c>
      <c r="F711" t="inlineStr">
        <is>
          <t>VÄRMLANDS LÄN</t>
        </is>
      </c>
      <c r="G711" t="inlineStr">
        <is>
          <t>HAGFORS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46272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46251</v>
      </c>
      <c r="E713" s="1" t="n">
        <v>46272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46272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46272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30141-2026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46272</v>
      </c>
      <c r="F716" t="inlineStr">
        <is>
          <t>VÄRMLANDS LÄN</t>
        </is>
      </c>
      <c r="G716" t="inlineStr">
        <is>
          <t>HAGFORS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46272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33627-2026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46248</v>
      </c>
      <c r="E718" s="1" t="n">
        <v>46272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46272</v>
      </c>
      <c r="F719" t="inlineStr">
        <is>
          <t>VÄRMLANDS LÄN</t>
        </is>
      </c>
      <c r="G719" t="inlineStr">
        <is>
          <t>HAGFORS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39640-2022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44817</v>
      </c>
      <c r="E720" s="1" t="n">
        <v>46272</v>
      </c>
      <c r="F720" t="inlineStr">
        <is>
          <t>VÄRMLANDS LÄN</t>
        </is>
      </c>
      <c r="G720" t="inlineStr">
        <is>
          <t>HAGFORS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46272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33821-2026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46251</v>
      </c>
      <c r="E722" s="1" t="n">
        <v>46272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45629</v>
      </c>
      <c r="E723" s="1" t="n">
        <v>46272</v>
      </c>
      <c r="F723" t="inlineStr">
        <is>
          <t>VÄRMLANDS LÄN</t>
        </is>
      </c>
      <c r="G723" t="inlineStr">
        <is>
          <t>HAGFORS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45132</v>
      </c>
      <c r="E724" s="1" t="n">
        <v>46272</v>
      </c>
      <c r="F724" t="inlineStr">
        <is>
          <t>VÄRMLANDS LÄN</t>
        </is>
      </c>
      <c r="G724" t="inlineStr">
        <is>
          <t>HAGFORS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45723</v>
      </c>
      <c r="E725" s="1" t="n">
        <v>46272</v>
      </c>
      <c r="F725" t="inlineStr">
        <is>
          <t>VÄRMLANDS LÄN</t>
        </is>
      </c>
      <c r="G725" t="inlineStr">
        <is>
          <t>HAGFORS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43998-2024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45572</v>
      </c>
      <c r="E726" s="1" t="n">
        <v>46272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13282-2024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46272</v>
      </c>
      <c r="F727" t="inlineStr">
        <is>
          <t>VÄRMLANDS LÄN</t>
        </is>
      </c>
      <c r="G727" t="inlineStr">
        <is>
          <t>HAGFORS</t>
        </is>
      </c>
      <c r="H727" t="inlineStr">
        <is>
          <t>Kommuner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44728-2023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45190</v>
      </c>
      <c r="E728" s="1" t="n">
        <v>46272</v>
      </c>
      <c r="F728" t="inlineStr">
        <is>
          <t>VÄRMLANDS LÄN</t>
        </is>
      </c>
      <c r="G728" t="inlineStr">
        <is>
          <t>HAGFORS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30153-2026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46272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45562</v>
      </c>
      <c r="E730" s="1" t="n">
        <v>46272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46272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45562</v>
      </c>
      <c r="E732" s="1" t="n">
        <v>46272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46272</v>
      </c>
      <c r="F733" t="inlineStr">
        <is>
          <t>VÄRMLANDS LÄN</t>
        </is>
      </c>
      <c r="G733" t="inlineStr">
        <is>
          <t>HAGFORS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44603</v>
      </c>
      <c r="E734" s="1" t="n">
        <v>46272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46248</v>
      </c>
      <c r="E735" s="1" t="n">
        <v>46272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46272</v>
      </c>
      <c r="F736" t="inlineStr">
        <is>
          <t>VÄRMLANDS LÄN</t>
        </is>
      </c>
      <c r="G736" t="inlineStr">
        <is>
          <t>HAGFORS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46272</v>
      </c>
      <c r="F737" t="inlineStr">
        <is>
          <t>VÄRMLANDS LÄN</t>
        </is>
      </c>
      <c r="G737" t="inlineStr">
        <is>
          <t>HAGFORS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30437-2026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46209</v>
      </c>
      <c r="E738" s="1" t="n">
        <v>46272</v>
      </c>
      <c r="F738" t="inlineStr">
        <is>
          <t>VÄRMLANDS LÄN</t>
        </is>
      </c>
      <c r="G738" t="inlineStr">
        <is>
          <t>HAGFORS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61311-2023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46272</v>
      </c>
      <c r="F739" t="inlineStr">
        <is>
          <t>VÄRMLANDS LÄN</t>
        </is>
      </c>
      <c r="G739" t="inlineStr">
        <is>
          <t>HAGFORS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61315-2023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45264</v>
      </c>
      <c r="E740" s="1" t="n">
        <v>46272</v>
      </c>
      <c r="F740" t="inlineStr">
        <is>
          <t>VÄRMLANDS LÄN</t>
        </is>
      </c>
      <c r="G740" t="inlineStr">
        <is>
          <t>HAGFORS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46272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46272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30433-2026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46272</v>
      </c>
      <c r="F743" t="inlineStr">
        <is>
          <t>VÄRMLANDS LÄN</t>
        </is>
      </c>
      <c r="G743" t="inlineStr">
        <is>
          <t>HAGFORS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17305-2023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45035</v>
      </c>
      <c r="E744" s="1" t="n">
        <v>46272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34523-2026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46255</v>
      </c>
      <c r="E745" s="1" t="n">
        <v>46272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31178-2022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44770</v>
      </c>
      <c r="E746" s="1" t="n">
        <v>46272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46272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45638</v>
      </c>
      <c r="E748" s="1" t="n">
        <v>46272</v>
      </c>
      <c r="F748" t="inlineStr">
        <is>
          <t>VÄRMLANDS LÄN</t>
        </is>
      </c>
      <c r="G748" t="inlineStr">
        <is>
          <t>HAGFORS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45777</v>
      </c>
      <c r="E749" s="1" t="n">
        <v>46272</v>
      </c>
      <c r="F749" t="inlineStr">
        <is>
          <t>VÄRMLANDS LÄN</t>
        </is>
      </c>
      <c r="G749" t="inlineStr">
        <is>
          <t>HAGFORS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46272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46272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46272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46272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46211</v>
      </c>
      <c r="E754" s="1" t="n">
        <v>46272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45460</v>
      </c>
      <c r="E755" s="1" t="n">
        <v>46272</v>
      </c>
      <c r="F755" t="inlineStr">
        <is>
          <t>VÄRMLANDS LÄN</t>
        </is>
      </c>
      <c r="G755" t="inlineStr">
        <is>
          <t>HAGFORS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44683</v>
      </c>
      <c r="E756" s="1" t="n">
        <v>46272</v>
      </c>
      <c r="F756" t="inlineStr">
        <is>
          <t>VÄRMLANDS LÄN</t>
        </is>
      </c>
      <c r="G756" t="inlineStr">
        <is>
          <t>HAGFORS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34456-2026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46272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45587</v>
      </c>
      <c r="E758" s="1" t="n">
        <v>46272</v>
      </c>
      <c r="F758" t="inlineStr">
        <is>
          <t>VÄRMLANDS LÄN</t>
        </is>
      </c>
      <c r="G758" t="inlineStr">
        <is>
          <t>HAGFORS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46272</v>
      </c>
      <c r="F759" t="inlineStr">
        <is>
          <t>VÄRMLANDS LÄN</t>
        </is>
      </c>
      <c r="G759" t="inlineStr">
        <is>
          <t>HAGFORS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40332-2023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46272</v>
      </c>
      <c r="F760" t="inlineStr">
        <is>
          <t>VÄRMLANDS LÄN</t>
        </is>
      </c>
      <c r="G760" t="inlineStr">
        <is>
          <t>HAGFORS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45789</v>
      </c>
      <c r="E761" s="1" t="n">
        <v>46272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22461-2025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46272</v>
      </c>
      <c r="F762" t="inlineStr">
        <is>
          <t>VÄRMLANDS LÄN</t>
        </is>
      </c>
      <c r="G762" t="inlineStr">
        <is>
          <t>HAGFORS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46272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23268-2025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46272</v>
      </c>
      <c r="F764" t="inlineStr">
        <is>
          <t>VÄRMLANDS LÄN</t>
        </is>
      </c>
      <c r="G764" t="inlineStr">
        <is>
          <t>HAGFORS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46272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46272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46272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46272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46272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46272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45623</v>
      </c>
      <c r="E771" s="1" t="n">
        <v>46272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46272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46272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46272</v>
      </c>
      <c r="F774" t="inlineStr">
        <is>
          <t>VÄRMLANDS LÄN</t>
        </is>
      </c>
      <c r="G774" t="inlineStr">
        <is>
          <t>HAGFORS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23712-2025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46272</v>
      </c>
      <c r="F775" t="inlineStr">
        <is>
          <t>VÄRMLANDS LÄN</t>
        </is>
      </c>
      <c r="G775" t="inlineStr">
        <is>
          <t>HAGFORS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46272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46272</v>
      </c>
      <c r="F777" t="inlineStr">
        <is>
          <t>VÄRMLANDS LÄN</t>
        </is>
      </c>
      <c r="G777" t="inlineStr">
        <is>
          <t>HAGFORS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46272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18.2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46272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46272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46272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35574-2026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46272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36110-2026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46267</v>
      </c>
      <c r="E783" s="1" t="n">
        <v>46272</v>
      </c>
      <c r="F783" t="inlineStr">
        <is>
          <t>VÄRMLANDS LÄN</t>
        </is>
      </c>
      <c r="G783" t="inlineStr">
        <is>
          <t>HAGFORS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46272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9.699999999999999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46272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46268</v>
      </c>
      <c r="E787" s="1" t="n">
        <v>46272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46268</v>
      </c>
      <c r="E788" s="1" t="n">
        <v>46272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46268</v>
      </c>
      <c r="E789" s="1" t="n">
        <v>46272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7.6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46272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46272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31691-2026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46226</v>
      </c>
      <c r="E793" s="1" t="n">
        <v>46272</v>
      </c>
      <c r="F793" t="inlineStr">
        <is>
          <t>VÄRMLANDS LÄN</t>
        </is>
      </c>
      <c r="G793" t="inlineStr">
        <is>
          <t>HAGFORS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31671-2026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46225</v>
      </c>
      <c r="E794" s="1" t="n">
        <v>46272</v>
      </c>
      <c r="F794" t="inlineStr">
        <is>
          <t>VÄRMLANDS LÄN</t>
        </is>
      </c>
      <c r="G794" t="inlineStr">
        <is>
          <t>HAGFORS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46225</v>
      </c>
      <c r="E795" s="1" t="n">
        <v>46272</v>
      </c>
      <c r="F795" t="inlineStr">
        <is>
          <t>VÄRMLANDS LÄN</t>
        </is>
      </c>
      <c r="G795" t="inlineStr">
        <is>
          <t>HAGFORS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46272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46272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46272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46272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46272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46272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46272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46272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46272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46272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46272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46272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46272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46272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46272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46272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46272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46272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46272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46272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46272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46272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46272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46272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46272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46272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46272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46272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46272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46272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46272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46272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46272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2026-09-07T02:05:07Z</dcterms:created>
  <dcterms:modified xmlns:dcterms="http://purl.org/dc/terms/" xmlns:xsi="http://www.w3.org/2001/XMLSchema-instance" xsi:type="dcterms:W3CDTF">2026-09-07T02:05:08Z</dcterms:modified>
</cp:coreProperties>
</file>