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46316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46316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46316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46316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46316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46316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46316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46316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46316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46316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46316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46316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46316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62954-2025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46009</v>
      </c>
      <c r="E35" s="1" t="n">
        <v>46316</v>
      </c>
      <c r="F35" t="inlineStr">
        <is>
          <t>VÄRMLANDS LÄN</t>
        </is>
      </c>
      <c r="G35" t="inlineStr">
        <is>
          <t>HAGFORS</t>
        </is>
      </c>
      <c r="I35" t="n">
        <v>9.1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Kråka</t>
        </is>
      </c>
      <c r="W35">
        <f>HYPERLINK("https://klasma.github.io/Logging_1783/artfynd/A 62954-2025 artfynd.xlsx", "A 62954-2025")</f>
        <v/>
      </c>
      <c r="X35">
        <f>HYPERLINK("https://klasma.github.io/Logging_1783/kartor/A 62954-2025 karta.png", "A 62954-2025")</f>
        <v/>
      </c>
      <c r="Y35">
        <f>HYPERLINK("https://klasma.github.io/Logging_1783/kartor_geotiff/A 62954-2025 georefererad karta.tif", "A 62954-2025")</f>
        <v/>
      </c>
      <c r="AA35">
        <f>HYPERLINK("https://klasma.github.io/Logging_1783/klagomål/A 62954-2025 FSC-klagomål.docx", "A 62954-2025")</f>
        <v/>
      </c>
      <c r="AB35">
        <f>HYPERLINK("https://klasma.github.io/Logging_1783/klagomålsmail/A 62954-2025 FSC-klagomål mail.docx", "A 62954-2025")</f>
        <v/>
      </c>
      <c r="AC35">
        <f>HYPERLINK("https://klasma.github.io/Logging_1783/tillsyn/A 62954-2025 tillsynsbegäran.docx", "A 62954-2025")</f>
        <v/>
      </c>
      <c r="AD35">
        <f>HYPERLINK("https://klasma.github.io/Logging_1783/tillsynsmail/A 62954-2025 tillsynsbegäran mail.docx", "A 62954-2025")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46316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46316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46316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46316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46316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21309-2023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46316</v>
      </c>
      <c r="F41" t="inlineStr">
        <is>
          <t>VÄRMLANDS LÄN</t>
        </is>
      </c>
      <c r="G41" t="inlineStr">
        <is>
          <t>HAGFORS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Kattfot</t>
        </is>
      </c>
      <c r="W41">
        <f>HYPERLINK("https://klasma.github.io/Logging_1783/artfynd/A 21309-2023 artfynd.xlsx", "A 21309-2023")</f>
        <v/>
      </c>
      <c r="X41">
        <f>HYPERLINK("https://klasma.github.io/Logging_1783/kartor/A 21309-2023 karta.png", "A 21309-2023")</f>
        <v/>
      </c>
      <c r="Y41">
        <f>HYPERLINK("https://klasma.github.io/Logging_1783/kartor_geotiff/A 21309-2023 georefererad karta.tif", "A 21309-2023")</f>
        <v/>
      </c>
      <c r="AA41">
        <f>HYPERLINK("https://klasma.github.io/Logging_1783/klagomål/A 21309-2023 FSC-klagomål.docx", "A 21309-2023")</f>
        <v/>
      </c>
      <c r="AB41">
        <f>HYPERLINK("https://klasma.github.io/Logging_1783/klagomålsmail/A 21309-2023 FSC-klagomål mail.docx", "A 21309-2023")</f>
        <v/>
      </c>
      <c r="AC41">
        <f>HYPERLINK("https://klasma.github.io/Logging_1783/tillsyn/A 21309-2023 tillsynsbegäran.docx", "A 21309-2023")</f>
        <v/>
      </c>
      <c r="AD41">
        <f>HYPERLINK("https://klasma.github.io/Logging_1783/tillsynsmail/A 21309-2023 tillsynsbegäran mail.docx", "A 21309-2023")</f>
        <v/>
      </c>
    </row>
    <row r="42" ht="15" customHeight="1">
      <c r="A42" t="inlineStr">
        <is>
          <t>A 51194-2022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46316</v>
      </c>
      <c r="F42" t="inlineStr">
        <is>
          <t>VÄRMLANDS LÄN</t>
        </is>
      </c>
      <c r="G42" t="inlineStr">
        <is>
          <t>HAGFORS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HYPERLINK("https://klasma.github.io/Logging_1783/artfynd/A 51194-2022 artfynd.xlsx", "A 51194-2022")</f>
        <v/>
      </c>
      <c r="X42">
        <f>HYPERLINK("https://klasma.github.io/Logging_1783/kartor/A 51194-2022 karta.png", "A 51194-2022")</f>
        <v/>
      </c>
      <c r="Y42">
        <f>HYPERLINK("https://klasma.github.io/Logging_1783/kartor_geotiff/A 51194-2022 georefererad karta.tif", "A 51194-2022")</f>
        <v/>
      </c>
      <c r="AA42">
        <f>HYPERLINK("https://klasma.github.io/Logging_1783/klagomål/A 51194-2022 FSC-klagomål.docx", "A 51194-2022")</f>
        <v/>
      </c>
      <c r="AB42">
        <f>HYPERLINK("https://klasma.github.io/Logging_1783/klagomålsmail/A 51194-2022 FSC-klagomål mail.docx", "A 51194-2022")</f>
        <v/>
      </c>
      <c r="AC42">
        <f>HYPERLINK("https://klasma.github.io/Logging_1783/tillsyn/A 51194-2022 tillsynsbegäran.docx", "A 51194-2022")</f>
        <v/>
      </c>
      <c r="AD42">
        <f>HYPERLINK("https://klasma.github.io/Logging_1783/tillsynsmail/A 51194-2022 tillsynsbegäran mail.docx", "A 51194-2022")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46316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46316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33848-2025 artfynd.xlsx", "A 33848-2025")</f>
        <v/>
      </c>
      <c r="X45">
        <f>HYPERLINK("https://klasma.github.io/Logging_1783/kartor/A 33848-2025 karta.png", "A 33848-2025")</f>
        <v/>
      </c>
      <c r="Y45">
        <f>HYPERLINK("https://klasma.github.io/Logging_1783/kartor_geotiff/A 33848-2025 georefererad karta.tif", "A 33848-2025")</f>
        <v/>
      </c>
      <c r="AA45">
        <f>HYPERLINK("https://klasma.github.io/Logging_1783/klagomål/A 33848-2025 FSC-klagomål.docx", "A 33848-2025")</f>
        <v/>
      </c>
      <c r="AB45">
        <f>HYPERLINK("https://klasma.github.io/Logging_1783/klagomålsmail/A 33848-2025 FSC-klagomål mail.docx", "A 33848-2025")</f>
        <v/>
      </c>
      <c r="AC45">
        <f>HYPERLINK("https://klasma.github.io/Logging_1783/tillsyn/A 33848-2025 tillsynsbegäran.docx", "A 33848-2025")</f>
        <v/>
      </c>
      <c r="AD45">
        <f>HYPERLINK("https://klasma.github.io/Logging_1783/tillsynsmail/A 33848-2025 tillsynsbegäran mail.docx", "A 33848-2025")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46316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33905-2025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45842</v>
      </c>
      <c r="E47" s="1" t="n">
        <v>46316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7.8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33905-2025 artfynd.xlsx", "A 33905-2025")</f>
        <v/>
      </c>
      <c r="X47">
        <f>HYPERLINK("https://klasma.github.io/Logging_1783/kartor/A 33905-2025 karta.png", "A 33905-2025")</f>
        <v/>
      </c>
      <c r="Y47">
        <f>HYPERLINK("https://klasma.github.io/Logging_1783/kartor_geotiff/A 33905-2025 georefererad karta.tif", "A 33905-2025")</f>
        <v/>
      </c>
      <c r="AA47">
        <f>HYPERLINK("https://klasma.github.io/Logging_1783/klagomål/A 33905-2025 FSC-klagomål.docx", "A 33905-2025")</f>
        <v/>
      </c>
      <c r="AB47">
        <f>HYPERLINK("https://klasma.github.io/Logging_1783/klagomålsmail/A 33905-2025 FSC-klagomål mail.docx", "A 33905-2025")</f>
        <v/>
      </c>
      <c r="AC47">
        <f>HYPERLINK("https://klasma.github.io/Logging_1783/tillsyn/A 33905-2025 tillsynsbegäran.docx", "A 33905-2025")</f>
        <v/>
      </c>
      <c r="AD47">
        <f>HYPERLINK("https://klasma.github.io/Logging_1783/tillsynsmail/A 33905-2025 tillsynsbegäran mail.docx", "A 33905-2025")</f>
        <v/>
      </c>
    </row>
    <row r="48" ht="15" customHeight="1">
      <c r="A48" t="inlineStr">
        <is>
          <t>A 20119-2025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46316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20119-2025 artfynd.xlsx", "A 20119-2025")</f>
        <v/>
      </c>
      <c r="X48">
        <f>HYPERLINK("https://klasma.github.io/Logging_1783/kartor/A 20119-2025 karta.png", "A 20119-2025")</f>
        <v/>
      </c>
      <c r="Y48">
        <f>HYPERLINK("https://klasma.github.io/Logging_1783/kartor_geotiff/A 20119-2025 georefererad karta.tif", "A 20119-2025")</f>
        <v/>
      </c>
      <c r="AA48">
        <f>HYPERLINK("https://klasma.github.io/Logging_1783/klagomål/A 20119-2025 FSC-klagomål.docx", "A 20119-2025")</f>
        <v/>
      </c>
      <c r="AB48">
        <f>HYPERLINK("https://klasma.github.io/Logging_1783/klagomålsmail/A 20119-2025 FSC-klagomål mail.docx", "A 20119-2025")</f>
        <v/>
      </c>
      <c r="AC48">
        <f>HYPERLINK("https://klasma.github.io/Logging_1783/tillsyn/A 20119-2025 tillsynsbegäran.docx", "A 20119-2025")</f>
        <v/>
      </c>
      <c r="AD48">
        <f>HYPERLINK("https://klasma.github.io/Logging_1783/tillsynsmail/A 20119-2025 tillsynsbegäran mail.docx", "A 20119-2025")</f>
        <v/>
      </c>
      <c r="AE48">
        <f>HYPERLINK("https://klasma.github.io/Logging_1783/fåglar/A 20119-2025 prioriterade fågelarter.docx", "A 20119-2025")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46316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46316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46316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46316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46316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29432-2026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46316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3.1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Vedtrappmossa</t>
        </is>
      </c>
      <c r="W54">
        <f>HYPERLINK("https://klasma.github.io/Logging_1783/artfynd/A 29432-2026 artfynd.xlsx", "A 29432-2026")</f>
        <v/>
      </c>
      <c r="X54">
        <f>HYPERLINK("https://klasma.github.io/Logging_1783/kartor/A 29432-2026 karta.png", "A 29432-2026")</f>
        <v/>
      </c>
      <c r="Y54">
        <f>HYPERLINK("https://klasma.github.io/Logging_1783/kartor_geotiff/A 29432-2026 georefererad karta.tif", "A 29432-2026")</f>
        <v/>
      </c>
      <c r="AA54">
        <f>HYPERLINK("https://klasma.github.io/Logging_1783/klagomål/A 29432-2026 FSC-klagomål.docx", "A 29432-2026")</f>
        <v/>
      </c>
      <c r="AB54">
        <f>HYPERLINK("https://klasma.github.io/Logging_1783/klagomålsmail/A 29432-2026 FSC-klagomål mail.docx", "A 29432-2026")</f>
        <v/>
      </c>
      <c r="AC54">
        <f>HYPERLINK("https://klasma.github.io/Logging_1783/tillsyn/A 29432-2026 tillsynsbegäran.docx", "A 29432-2026")</f>
        <v/>
      </c>
      <c r="AD54">
        <f>HYPERLINK("https://klasma.github.io/Logging_1783/tillsynsmail/A 29432-2026 tillsynsbegäran mail.docx", "A 29432-2026")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46316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46316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46316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38267-2024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46316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4.3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HYPERLINK("https://klasma.github.io/Logging_1783/artfynd/A 38267-2024 artfynd.xlsx", "A 38267-2024")</f>
        <v/>
      </c>
      <c r="X58">
        <f>HYPERLINK("https://klasma.github.io/Logging_1783/kartor/A 38267-2024 karta.png", "A 38267-2024")</f>
        <v/>
      </c>
      <c r="Y58">
        <f>HYPERLINK("https://klasma.github.io/Logging_1783/kartor_geotiff/A 38267-2024 georefererad karta.tif", "A 38267-2024")</f>
        <v/>
      </c>
      <c r="AA58">
        <f>HYPERLINK("https://klasma.github.io/Logging_1783/klagomål/A 38267-2024 FSC-klagomål.docx", "A 38267-2024")</f>
        <v/>
      </c>
      <c r="AB58">
        <f>HYPERLINK("https://klasma.github.io/Logging_1783/klagomålsmail/A 38267-2024 FSC-klagomål mail.docx", "A 38267-2024")</f>
        <v/>
      </c>
      <c r="AC58">
        <f>HYPERLINK("https://klasma.github.io/Logging_1783/tillsyn/A 38267-2024 tillsynsbegäran.docx", "A 38267-2024")</f>
        <v/>
      </c>
      <c r="AD58">
        <f>HYPERLINK("https://klasma.github.io/Logging_1783/tillsynsmail/A 38267-2024 tillsynsbegäran mail.docx", "A 38267-2024")</f>
        <v/>
      </c>
    </row>
    <row r="59" ht="15" customHeight="1">
      <c r="A59" t="inlineStr">
        <is>
          <t>A 56083-2022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46316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19.1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HYPERLINK("https://klasma.github.io/Logging_1783/artfynd/A 56083-2022 artfynd.xlsx", "A 56083-2022")</f>
        <v/>
      </c>
      <c r="X59">
        <f>HYPERLINK("https://klasma.github.io/Logging_1783/kartor/A 56083-2022 karta.png", "A 56083-2022")</f>
        <v/>
      </c>
      <c r="Y59">
        <f>HYPERLINK("https://klasma.github.io/Logging_1783/kartor_geotiff/A 56083-2022 georefererad karta.tif", "A 56083-2022")</f>
        <v/>
      </c>
      <c r="AA59">
        <f>HYPERLINK("https://klasma.github.io/Logging_1783/klagomål/A 56083-2022 FSC-klagomål.docx", "A 56083-2022")</f>
        <v/>
      </c>
      <c r="AB59">
        <f>HYPERLINK("https://klasma.github.io/Logging_1783/klagomålsmail/A 56083-2022 FSC-klagomål mail.docx", "A 56083-2022")</f>
        <v/>
      </c>
      <c r="AC59">
        <f>HYPERLINK("https://klasma.github.io/Logging_1783/tillsyn/A 56083-2022 tillsynsbegäran.docx", "A 56083-2022")</f>
        <v/>
      </c>
      <c r="AD59">
        <f>HYPERLINK("https://klasma.github.io/Logging_1783/tillsynsmail/A 56083-2022 tillsynsbegäran mail.docx", "A 56083-2022")</f>
        <v/>
      </c>
    </row>
    <row r="60" ht="15" customHeight="1">
      <c r="A60" t="inlineStr">
        <is>
          <t>A 40211-2026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46290</v>
      </c>
      <c r="E60" s="1" t="n">
        <v>46316</v>
      </c>
      <c r="F60" t="inlineStr">
        <is>
          <t>VÄRMLANDS LÄN</t>
        </is>
      </c>
      <c r="G60" t="inlineStr">
        <is>
          <t>HAGFORS</t>
        </is>
      </c>
      <c r="I60" t="n">
        <v>2.3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HYPERLINK("https://klasma.github.io/Logging_1783/artfynd/A 40211-2026 artfynd.xlsx", "A 40211-2026")</f>
        <v/>
      </c>
      <c r="X60">
        <f>HYPERLINK("https://klasma.github.io/Logging_1783/kartor/A 40211-2026 karta.png", "A 40211-2026")</f>
        <v/>
      </c>
      <c r="Y60">
        <f>HYPERLINK("https://klasma.github.io/Logging_1783/kartor_geotiff/A 40211-2026 georefererad karta.tif", "A 40211-2026")</f>
        <v/>
      </c>
      <c r="AA60">
        <f>HYPERLINK("https://klasma.github.io/Logging_1783/klagomål/A 40211-2026 FSC-klagomål.docx", "A 40211-2026")</f>
        <v/>
      </c>
      <c r="AB60">
        <f>HYPERLINK("https://klasma.github.io/Logging_1783/klagomålsmail/A 40211-2026 FSC-klagomål mail.docx", "A 40211-2026")</f>
        <v/>
      </c>
      <c r="AC60">
        <f>HYPERLINK("https://klasma.github.io/Logging_1783/tillsyn/A 40211-2026 tillsynsbegäran.docx", "A 40211-2026")</f>
        <v/>
      </c>
      <c r="AD60">
        <f>HYPERLINK("https://klasma.github.io/Logging_1783/tillsynsmail/A 40211-2026 tillsynsbegäran mail.docx", "A 40211-2026")</f>
        <v/>
      </c>
    </row>
    <row r="61" ht="15" customHeight="1">
      <c r="A61" t="inlineStr">
        <is>
          <t>A 6986-2022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46316</v>
      </c>
      <c r="F61" t="inlineStr">
        <is>
          <t>VÄRMLANDS LÄN</t>
        </is>
      </c>
      <c r="G61" t="inlineStr">
        <is>
          <t>HAGFORS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6986-2022 artfynd.xlsx", "A 6986-2022")</f>
        <v/>
      </c>
      <c r="X61">
        <f>HYPERLINK("https://klasma.github.io/Logging_1783/kartor/A 6986-2022 karta.png", "A 6986-2022")</f>
        <v/>
      </c>
      <c r="Y61">
        <f>HYPERLINK("https://klasma.github.io/Logging_1783/kartor_geotiff/A 6986-2022 georefererad karta.tif", "A 6986-2022")</f>
        <v/>
      </c>
      <c r="AA61">
        <f>HYPERLINK("https://klasma.github.io/Logging_1783/klagomål/A 6986-2022 FSC-klagomål.docx", "A 6986-2022")</f>
        <v/>
      </c>
      <c r="AB61">
        <f>HYPERLINK("https://klasma.github.io/Logging_1783/klagomålsmail/A 6986-2022 FSC-klagomål mail.docx", "A 6986-2022")</f>
        <v/>
      </c>
      <c r="AC61">
        <f>HYPERLINK("https://klasma.github.io/Logging_1783/tillsyn/A 6986-2022 tillsynsbegäran.docx", "A 6986-2022")</f>
        <v/>
      </c>
      <c r="AD61">
        <f>HYPERLINK("https://klasma.github.io/Logging_1783/tillsynsmail/A 6986-2022 tillsynsbegäran mail.docx", "A 6986-2022")</f>
        <v/>
      </c>
    </row>
    <row r="62" ht="15" customHeight="1">
      <c r="A62" t="inlineStr">
        <is>
          <t>A 3199-2022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46316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Tofsmes</t>
        </is>
      </c>
      <c r="W62">
        <f>HYPERLINK("https://klasma.github.io/Logging_1783/artfynd/A 3199-2022 artfynd.xlsx", "A 3199-2022")</f>
        <v/>
      </c>
      <c r="X62">
        <f>HYPERLINK("https://klasma.github.io/Logging_1783/kartor/A 3199-2022 karta.png", "A 3199-2022")</f>
        <v/>
      </c>
      <c r="Y62">
        <f>HYPERLINK("https://klasma.github.io/Logging_1783/kartor_geotiff/A 3199-2022 georefererad karta.tif", "A 3199-2022")</f>
        <v/>
      </c>
      <c r="AA62">
        <f>HYPERLINK("https://klasma.github.io/Logging_1783/klagomål/A 3199-2022 FSC-klagomål.docx", "A 3199-2022")</f>
        <v/>
      </c>
      <c r="AB62">
        <f>HYPERLINK("https://klasma.github.io/Logging_1783/klagomålsmail/A 3199-2022 FSC-klagomål mail.docx", "A 3199-2022")</f>
        <v/>
      </c>
      <c r="AC62">
        <f>HYPERLINK("https://klasma.github.io/Logging_1783/tillsyn/A 3199-2022 tillsynsbegäran.docx", "A 3199-2022")</f>
        <v/>
      </c>
      <c r="AD62">
        <f>HYPERLINK("https://klasma.github.io/Logging_1783/tillsynsmail/A 3199-2022 tillsynsbegäran mail.docx", "A 3199-2022")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46316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A 36223-2026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46268</v>
      </c>
      <c r="E64" s="1" t="n">
        <v>46316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Gråspett</t>
        </is>
      </c>
      <c r="W64">
        <f>HYPERLINK("https://klasma.github.io/Logging_1783/artfynd/A 36223-2026 artfynd.xlsx", "A 36223-2026")</f>
        <v/>
      </c>
      <c r="X64">
        <f>HYPERLINK("https://klasma.github.io/Logging_1783/kartor/A 36223-2026 karta.png", "A 36223-2026")</f>
        <v/>
      </c>
      <c r="Y64">
        <f>HYPERLINK("https://klasma.github.io/Logging_1783/kartor_geotiff/A 36223-2026 georefererad karta.tif", "A 36223-2026")</f>
        <v/>
      </c>
      <c r="AA64">
        <f>HYPERLINK("https://klasma.github.io/Logging_1783/klagomål/A 36223-2026 FSC-klagomål.docx", "A 36223-2026")</f>
        <v/>
      </c>
      <c r="AB64">
        <f>HYPERLINK("https://klasma.github.io/Logging_1783/klagomålsmail/A 36223-2026 FSC-klagomål mail.docx", "A 36223-2026")</f>
        <v/>
      </c>
      <c r="AC64">
        <f>HYPERLINK("https://klasma.github.io/Logging_1783/tillsyn/A 36223-2026 tillsynsbegäran.docx", "A 36223-2026")</f>
        <v/>
      </c>
      <c r="AD64">
        <f>HYPERLINK("https://klasma.github.io/Logging_1783/tillsynsmail/A 36223-2026 tillsynsbegäran mail.docx", "A 36223-2026")</f>
        <v/>
      </c>
      <c r="AE64">
        <f>HYPERLINK("https://klasma.github.io/Logging_1783/fåglar/A 36223-2026 prioriterade fågelarter.docx", "A 36223-2026")</f>
        <v/>
      </c>
    </row>
    <row r="65" ht="15" customHeight="1">
      <c r="A65" t="inlineStr">
        <is>
          <t>A 35256-2026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46316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35256-2026 artfynd.xlsx", "A 35256-2026")</f>
        <v/>
      </c>
      <c r="X65">
        <f>HYPERLINK("https://klasma.github.io/Logging_1783/kartor/A 35256-2026 karta.png", "A 35256-2026")</f>
        <v/>
      </c>
      <c r="Y65">
        <f>HYPERLINK("https://klasma.github.io/Logging_1783/kartor_geotiff/A 35256-2026 georefererad karta.tif", "A 35256-2026")</f>
        <v/>
      </c>
      <c r="AA65">
        <f>HYPERLINK("https://klasma.github.io/Logging_1783/klagomål/A 35256-2026 FSC-klagomål.docx", "A 35256-2026")</f>
        <v/>
      </c>
      <c r="AB65">
        <f>HYPERLINK("https://klasma.github.io/Logging_1783/klagomålsmail/A 35256-2026 FSC-klagomål mail.docx", "A 35256-2026")</f>
        <v/>
      </c>
      <c r="AC65">
        <f>HYPERLINK("https://klasma.github.io/Logging_1783/tillsyn/A 35256-2026 tillsynsbegäran.docx", "A 35256-2026")</f>
        <v/>
      </c>
      <c r="AD65">
        <f>HYPERLINK("https://klasma.github.io/Logging_1783/tillsynsmail/A 35256-2026 tillsynsbegäran mail.docx", "A 35256-2026")</f>
        <v/>
      </c>
    </row>
    <row r="66" ht="15" customHeight="1">
      <c r="A66" t="inlineStr">
        <is>
          <t>A 22484-2025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46316</v>
      </c>
      <c r="F66" t="inlineStr">
        <is>
          <t>VÄRMLANDS LÄN</t>
        </is>
      </c>
      <c r="G66" t="inlineStr">
        <is>
          <t>HAGFORS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Rödlånke</t>
        </is>
      </c>
      <c r="W66">
        <f>HYPERLINK("https://klasma.github.io/Logging_1783/artfynd/A 22484-2025 artfynd.xlsx", "A 22484-2025")</f>
        <v/>
      </c>
      <c r="X66">
        <f>HYPERLINK("https://klasma.github.io/Logging_1783/kartor/A 22484-2025 karta.png", "A 22484-2025")</f>
        <v/>
      </c>
      <c r="Y66">
        <f>HYPERLINK("https://klasma.github.io/Logging_1783/kartor_geotiff/A 22484-2025 georefererad karta.tif", "A 22484-2025")</f>
        <v/>
      </c>
      <c r="AA66">
        <f>HYPERLINK("https://klasma.github.io/Logging_1783/klagomål/A 22484-2025 FSC-klagomål.docx", "A 22484-2025")</f>
        <v/>
      </c>
      <c r="AB66">
        <f>HYPERLINK("https://klasma.github.io/Logging_1783/klagomålsmail/A 22484-2025 FSC-klagomål mail.docx", "A 22484-2025")</f>
        <v/>
      </c>
      <c r="AC66">
        <f>HYPERLINK("https://klasma.github.io/Logging_1783/tillsyn/A 22484-2025 tillsynsbegäran.docx", "A 22484-2025")</f>
        <v/>
      </c>
      <c r="AD66">
        <f>HYPERLINK("https://klasma.github.io/Logging_1783/tillsynsmail/A 22484-2025 tillsynsbegäran mail.docx", "A 22484-2025")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46316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46316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46316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46316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46316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44763</v>
      </c>
      <c r="E90" s="1" t="n">
        <v>46316</v>
      </c>
      <c r="F90" t="inlineStr">
        <is>
          <t>VÄRMLANDS LÄN</t>
        </is>
      </c>
      <c r="G90" t="inlineStr">
        <is>
          <t>HAGFORS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46316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46316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46316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46316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46316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46316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46316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46316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46316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46316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46316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46316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46316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46316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46316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46316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46316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46316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46316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46316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46316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46316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46316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46316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46316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45152</v>
      </c>
      <c r="E118" s="1" t="n">
        <v>46316</v>
      </c>
      <c r="F118" t="inlineStr">
        <is>
          <t>VÄRMLANDS LÄN</t>
        </is>
      </c>
      <c r="G118" t="inlineStr">
        <is>
          <t>HAGFORS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51346-2022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44869</v>
      </c>
      <c r="E119" s="1" t="n">
        <v>46316</v>
      </c>
      <c r="F119" t="inlineStr">
        <is>
          <t>VÄRMLANDS LÄN</t>
        </is>
      </c>
      <c r="G119" t="inlineStr">
        <is>
          <t>HAGFORS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46316</v>
      </c>
      <c r="F120" t="inlineStr">
        <is>
          <t>VÄRMLANDS LÄN</t>
        </is>
      </c>
      <c r="G120" t="inlineStr">
        <is>
          <t>HAGFORS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46316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46316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46316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45356</v>
      </c>
      <c r="E124" s="1" t="n">
        <v>46316</v>
      </c>
      <c r="F124" t="inlineStr">
        <is>
          <t>VÄRMLANDS LÄN</t>
        </is>
      </c>
      <c r="G124" t="inlineStr">
        <is>
          <t>HAGFORS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46316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55137-2024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46316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46316</v>
      </c>
      <c r="F127" t="inlineStr">
        <is>
          <t>VÄRMLANDS LÄN</t>
        </is>
      </c>
      <c r="G127" t="inlineStr">
        <is>
          <t>HAGFORS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45790</v>
      </c>
      <c r="E128" s="1" t="n">
        <v>46316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46316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46316</v>
      </c>
      <c r="F130" t="inlineStr">
        <is>
          <t>VÄRMLANDS LÄN</t>
        </is>
      </c>
      <c r="G130" t="inlineStr">
        <is>
          <t>HAGFORS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45037</v>
      </c>
      <c r="E131" s="1" t="n">
        <v>46316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45545</v>
      </c>
      <c r="E132" s="1" t="n">
        <v>46316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61843-2025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46003</v>
      </c>
      <c r="E133" s="1" t="n">
        <v>46316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46316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46316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61718-2025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46002</v>
      </c>
      <c r="E136" s="1" t="n">
        <v>46316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46316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46316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61910-2025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46003</v>
      </c>
      <c r="E139" s="1" t="n">
        <v>46316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46316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23556-2025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45792</v>
      </c>
      <c r="E141" s="1" t="n">
        <v>46316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45414</v>
      </c>
      <c r="E142" s="1" t="n">
        <v>46316</v>
      </c>
      <c r="F142" t="inlineStr">
        <is>
          <t>VÄRMLANDS LÄN</t>
        </is>
      </c>
      <c r="G142" t="inlineStr">
        <is>
          <t>HAGFORS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45792</v>
      </c>
      <c r="E143" s="1" t="n">
        <v>46316</v>
      </c>
      <c r="F143" t="inlineStr">
        <is>
          <t>VÄRMLANDS LÄN</t>
        </is>
      </c>
      <c r="G143" t="inlineStr">
        <is>
          <t>HAGFORS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56893-2023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46316</v>
      </c>
      <c r="F144" t="inlineStr">
        <is>
          <t>VÄRMLANDS LÄN</t>
        </is>
      </c>
      <c r="G144" t="inlineStr">
        <is>
          <t>HAGFORS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45793</v>
      </c>
      <c r="E145" s="1" t="n">
        <v>46316</v>
      </c>
      <c r="F145" t="inlineStr">
        <is>
          <t>VÄRMLANDS LÄN</t>
        </is>
      </c>
      <c r="G145" t="inlineStr">
        <is>
          <t>HAGFORS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45793</v>
      </c>
      <c r="E146" s="1" t="n">
        <v>46316</v>
      </c>
      <c r="F146" t="inlineStr">
        <is>
          <t>VÄRMLANDS LÄN</t>
        </is>
      </c>
      <c r="G146" t="inlineStr">
        <is>
          <t>HAGFORS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46316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58210-2022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44901</v>
      </c>
      <c r="E148" s="1" t="n">
        <v>46316</v>
      </c>
      <c r="F148" t="inlineStr">
        <is>
          <t>VÄRMLANDS LÄN</t>
        </is>
      </c>
      <c r="G148" t="inlineStr">
        <is>
          <t>HAGFORS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46316</v>
      </c>
      <c r="F149" t="inlineStr">
        <is>
          <t>VÄRMLANDS LÄN</t>
        </is>
      </c>
      <c r="G149" t="inlineStr">
        <is>
          <t>HAGFORS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46316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45754</v>
      </c>
      <c r="E151" s="1" t="n">
        <v>46316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46316</v>
      </c>
      <c r="F152" t="inlineStr">
        <is>
          <t>VÄRMLANDS LÄN</t>
        </is>
      </c>
      <c r="G152" t="inlineStr">
        <is>
          <t>HAGFORS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15643-2024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45404</v>
      </c>
      <c r="E153" s="1" t="n">
        <v>46316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24434-2025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45797</v>
      </c>
      <c r="E154" s="1" t="n">
        <v>46316</v>
      </c>
      <c r="F154" t="inlineStr">
        <is>
          <t>VÄRMLANDS LÄN</t>
        </is>
      </c>
      <c r="G154" t="inlineStr">
        <is>
          <t>HAGFORS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24435-2025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45797</v>
      </c>
      <c r="E155" s="1" t="n">
        <v>46316</v>
      </c>
      <c r="F155" t="inlineStr">
        <is>
          <t>VÄRMLANDS LÄN</t>
        </is>
      </c>
      <c r="G155" t="inlineStr">
        <is>
          <t>HAGFORS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24438-2025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45797</v>
      </c>
      <c r="E156" s="1" t="n">
        <v>46316</v>
      </c>
      <c r="F156" t="inlineStr">
        <is>
          <t>VÄRMLANDS LÄN</t>
        </is>
      </c>
      <c r="G156" t="inlineStr">
        <is>
          <t>HAGFORS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62168-2025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46006</v>
      </c>
      <c r="E157" s="1" t="n">
        <v>46316</v>
      </c>
      <c r="F157" t="inlineStr">
        <is>
          <t>VÄRMLANDS LÄN</t>
        </is>
      </c>
      <c r="G157" t="inlineStr">
        <is>
          <t>HAGFORS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46316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46316</v>
      </c>
      <c r="F159" t="inlineStr">
        <is>
          <t>VÄRMLANDS LÄN</t>
        </is>
      </c>
      <c r="G159" t="inlineStr">
        <is>
          <t>HAGFORS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46316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46316</v>
      </c>
      <c r="F161" t="inlineStr">
        <is>
          <t>VÄRMLANDS LÄN</t>
        </is>
      </c>
      <c r="G161" t="inlineStr">
        <is>
          <t>HAGFORS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46316</v>
      </c>
      <c r="F162" t="inlineStr">
        <is>
          <t>VÄRMLANDS LÄN</t>
        </is>
      </c>
      <c r="G162" t="inlineStr">
        <is>
          <t>HAGFORS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46316</v>
      </c>
      <c r="F163" t="inlineStr">
        <is>
          <t>VÄRMLANDS LÄN</t>
        </is>
      </c>
      <c r="G163" t="inlineStr">
        <is>
          <t>HAGFORS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46316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46316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46316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45328</v>
      </c>
      <c r="E167" s="1" t="n">
        <v>46316</v>
      </c>
      <c r="F167" t="inlineStr">
        <is>
          <t>VÄRMLANDS LÄN</t>
        </is>
      </c>
      <c r="G167" t="inlineStr">
        <is>
          <t>HAGFORS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45842</v>
      </c>
      <c r="E168" s="1" t="n">
        <v>46316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46316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46316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46316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46316</v>
      </c>
      <c r="F172" t="inlineStr">
        <is>
          <t>VÄRMLANDS LÄN</t>
        </is>
      </c>
      <c r="G172" t="inlineStr">
        <is>
          <t>HAGFORS</t>
        </is>
      </c>
      <c r="H172" t="inlineStr">
        <is>
          <t>Kyrkan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46316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46316</v>
      </c>
      <c r="F174" t="inlineStr">
        <is>
          <t>VÄRMLANDS LÄN</t>
        </is>
      </c>
      <c r="G174" t="inlineStr">
        <is>
          <t>HAGFORS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46316</v>
      </c>
      <c r="F175" t="inlineStr">
        <is>
          <t>VÄRMLANDS LÄN</t>
        </is>
      </c>
      <c r="G175" t="inlineStr">
        <is>
          <t>HAGFORS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46316</v>
      </c>
      <c r="F176" t="inlineStr">
        <is>
          <t>VÄRMLANDS LÄN</t>
        </is>
      </c>
      <c r="G176" t="inlineStr">
        <is>
          <t>HAGFORS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46316</v>
      </c>
      <c r="F177" t="inlineStr">
        <is>
          <t>VÄRMLANDS LÄN</t>
        </is>
      </c>
      <c r="G177" t="inlineStr">
        <is>
          <t>HAGFORS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26463-2025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45807</v>
      </c>
      <c r="E178" s="1" t="n">
        <v>46316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46020</v>
      </c>
      <c r="E179" s="1" t="n">
        <v>46316</v>
      </c>
      <c r="F179" t="inlineStr">
        <is>
          <t>VÄRMLANDS LÄN</t>
        </is>
      </c>
      <c r="G179" t="inlineStr">
        <is>
          <t>HAGFORS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46316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46316</v>
      </c>
      <c r="F181" t="inlineStr">
        <is>
          <t>VÄRMLANDS LÄN</t>
        </is>
      </c>
      <c r="G181" t="inlineStr">
        <is>
          <t>HAGFORS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63831-2025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46316</v>
      </c>
      <c r="F182" t="inlineStr">
        <is>
          <t>VÄRMLANDS LÄN</t>
        </is>
      </c>
      <c r="G182" t="inlineStr">
        <is>
          <t>HAGFORS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46018</v>
      </c>
      <c r="E183" s="1" t="n">
        <v>46316</v>
      </c>
      <c r="F183" t="inlineStr">
        <is>
          <t>VÄRMLANDS LÄN</t>
        </is>
      </c>
      <c r="G183" t="inlineStr">
        <is>
          <t>HAGFORS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46018</v>
      </c>
      <c r="E184" s="1" t="n">
        <v>46316</v>
      </c>
      <c r="F184" t="inlineStr">
        <is>
          <t>VÄRMLANDS LÄN</t>
        </is>
      </c>
      <c r="G184" t="inlineStr">
        <is>
          <t>HAGFORS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46316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46316</v>
      </c>
      <c r="F186" t="inlineStr">
        <is>
          <t>VÄRMLANDS LÄN</t>
        </is>
      </c>
      <c r="G186" t="inlineStr">
        <is>
          <t>HAGFORS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45608</v>
      </c>
      <c r="E187" s="1" t="n">
        <v>46316</v>
      </c>
      <c r="F187" t="inlineStr">
        <is>
          <t>VÄRMLANDS LÄN</t>
        </is>
      </c>
      <c r="G187" t="inlineStr">
        <is>
          <t>HAGFORS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60221-2023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45258</v>
      </c>
      <c r="E188" s="1" t="n">
        <v>46316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45653</v>
      </c>
      <c r="E189" s="1" t="n">
        <v>46316</v>
      </c>
      <c r="F189" t="inlineStr">
        <is>
          <t>VÄRMLANDS LÄN</t>
        </is>
      </c>
      <c r="G189" t="inlineStr">
        <is>
          <t>HAGFORS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46020</v>
      </c>
      <c r="E190" s="1" t="n">
        <v>46316</v>
      </c>
      <c r="F190" t="inlineStr">
        <is>
          <t>VÄRMLANDS LÄN</t>
        </is>
      </c>
      <c r="G190" t="inlineStr">
        <is>
          <t>HAGFORS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45147</v>
      </c>
      <c r="E191" s="1" t="n">
        <v>46316</v>
      </c>
      <c r="F191" t="inlineStr">
        <is>
          <t>VÄRMLANDS LÄN</t>
        </is>
      </c>
      <c r="G191" t="inlineStr">
        <is>
          <t>HAGFORS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26617-2025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45810</v>
      </c>
      <c r="E192" s="1" t="n">
        <v>46316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46316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46316</v>
      </c>
      <c r="F194" t="inlineStr">
        <is>
          <t>VÄRMLANDS LÄN</t>
        </is>
      </c>
      <c r="G194" t="inlineStr">
        <is>
          <t>HAGFORS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46316</v>
      </c>
      <c r="F195" t="inlineStr">
        <is>
          <t>VÄRMLANDS LÄN</t>
        </is>
      </c>
      <c r="G195" t="inlineStr">
        <is>
          <t>HAGFORS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46316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46316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46316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44834</v>
      </c>
      <c r="E199" s="1" t="n">
        <v>46316</v>
      </c>
      <c r="F199" t="inlineStr">
        <is>
          <t>VÄRMLANDS LÄN</t>
        </is>
      </c>
      <c r="G199" t="inlineStr">
        <is>
          <t>HAGFORS</t>
        </is>
      </c>
      <c r="H199" t="inlineStr">
        <is>
          <t>Kyrkan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46316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48807-2025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45937</v>
      </c>
      <c r="E201" s="1" t="n">
        <v>46316</v>
      </c>
      <c r="F201" t="inlineStr">
        <is>
          <t>VÄRMLANDS LÄN</t>
        </is>
      </c>
      <c r="G201" t="inlineStr">
        <is>
          <t>HAGFORS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46316</v>
      </c>
      <c r="F202" t="inlineStr">
        <is>
          <t>VÄRMLANDS LÄN</t>
        </is>
      </c>
      <c r="G202" t="inlineStr">
        <is>
          <t>HAGFORS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46316</v>
      </c>
      <c r="F203" t="inlineStr">
        <is>
          <t>VÄRMLANDS LÄN</t>
        </is>
      </c>
      <c r="G203" t="inlineStr">
        <is>
          <t>HAGFORS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46316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46316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46316</v>
      </c>
      <c r="F206" t="inlineStr">
        <is>
          <t>VÄRMLANDS LÄN</t>
        </is>
      </c>
      <c r="G206" t="inlineStr">
        <is>
          <t>HAGFORS</t>
        </is>
      </c>
      <c r="H206" t="inlineStr">
        <is>
          <t>Kommuner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46316</v>
      </c>
      <c r="F207" t="inlineStr">
        <is>
          <t>VÄRMLANDS LÄN</t>
        </is>
      </c>
      <c r="G207" t="inlineStr">
        <is>
          <t>HAGFORS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46316</v>
      </c>
      <c r="F208" t="inlineStr">
        <is>
          <t>VÄRMLANDS LÄN</t>
        </is>
      </c>
      <c r="G208" t="inlineStr">
        <is>
          <t>HAGFORS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46316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45211</v>
      </c>
      <c r="E210" s="1" t="n">
        <v>46316</v>
      </c>
      <c r="F210" t="inlineStr">
        <is>
          <t>VÄRMLANDS LÄN</t>
        </is>
      </c>
      <c r="G210" t="inlineStr">
        <is>
          <t>HAGFORS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46316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46316</v>
      </c>
      <c r="F212" t="inlineStr">
        <is>
          <t>VÄRMLANDS LÄN</t>
        </is>
      </c>
      <c r="G212" t="inlineStr">
        <is>
          <t>HAGFORS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45644</v>
      </c>
      <c r="E213" s="1" t="n">
        <v>46316</v>
      </c>
      <c r="F213" t="inlineStr">
        <is>
          <t>VÄRMLANDS LÄN</t>
        </is>
      </c>
      <c r="G213" t="inlineStr">
        <is>
          <t>HAGFORS</t>
        </is>
      </c>
      <c r="H213" t="inlineStr">
        <is>
          <t>Kyrkan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975-2026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46030</v>
      </c>
      <c r="E214" s="1" t="n">
        <v>46316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41739-2025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45902</v>
      </c>
      <c r="E215" s="1" t="n">
        <v>46316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46316</v>
      </c>
      <c r="F216" t="inlineStr">
        <is>
          <t>VÄRMLANDS LÄN</t>
        </is>
      </c>
      <c r="G216" t="inlineStr">
        <is>
          <t>HAGFORS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46316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46316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46316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46316</v>
      </c>
      <c r="F220" t="inlineStr">
        <is>
          <t>VÄRMLANDS LÄN</t>
        </is>
      </c>
      <c r="G220" t="inlineStr">
        <is>
          <t>HAGFORS</t>
        </is>
      </c>
      <c r="H220" t="inlineStr">
        <is>
          <t>Kyrkan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46316</v>
      </c>
      <c r="F221" t="inlineStr">
        <is>
          <t>VÄRMLANDS LÄN</t>
        </is>
      </c>
      <c r="G221" t="inlineStr">
        <is>
          <t>HAGFORS</t>
        </is>
      </c>
      <c r="H221" t="inlineStr">
        <is>
          <t>Kyrkan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46316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46316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42430-2025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46316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45821</v>
      </c>
      <c r="E225" s="1" t="n">
        <v>46316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45659</v>
      </c>
      <c r="E226" s="1" t="n">
        <v>46316</v>
      </c>
      <c r="F226" t="inlineStr">
        <is>
          <t>VÄRMLANDS LÄN</t>
        </is>
      </c>
      <c r="G226" t="inlineStr">
        <is>
          <t>HAGFORS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46316</v>
      </c>
      <c r="F227" t="inlineStr">
        <is>
          <t>VÄRMLANDS LÄN</t>
        </is>
      </c>
      <c r="G227" t="inlineStr">
        <is>
          <t>HAGFORS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44649</v>
      </c>
      <c r="E228" s="1" t="n">
        <v>46316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70712-2021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46316</v>
      </c>
      <c r="F229" t="inlineStr">
        <is>
          <t>VÄRMLANDS LÄN</t>
        </is>
      </c>
      <c r="G229" t="inlineStr">
        <is>
          <t>HAGFORS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46316</v>
      </c>
      <c r="F230" t="inlineStr">
        <is>
          <t>VÄRMLANDS LÄN</t>
        </is>
      </c>
      <c r="G230" t="inlineStr">
        <is>
          <t>HAGFORS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44903</v>
      </c>
      <c r="E231" s="1" t="n">
        <v>46316</v>
      </c>
      <c r="F231" t="inlineStr">
        <is>
          <t>VÄRMLANDS LÄN</t>
        </is>
      </c>
      <c r="G231" t="inlineStr">
        <is>
          <t>HAGFORS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46316</v>
      </c>
      <c r="F232" t="inlineStr">
        <is>
          <t>VÄRMLANDS LÄN</t>
        </is>
      </c>
      <c r="G232" t="inlineStr">
        <is>
          <t>HAGFORS</t>
        </is>
      </c>
      <c r="H232" t="inlineStr">
        <is>
          <t>Kommuner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46316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44770</v>
      </c>
      <c r="E234" s="1" t="n">
        <v>46316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46316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46316</v>
      </c>
      <c r="F236" t="inlineStr">
        <is>
          <t>VÄRMLANDS LÄN</t>
        </is>
      </c>
      <c r="G236" t="inlineStr">
        <is>
          <t>HAGFORS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46316</v>
      </c>
      <c r="F237" t="inlineStr">
        <is>
          <t>VÄRMLANDS LÄN</t>
        </is>
      </c>
      <c r="G237" t="inlineStr">
        <is>
          <t>HAGFORS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46048</v>
      </c>
      <c r="E238" s="1" t="n">
        <v>46316</v>
      </c>
      <c r="F238" t="inlineStr">
        <is>
          <t>VÄRMLANDS LÄN</t>
        </is>
      </c>
      <c r="G238" t="inlineStr">
        <is>
          <t>HAGFORS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46316</v>
      </c>
      <c r="F239" t="inlineStr">
        <is>
          <t>VÄRMLANDS LÄN</t>
        </is>
      </c>
      <c r="G239" t="inlineStr">
        <is>
          <t>HAGFORS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46316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46050</v>
      </c>
      <c r="E241" s="1" t="n">
        <v>46316</v>
      </c>
      <c r="F241" t="inlineStr">
        <is>
          <t>VÄRMLANDS LÄN</t>
        </is>
      </c>
      <c r="G241" t="inlineStr">
        <is>
          <t>HAGFORS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46050</v>
      </c>
      <c r="E242" s="1" t="n">
        <v>46316</v>
      </c>
      <c r="F242" t="inlineStr">
        <is>
          <t>VÄRMLANDS LÄN</t>
        </is>
      </c>
      <c r="G242" t="inlineStr">
        <is>
          <t>HAGFORS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46316</v>
      </c>
      <c r="F243" t="inlineStr">
        <is>
          <t>VÄRMLANDS LÄN</t>
        </is>
      </c>
      <c r="G243" t="inlineStr">
        <is>
          <t>HAGFORS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46316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46050</v>
      </c>
      <c r="E245" s="1" t="n">
        <v>46316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46316</v>
      </c>
      <c r="F246" t="inlineStr">
        <is>
          <t>VÄRMLANDS LÄN</t>
        </is>
      </c>
      <c r="G246" t="inlineStr">
        <is>
          <t>HAGFORS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46316</v>
      </c>
      <c r="F247" t="inlineStr">
        <is>
          <t>VÄRMLANDS LÄN</t>
        </is>
      </c>
      <c r="G247" t="inlineStr">
        <is>
          <t>HAGFORS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46316</v>
      </c>
      <c r="F248" t="inlineStr">
        <is>
          <t>VÄRMLANDS LÄN</t>
        </is>
      </c>
      <c r="G248" t="inlineStr">
        <is>
          <t>HAGFORS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46316</v>
      </c>
      <c r="F249" t="inlineStr">
        <is>
          <t>VÄRMLANDS LÄN</t>
        </is>
      </c>
      <c r="G249" t="inlineStr">
        <is>
          <t>HAGFORS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46316</v>
      </c>
      <c r="F250" t="inlineStr">
        <is>
          <t>VÄRMLANDS LÄN</t>
        </is>
      </c>
      <c r="G250" t="inlineStr">
        <is>
          <t>HAGFORS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46316</v>
      </c>
      <c r="F251" t="inlineStr">
        <is>
          <t>VÄRMLANDS LÄN</t>
        </is>
      </c>
      <c r="G251" t="inlineStr">
        <is>
          <t>HAGFORS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46316</v>
      </c>
      <c r="F252" t="inlineStr">
        <is>
          <t>VÄRMLANDS LÄN</t>
        </is>
      </c>
      <c r="G252" t="inlineStr">
        <is>
          <t>HAGFORS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20113-2023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45055</v>
      </c>
      <c r="E253" s="1" t="n">
        <v>46316</v>
      </c>
      <c r="F253" t="inlineStr">
        <is>
          <t>VÄRMLANDS LÄN</t>
        </is>
      </c>
      <c r="G253" t="inlineStr">
        <is>
          <t>HAGFORS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7000-2026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46316</v>
      </c>
      <c r="F254" t="inlineStr">
        <is>
          <t>VÄRMLANDS LÄN</t>
        </is>
      </c>
      <c r="G254" t="inlineStr">
        <is>
          <t>HAGFORS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46371-2025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46316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46316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61140-2023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45261</v>
      </c>
      <c r="E257" s="1" t="n">
        <v>46316</v>
      </c>
      <c r="F257" t="inlineStr">
        <is>
          <t>VÄRMLANDS LÄN</t>
        </is>
      </c>
      <c r="G257" t="inlineStr">
        <is>
          <t>HAGFORS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46208-2023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45196</v>
      </c>
      <c r="E258" s="1" t="n">
        <v>46316</v>
      </c>
      <c r="F258" t="inlineStr">
        <is>
          <t>VÄRMLANDS LÄN</t>
        </is>
      </c>
      <c r="G258" t="inlineStr">
        <is>
          <t>HAGFORS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46316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46316</v>
      </c>
      <c r="F260" t="inlineStr">
        <is>
          <t>VÄRMLANDS LÄN</t>
        </is>
      </c>
      <c r="G260" t="inlineStr">
        <is>
          <t>HAGFORS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45928</v>
      </c>
      <c r="E261" s="1" t="n">
        <v>46316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13.8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45385</v>
      </c>
      <c r="E262" s="1" t="n">
        <v>46316</v>
      </c>
      <c r="F262" t="inlineStr">
        <is>
          <t>VÄRMLANDS LÄN</t>
        </is>
      </c>
      <c r="G262" t="inlineStr">
        <is>
          <t>HAGFORS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45547</v>
      </c>
      <c r="E263" s="1" t="n">
        <v>46316</v>
      </c>
      <c r="F263" t="inlineStr">
        <is>
          <t>VÄRMLANDS LÄN</t>
        </is>
      </c>
      <c r="G263" t="inlineStr">
        <is>
          <t>HAGFORS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46831-2025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45927</v>
      </c>
      <c r="E264" s="1" t="n">
        <v>46316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45927</v>
      </c>
      <c r="E265" s="1" t="n">
        <v>46316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44924</v>
      </c>
      <c r="E266" s="1" t="n">
        <v>46316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46316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46316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46316</v>
      </c>
      <c r="F269" t="inlineStr">
        <is>
          <t>VÄRMLANDS LÄN</t>
        </is>
      </c>
      <c r="G269" t="inlineStr">
        <is>
          <t>HAGFORS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46316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46316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46316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46316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46316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46316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46316</v>
      </c>
      <c r="F276" t="inlineStr">
        <is>
          <t>VÄRMLANDS LÄN</t>
        </is>
      </c>
      <c r="G276" t="inlineStr">
        <is>
          <t>HAGFORS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46072</v>
      </c>
      <c r="E277" s="1" t="n">
        <v>46316</v>
      </c>
      <c r="F277" t="inlineStr">
        <is>
          <t>VÄRMLANDS LÄN</t>
        </is>
      </c>
      <c r="G277" t="inlineStr">
        <is>
          <t>HAGFORS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46316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46316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46316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46316</v>
      </c>
      <c r="F282" t="inlineStr">
        <is>
          <t>VÄRMLANDS LÄN</t>
        </is>
      </c>
      <c r="G282" t="inlineStr">
        <is>
          <t>HAGFORS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44566</v>
      </c>
      <c r="E283" s="1" t="n">
        <v>46316</v>
      </c>
      <c r="F283" t="inlineStr">
        <is>
          <t>VÄRMLANDS LÄN</t>
        </is>
      </c>
      <c r="G283" t="inlineStr">
        <is>
          <t>HAGFORS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46316</v>
      </c>
      <c r="F284" t="inlineStr">
        <is>
          <t>VÄRMLANDS LÄN</t>
        </is>
      </c>
      <c r="G284" t="inlineStr">
        <is>
          <t>HAGFORS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57379-2022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44896</v>
      </c>
      <c r="E285" s="1" t="n">
        <v>46316</v>
      </c>
      <c r="F285" t="inlineStr">
        <is>
          <t>VÄRMLANDS LÄN</t>
        </is>
      </c>
      <c r="G285" t="inlineStr">
        <is>
          <t>HAGFORS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46316</v>
      </c>
      <c r="F286" t="inlineStr">
        <is>
          <t>VÄRMLANDS LÄN</t>
        </is>
      </c>
      <c r="G286" t="inlineStr">
        <is>
          <t>HAGFORS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45939</v>
      </c>
      <c r="E287" s="1" t="n">
        <v>46316</v>
      </c>
      <c r="F287" t="inlineStr">
        <is>
          <t>VÄRMLANDS LÄN</t>
        </is>
      </c>
      <c r="G287" t="inlineStr">
        <is>
          <t>HAGFORS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46316</v>
      </c>
      <c r="F288" t="inlineStr">
        <is>
          <t>VÄRMLANDS LÄN</t>
        </is>
      </c>
      <c r="G288" t="inlineStr">
        <is>
          <t>HAGFORS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49967-2025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45941</v>
      </c>
      <c r="E289" s="1" t="n">
        <v>46316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45224</v>
      </c>
      <c r="E290" s="1" t="n">
        <v>46316</v>
      </c>
      <c r="F290" t="inlineStr">
        <is>
          <t>VÄRMLANDS LÄN</t>
        </is>
      </c>
      <c r="G290" t="inlineStr">
        <is>
          <t>HAGFORS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46316</v>
      </c>
      <c r="F291" t="inlineStr">
        <is>
          <t>VÄRMLANDS LÄN</t>
        </is>
      </c>
      <c r="G291" t="inlineStr">
        <is>
          <t>HAGFORS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46090</v>
      </c>
      <c r="E292" s="1" t="n">
        <v>46316</v>
      </c>
      <c r="F292" t="inlineStr">
        <is>
          <t>VÄRMLANDS LÄN</t>
        </is>
      </c>
      <c r="G292" t="inlineStr">
        <is>
          <t>HAGFORS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46316</v>
      </c>
      <c r="F293" t="inlineStr">
        <is>
          <t>VÄRMLANDS LÄN</t>
        </is>
      </c>
      <c r="G293" t="inlineStr">
        <is>
          <t>HAGFORS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51160-2025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45947</v>
      </c>
      <c r="E294" s="1" t="n">
        <v>46316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46316</v>
      </c>
      <c r="F295" t="inlineStr">
        <is>
          <t>VÄRMLANDS LÄN</t>
        </is>
      </c>
      <c r="G295" t="inlineStr">
        <is>
          <t>HAGFORS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45947</v>
      </c>
      <c r="E296" s="1" t="n">
        <v>46316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46316</v>
      </c>
      <c r="F297" t="inlineStr">
        <is>
          <t>VÄRMLANDS LÄN</t>
        </is>
      </c>
      <c r="G297" t="inlineStr">
        <is>
          <t>HAGFORS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46316</v>
      </c>
      <c r="F298" t="inlineStr">
        <is>
          <t>VÄRMLANDS LÄN</t>
        </is>
      </c>
      <c r="G298" t="inlineStr">
        <is>
          <t>HAGFORS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46316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51611-2025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46316</v>
      </c>
      <c r="F300" t="inlineStr">
        <is>
          <t>VÄRMLANDS LÄN</t>
        </is>
      </c>
      <c r="G300" t="inlineStr">
        <is>
          <t>HAGFORS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46316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45949</v>
      </c>
      <c r="E302" s="1" t="n">
        <v>46316</v>
      </c>
      <c r="F302" t="inlineStr">
        <is>
          <t>VÄRMLANDS LÄN</t>
        </is>
      </c>
      <c r="G302" t="inlineStr">
        <is>
          <t>HAGFORS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45433</v>
      </c>
      <c r="E303" s="1" t="n">
        <v>46316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46316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13419-2026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46316</v>
      </c>
      <c r="F306" t="inlineStr">
        <is>
          <t>VÄRMLANDS LÄN</t>
        </is>
      </c>
      <c r="G306" t="inlineStr">
        <is>
          <t>HAGFORS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46316</v>
      </c>
      <c r="F307" t="inlineStr">
        <is>
          <t>VÄRMLANDS LÄN</t>
        </is>
      </c>
      <c r="G307" t="inlineStr">
        <is>
          <t>HAGFORS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46316</v>
      </c>
      <c r="F308" t="inlineStr">
        <is>
          <t>VÄRMLANDS LÄN</t>
        </is>
      </c>
      <c r="G308" t="inlineStr">
        <is>
          <t>HAGFORS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46098</v>
      </c>
      <c r="E309" s="1" t="n">
        <v>46316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46316</v>
      </c>
      <c r="F310" t="inlineStr">
        <is>
          <t>VÄRMLANDS LÄN</t>
        </is>
      </c>
      <c r="G310" t="inlineStr">
        <is>
          <t>HAGFORS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46316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46316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45673</v>
      </c>
      <c r="E313" s="1" t="n">
        <v>46316</v>
      </c>
      <c r="F313" t="inlineStr">
        <is>
          <t>VÄRMLANDS LÄN</t>
        </is>
      </c>
      <c r="G313" t="inlineStr">
        <is>
          <t>HAGFORS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52479-2025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46316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46316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46316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45005</v>
      </c>
      <c r="E317" s="1" t="n">
        <v>46316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52462-2025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46316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33969-2022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44790</v>
      </c>
      <c r="E319" s="1" t="n">
        <v>46316</v>
      </c>
      <c r="F319" t="inlineStr">
        <is>
          <t>VÄRMLANDS LÄN</t>
        </is>
      </c>
      <c r="G319" t="inlineStr">
        <is>
          <t>HAGFORS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46316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46316</v>
      </c>
      <c r="F321" t="inlineStr">
        <is>
          <t>VÄRMLANDS LÄN</t>
        </is>
      </c>
      <c r="G321" t="inlineStr">
        <is>
          <t>HAGFORS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44776</v>
      </c>
      <c r="E322" s="1" t="n">
        <v>46316</v>
      </c>
      <c r="F322" t="inlineStr">
        <is>
          <t>VÄRMLANDS LÄN</t>
        </is>
      </c>
      <c r="G322" t="inlineStr">
        <is>
          <t>HAGFORS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46316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17.2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14667-2026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46101</v>
      </c>
      <c r="E324" s="1" t="n">
        <v>46316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46316</v>
      </c>
      <c r="F325" t="inlineStr">
        <is>
          <t>VÄRMLANDS LÄN</t>
        </is>
      </c>
      <c r="G325" t="inlineStr">
        <is>
          <t>HAGFORS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46316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15.9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46316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46316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46316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54001-2025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46316</v>
      </c>
      <c r="F330" t="inlineStr">
        <is>
          <t>VÄRMLANDS LÄN</t>
        </is>
      </c>
      <c r="G330" t="inlineStr">
        <is>
          <t>HAGFORS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46316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46316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46316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46316</v>
      </c>
      <c r="F334" t="inlineStr">
        <is>
          <t>VÄRMLANDS LÄN</t>
        </is>
      </c>
      <c r="G334" t="inlineStr">
        <is>
          <t>HAGFORS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59092-2022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44904</v>
      </c>
      <c r="E335" s="1" t="n">
        <v>46316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46316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46316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46316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15666-2026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46316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46316</v>
      </c>
      <c r="F340" t="inlineStr">
        <is>
          <t>VÄRMLANDS LÄN</t>
        </is>
      </c>
      <c r="G340" t="inlineStr">
        <is>
          <t>HAGFORS</t>
        </is>
      </c>
      <c r="H340" t="inlineStr">
        <is>
          <t>Kyrkan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46316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46316</v>
      </c>
      <c r="F342" t="inlineStr">
        <is>
          <t>VÄRMLANDS LÄN</t>
        </is>
      </c>
      <c r="G342" t="inlineStr">
        <is>
          <t>HAGFORS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45279</v>
      </c>
      <c r="E343" s="1" t="n">
        <v>46316</v>
      </c>
      <c r="F343" t="inlineStr">
        <is>
          <t>VÄRMLANDS LÄN</t>
        </is>
      </c>
      <c r="G343" t="inlineStr">
        <is>
          <t>HAGFORS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46316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46316</v>
      </c>
      <c r="F345" t="inlineStr">
        <is>
          <t>VÄRMLANDS LÄN</t>
        </is>
      </c>
      <c r="G345" t="inlineStr">
        <is>
          <t>HAGFORS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46316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46316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46316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46316</v>
      </c>
      <c r="F349" t="inlineStr">
        <is>
          <t>VÄRMLANDS LÄN</t>
        </is>
      </c>
      <c r="G349" t="inlineStr">
        <is>
          <t>HAGFORS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46316</v>
      </c>
      <c r="F350" t="inlineStr">
        <is>
          <t>VÄRMLANDS LÄN</t>
        </is>
      </c>
      <c r="G350" t="inlineStr">
        <is>
          <t>HAGFORS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46316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46316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46316</v>
      </c>
      <c r="F353" t="inlineStr">
        <is>
          <t>VÄRMLANDS LÄN</t>
        </is>
      </c>
      <c r="G353" t="inlineStr">
        <is>
          <t>HAGFORS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46122</v>
      </c>
      <c r="E354" s="1" t="n">
        <v>46316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55895-2025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46316</v>
      </c>
      <c r="F355" t="inlineStr">
        <is>
          <t>VÄRMLANDS LÄN</t>
        </is>
      </c>
      <c r="G355" t="inlineStr">
        <is>
          <t>HAGFORS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11104-2022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44628</v>
      </c>
      <c r="E356" s="1" t="n">
        <v>46316</v>
      </c>
      <c r="F356" t="inlineStr">
        <is>
          <t>VÄRMLANDS LÄN</t>
        </is>
      </c>
      <c r="G356" t="inlineStr">
        <is>
          <t>HAGFORS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46316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46122</v>
      </c>
      <c r="E358" s="1" t="n">
        <v>46316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46316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46316</v>
      </c>
      <c r="F360" t="inlineStr">
        <is>
          <t>VÄRMLANDS LÄN</t>
        </is>
      </c>
      <c r="G360" t="inlineStr">
        <is>
          <t>HAGFORS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16824-2023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45033</v>
      </c>
      <c r="E361" s="1" t="n">
        <v>46316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45201</v>
      </c>
      <c r="E362" s="1" t="n">
        <v>46316</v>
      </c>
      <c r="F362" t="inlineStr">
        <is>
          <t>VÄRMLANDS LÄN</t>
        </is>
      </c>
      <c r="G362" t="inlineStr">
        <is>
          <t>HAGFORS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45201</v>
      </c>
      <c r="E363" s="1" t="n">
        <v>46316</v>
      </c>
      <c r="F363" t="inlineStr">
        <is>
          <t>VÄRMLANDS LÄN</t>
        </is>
      </c>
      <c r="G363" t="inlineStr">
        <is>
          <t>HAGFORS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46316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46316</v>
      </c>
      <c r="F365" t="inlineStr">
        <is>
          <t>VÄRMLANDS LÄN</t>
        </is>
      </c>
      <c r="G365" t="inlineStr">
        <is>
          <t>HAGFORS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46316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46126</v>
      </c>
      <c r="E367" s="1" t="n">
        <v>46316</v>
      </c>
      <c r="F367" t="inlineStr">
        <is>
          <t>VÄRMLANDS LÄN</t>
        </is>
      </c>
      <c r="G367" t="inlineStr">
        <is>
          <t>HAGFORS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46129</v>
      </c>
      <c r="E368" s="1" t="n">
        <v>46316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46316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46316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46129</v>
      </c>
      <c r="E371" s="1" t="n">
        <v>46316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57162-2024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46316</v>
      </c>
      <c r="F372" t="inlineStr">
        <is>
          <t>VÄRMLANDS LÄN</t>
        </is>
      </c>
      <c r="G372" t="inlineStr">
        <is>
          <t>HAGFORS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46128</v>
      </c>
      <c r="E373" s="1" t="n">
        <v>46316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46316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46316</v>
      </c>
      <c r="F375" t="inlineStr">
        <is>
          <t>VÄRMLANDS LÄN</t>
        </is>
      </c>
      <c r="G375" t="inlineStr">
        <is>
          <t>HAGFORS</t>
        </is>
      </c>
      <c r="H375" t="inlineStr">
        <is>
          <t>Kyrkan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46316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46316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46316</v>
      </c>
      <c r="F378" t="inlineStr">
        <is>
          <t>VÄRMLANDS LÄN</t>
        </is>
      </c>
      <c r="G378" t="inlineStr">
        <is>
          <t>HAGFORS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46316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46133</v>
      </c>
      <c r="E380" s="1" t="n">
        <v>46316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46316</v>
      </c>
      <c r="F381" t="inlineStr">
        <is>
          <t>VÄRMLANDS LÄN</t>
        </is>
      </c>
      <c r="G381" t="inlineStr">
        <is>
          <t>HAGFORS</t>
        </is>
      </c>
      <c r="H381" t="inlineStr">
        <is>
          <t>Kyrkan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46316</v>
      </c>
      <c r="F382" t="inlineStr">
        <is>
          <t>VÄRMLANDS LÄN</t>
        </is>
      </c>
      <c r="G382" t="inlineStr">
        <is>
          <t>HAGFORS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46190-2024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45581</v>
      </c>
      <c r="E383" s="1" t="n">
        <v>46316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46316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19421-2026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46316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46316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33440-2025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45841</v>
      </c>
      <c r="E387" s="1" t="n">
        <v>46316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46316</v>
      </c>
      <c r="F388" t="inlineStr">
        <is>
          <t>VÄRMLANDS LÄN</t>
        </is>
      </c>
      <c r="G388" t="inlineStr">
        <is>
          <t>HAGFORS</t>
        </is>
      </c>
      <c r="H388" t="inlineStr">
        <is>
          <t>Kyrkan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46316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46316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46316</v>
      </c>
      <c r="F391" t="inlineStr">
        <is>
          <t>VÄRMLANDS LÄN</t>
        </is>
      </c>
      <c r="G391" t="inlineStr">
        <is>
          <t>HAGFORS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46316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56466-2024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46316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59047-2025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45988</v>
      </c>
      <c r="E394" s="1" t="n">
        <v>46316</v>
      </c>
      <c r="F394" t="inlineStr">
        <is>
          <t>VÄRMLANDS LÄN</t>
        </is>
      </c>
      <c r="G394" t="inlineStr">
        <is>
          <t>HAGFORS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46316</v>
      </c>
      <c r="F395" t="inlineStr">
        <is>
          <t>VÄRMLANDS LÄN</t>
        </is>
      </c>
      <c r="G395" t="inlineStr">
        <is>
          <t>HAGFORS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46316</v>
      </c>
      <c r="F396" t="inlineStr">
        <is>
          <t>VÄRMLANDS LÄN</t>
        </is>
      </c>
      <c r="G396" t="inlineStr">
        <is>
          <t>HAGFORS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46316</v>
      </c>
      <c r="F397" t="inlineStr">
        <is>
          <t>VÄRMLANDS LÄN</t>
        </is>
      </c>
      <c r="G397" t="inlineStr">
        <is>
          <t>HAGFORS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46316</v>
      </c>
      <c r="F398" t="inlineStr">
        <is>
          <t>VÄRMLANDS LÄN</t>
        </is>
      </c>
      <c r="G398" t="inlineStr">
        <is>
          <t>HAGFORS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46316</v>
      </c>
      <c r="F399" t="inlineStr">
        <is>
          <t>VÄRMLANDS LÄN</t>
        </is>
      </c>
      <c r="G399" t="inlineStr">
        <is>
          <t>HAGFORS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63868-2025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46020</v>
      </c>
      <c r="E400" s="1" t="n">
        <v>46316</v>
      </c>
      <c r="F400" t="inlineStr">
        <is>
          <t>VÄRMLANDS LÄN</t>
        </is>
      </c>
      <c r="G400" t="inlineStr">
        <is>
          <t>HAGFORS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45770</v>
      </c>
      <c r="E401" s="1" t="n">
        <v>46316</v>
      </c>
      <c r="F401" t="inlineStr">
        <is>
          <t>VÄRMLANDS LÄN</t>
        </is>
      </c>
      <c r="G401" t="inlineStr">
        <is>
          <t>HAGFORS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45565</v>
      </c>
      <c r="E402" s="1" t="n">
        <v>46316</v>
      </c>
      <c r="F402" t="inlineStr">
        <is>
          <t>VÄRMLANDS LÄN</t>
        </is>
      </c>
      <c r="G402" t="inlineStr">
        <is>
          <t>HAGFORS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30180-2022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44757</v>
      </c>
      <c r="E403" s="1" t="n">
        <v>46316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46316</v>
      </c>
      <c r="F404" t="inlineStr">
        <is>
          <t>VÄRMLANDS LÄN</t>
        </is>
      </c>
      <c r="G404" t="inlineStr">
        <is>
          <t>HAGFORS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46316</v>
      </c>
      <c r="F405" t="inlineStr">
        <is>
          <t>VÄRMLANDS LÄN</t>
        </is>
      </c>
      <c r="G405" t="inlineStr">
        <is>
          <t>HAGFORS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45784</v>
      </c>
      <c r="E406" s="1" t="n">
        <v>46316</v>
      </c>
      <c r="F406" t="inlineStr">
        <is>
          <t>VÄRMLANDS LÄN</t>
        </is>
      </c>
      <c r="G406" t="inlineStr">
        <is>
          <t>HAGFORS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12778-2025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46316</v>
      </c>
      <c r="F407" t="inlineStr">
        <is>
          <t>VÄRMLANDS LÄN</t>
        </is>
      </c>
      <c r="G407" t="inlineStr">
        <is>
          <t>HAGFORS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46316</v>
      </c>
      <c r="F408" t="inlineStr">
        <is>
          <t>VÄRMLANDS LÄN</t>
        </is>
      </c>
      <c r="G408" t="inlineStr">
        <is>
          <t>HAGFORS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46316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60841-2025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46316</v>
      </c>
      <c r="F410" t="inlineStr">
        <is>
          <t>VÄRMLANDS LÄN</t>
        </is>
      </c>
      <c r="G410" t="inlineStr">
        <is>
          <t>HAGFORS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60648-2025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45996</v>
      </c>
      <c r="E411" s="1" t="n">
        <v>46316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44687</v>
      </c>
      <c r="E412" s="1" t="n">
        <v>46316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20.2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46316</v>
      </c>
      <c r="F413" t="inlineStr">
        <is>
          <t>VÄRMLANDS LÄN</t>
        </is>
      </c>
      <c r="G413" t="inlineStr">
        <is>
          <t>HAGFORS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45469</v>
      </c>
      <c r="E414" s="1" t="n">
        <v>46316</v>
      </c>
      <c r="F414" t="inlineStr">
        <is>
          <t>VÄRMLANDS LÄN</t>
        </is>
      </c>
      <c r="G414" t="inlineStr">
        <is>
          <t>HAGFORS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45854</v>
      </c>
      <c r="E415" s="1" t="n">
        <v>46316</v>
      </c>
      <c r="F415" t="inlineStr">
        <is>
          <t>VÄRMLANDS LÄN</t>
        </is>
      </c>
      <c r="G415" t="inlineStr">
        <is>
          <t>HAGFORS</t>
        </is>
      </c>
      <c r="H415" t="inlineStr">
        <is>
          <t>Kyrkan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45390</v>
      </c>
      <c r="E416" s="1" t="n">
        <v>46316</v>
      </c>
      <c r="F416" t="inlineStr">
        <is>
          <t>VÄRMLANDS LÄN</t>
        </is>
      </c>
      <c r="G416" t="inlineStr">
        <is>
          <t>HAGFORS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45484</v>
      </c>
      <c r="E417" s="1" t="n">
        <v>46316</v>
      </c>
      <c r="F417" t="inlineStr">
        <is>
          <t>VÄRMLANDS LÄN</t>
        </is>
      </c>
      <c r="G417" t="inlineStr">
        <is>
          <t>HAGFORS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45854</v>
      </c>
      <c r="E418" s="1" t="n">
        <v>46316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19993-2026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46316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22346-2025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45786</v>
      </c>
      <c r="E420" s="1" t="n">
        <v>46316</v>
      </c>
      <c r="F420" t="inlineStr">
        <is>
          <t>VÄRMLANDS LÄN</t>
        </is>
      </c>
      <c r="G420" t="inlineStr">
        <is>
          <t>HAGFORS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45791</v>
      </c>
      <c r="E421" s="1" t="n">
        <v>46316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45793</v>
      </c>
      <c r="E422" s="1" t="n">
        <v>46316</v>
      </c>
      <c r="F422" t="inlineStr">
        <is>
          <t>VÄRMLANDS LÄN</t>
        </is>
      </c>
      <c r="G422" t="inlineStr">
        <is>
          <t>HAGFORS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36030-2023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45149</v>
      </c>
      <c r="E423" s="1" t="n">
        <v>46316</v>
      </c>
      <c r="F423" t="inlineStr">
        <is>
          <t>VÄRMLANDS LÄN</t>
        </is>
      </c>
      <c r="G423" t="inlineStr">
        <is>
          <t>HAGFORS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45145</v>
      </c>
      <c r="E424" s="1" t="n">
        <v>46316</v>
      </c>
      <c r="F424" t="inlineStr">
        <is>
          <t>VÄRMLANDS LÄN</t>
        </is>
      </c>
      <c r="G424" t="inlineStr">
        <is>
          <t>HAGFORS</t>
        </is>
      </c>
      <c r="I424" t="n">
        <v>13.5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38132-2022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44812</v>
      </c>
      <c r="E425" s="1" t="n">
        <v>46316</v>
      </c>
      <c r="F425" t="inlineStr">
        <is>
          <t>VÄRMLANDS LÄN</t>
        </is>
      </c>
      <c r="G425" t="inlineStr">
        <is>
          <t>HAGFORS</t>
        </is>
      </c>
      <c r="H425" t="inlineStr">
        <is>
          <t>Kyrkan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32688-2025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45838</v>
      </c>
      <c r="E426" s="1" t="n">
        <v>46316</v>
      </c>
      <c r="F426" t="inlineStr">
        <is>
          <t>VÄRMLANDS LÄN</t>
        </is>
      </c>
      <c r="G426" t="inlineStr">
        <is>
          <t>HAGFORS</t>
        </is>
      </c>
      <c r="H426" t="inlineStr">
        <is>
          <t>Kyrkan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28571-2025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46316</v>
      </c>
      <c r="F427" t="inlineStr">
        <is>
          <t>VÄRMLANDS LÄN</t>
        </is>
      </c>
      <c r="G427" t="inlineStr">
        <is>
          <t>HAGFORS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45796</v>
      </c>
      <c r="E428" s="1" t="n">
        <v>46316</v>
      </c>
      <c r="F428" t="inlineStr">
        <is>
          <t>VÄRMLANDS LÄN</t>
        </is>
      </c>
      <c r="G428" t="inlineStr">
        <is>
          <t>HAGFORS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46316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45166</v>
      </c>
      <c r="E430" s="1" t="n">
        <v>46316</v>
      </c>
      <c r="F430" t="inlineStr">
        <is>
          <t>VÄRMLANDS LÄN</t>
        </is>
      </c>
      <c r="G430" t="inlineStr">
        <is>
          <t>HAGFORS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46316</v>
      </c>
      <c r="F431" t="inlineStr">
        <is>
          <t>VÄRMLANDS LÄN</t>
        </is>
      </c>
      <c r="G431" t="inlineStr">
        <is>
          <t>HAGFORS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46316</v>
      </c>
      <c r="F432" t="inlineStr">
        <is>
          <t>VÄRMLANDS LÄN</t>
        </is>
      </c>
      <c r="G432" t="inlineStr">
        <is>
          <t>HAGFORS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15538-2024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45401</v>
      </c>
      <c r="E433" s="1" t="n">
        <v>46316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45425</v>
      </c>
      <c r="E434" s="1" t="n">
        <v>46316</v>
      </c>
      <c r="F434" t="inlineStr">
        <is>
          <t>VÄRMLANDS LÄN</t>
        </is>
      </c>
      <c r="G434" t="inlineStr">
        <is>
          <t>HAGFORS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46316</v>
      </c>
      <c r="F435" t="inlineStr">
        <is>
          <t>VÄRMLANDS LÄN</t>
        </is>
      </c>
      <c r="G435" t="inlineStr">
        <is>
          <t>HAGFORS</t>
        </is>
      </c>
      <c r="H435" t="inlineStr">
        <is>
          <t>Kyrkan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45645</v>
      </c>
      <c r="E436" s="1" t="n">
        <v>46316</v>
      </c>
      <c r="F436" t="inlineStr">
        <is>
          <t>VÄRMLANDS LÄN</t>
        </is>
      </c>
      <c r="G436" t="inlineStr">
        <is>
          <t>HAGFORS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45873</v>
      </c>
      <c r="E437" s="1" t="n">
        <v>46316</v>
      </c>
      <c r="F437" t="inlineStr">
        <is>
          <t>VÄRMLANDS LÄN</t>
        </is>
      </c>
      <c r="G437" t="inlineStr">
        <is>
          <t>HAGFORS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62546-2022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44924</v>
      </c>
      <c r="E438" s="1" t="n">
        <v>46316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26615-2024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45469</v>
      </c>
      <c r="E439" s="1" t="n">
        <v>46316</v>
      </c>
      <c r="F439" t="inlineStr">
        <is>
          <t>VÄRMLANDS LÄN</t>
        </is>
      </c>
      <c r="G439" t="inlineStr">
        <is>
          <t>HAGFORS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45699</v>
      </c>
      <c r="E440" s="1" t="n">
        <v>46316</v>
      </c>
      <c r="F440" t="inlineStr">
        <is>
          <t>VÄRMLANDS LÄN</t>
        </is>
      </c>
      <c r="G440" t="inlineStr">
        <is>
          <t>HAGFORS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46316</v>
      </c>
      <c r="F441" t="inlineStr">
        <is>
          <t>VÄRMLANDS LÄN</t>
        </is>
      </c>
      <c r="G441" t="inlineStr">
        <is>
          <t>HAGFORS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44951</v>
      </c>
      <c r="E442" s="1" t="n">
        <v>46316</v>
      </c>
      <c r="F442" t="inlineStr">
        <is>
          <t>VÄRMLANDS LÄN</t>
        </is>
      </c>
      <c r="G442" t="inlineStr">
        <is>
          <t>HAGFORS</t>
        </is>
      </c>
      <c r="H442" t="inlineStr">
        <is>
          <t>Kyrkan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46316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45824</v>
      </c>
      <c r="E444" s="1" t="n">
        <v>46316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45772</v>
      </c>
      <c r="E445" s="1" t="n">
        <v>46316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45847</v>
      </c>
      <c r="E446" s="1" t="n">
        <v>46316</v>
      </c>
      <c r="F446" t="inlineStr">
        <is>
          <t>VÄRMLANDS LÄN</t>
        </is>
      </c>
      <c r="G446" t="inlineStr">
        <is>
          <t>HAGFORS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68252-2021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44526</v>
      </c>
      <c r="E447" s="1" t="n">
        <v>46316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45874</v>
      </c>
      <c r="E448" s="1" t="n">
        <v>46316</v>
      </c>
      <c r="F448" t="inlineStr">
        <is>
          <t>VÄRMLANDS LÄN</t>
        </is>
      </c>
      <c r="G448" t="inlineStr">
        <is>
          <t>HAGFORS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45097</v>
      </c>
      <c r="E449" s="1" t="n">
        <v>46316</v>
      </c>
      <c r="F449" t="inlineStr">
        <is>
          <t>VÄRMLANDS LÄN</t>
        </is>
      </c>
      <c r="G449" t="inlineStr">
        <is>
          <t>HAGFORS</t>
        </is>
      </c>
      <c r="H449" t="inlineStr">
        <is>
          <t>Kyrkan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46316</v>
      </c>
      <c r="F450" t="inlineStr">
        <is>
          <t>VÄRMLANDS LÄN</t>
        </is>
      </c>
      <c r="G450" t="inlineStr">
        <is>
          <t>HAGFORS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46316</v>
      </c>
      <c r="F451" t="inlineStr">
        <is>
          <t>VÄRMLANDS LÄN</t>
        </is>
      </c>
      <c r="G451" t="inlineStr">
        <is>
          <t>HAGFORS</t>
        </is>
      </c>
      <c r="I451" t="n">
        <v>8.6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20756-2026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46316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45684</v>
      </c>
      <c r="E453" s="1" t="n">
        <v>46316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46316</v>
      </c>
      <c r="F454" t="inlineStr">
        <is>
          <t>VÄRMLANDS LÄN</t>
        </is>
      </c>
      <c r="G454" t="inlineStr">
        <is>
          <t>HAGFORS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46316</v>
      </c>
      <c r="F455" t="inlineStr">
        <is>
          <t>VÄRMLANDS LÄN</t>
        </is>
      </c>
      <c r="G455" t="inlineStr">
        <is>
          <t>HAGFORS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46316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45569</v>
      </c>
      <c r="E457" s="1" t="n">
        <v>46316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46316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8830-2024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45356</v>
      </c>
      <c r="E459" s="1" t="n">
        <v>46316</v>
      </c>
      <c r="F459" t="inlineStr">
        <is>
          <t>VÄRMLANDS LÄN</t>
        </is>
      </c>
      <c r="G459" t="inlineStr">
        <is>
          <t>HAGFORS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46316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44915</v>
      </c>
      <c r="E461" s="1" t="n">
        <v>46316</v>
      </c>
      <c r="F461" t="inlineStr">
        <is>
          <t>VÄRMLANDS LÄN</t>
        </is>
      </c>
      <c r="G461" t="inlineStr">
        <is>
          <t>HAGFORS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46316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16153-2025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45750</v>
      </c>
      <c r="E463" s="1" t="n">
        <v>46316</v>
      </c>
      <c r="F463" t="inlineStr">
        <is>
          <t>VÄRMLANDS LÄN</t>
        </is>
      </c>
      <c r="G463" t="inlineStr">
        <is>
          <t>HAGFORS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31618-2025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45833</v>
      </c>
      <c r="E464" s="1" t="n">
        <v>46316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45201</v>
      </c>
      <c r="E465" s="1" t="n">
        <v>46316</v>
      </c>
      <c r="F465" t="inlineStr">
        <is>
          <t>VÄRMLANDS LÄN</t>
        </is>
      </c>
      <c r="G465" t="inlineStr">
        <is>
          <t>HAGFORS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46141</v>
      </c>
      <c r="E466" s="1" t="n">
        <v>46316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20752-2026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46141</v>
      </c>
      <c r="E467" s="1" t="n">
        <v>46316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71447-2021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44540</v>
      </c>
      <c r="E468" s="1" t="n">
        <v>46316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46316</v>
      </c>
      <c r="F469" t="inlineStr">
        <is>
          <t>VÄRMLANDS LÄN</t>
        </is>
      </c>
      <c r="G469" t="inlineStr">
        <is>
          <t>HAGFORS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46316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45812</v>
      </c>
      <c r="E471" s="1" t="n">
        <v>46316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46316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46316</v>
      </c>
      <c r="F473" t="inlineStr">
        <is>
          <t>VÄRMLANDS LÄN</t>
        </is>
      </c>
      <c r="G473" t="inlineStr">
        <is>
          <t>HAGFORS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45720</v>
      </c>
      <c r="E474" s="1" t="n">
        <v>46316</v>
      </c>
      <c r="F474" t="inlineStr">
        <is>
          <t>VÄRMLANDS LÄN</t>
        </is>
      </c>
      <c r="G474" t="inlineStr">
        <is>
          <t>HAGFORS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20880-2026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46142</v>
      </c>
      <c r="E475" s="1" t="n">
        <v>46316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46316</v>
      </c>
      <c r="F476" t="inlineStr">
        <is>
          <t>VÄRMLANDS LÄN</t>
        </is>
      </c>
      <c r="G476" t="inlineStr">
        <is>
          <t>HAGFORS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46142</v>
      </c>
      <c r="E477" s="1" t="n">
        <v>46316</v>
      </c>
      <c r="F477" t="inlineStr">
        <is>
          <t>VÄRMLANDS LÄN</t>
        </is>
      </c>
      <c r="G477" t="inlineStr">
        <is>
          <t>HAGFORS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20911-2026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46142</v>
      </c>
      <c r="E478" s="1" t="n">
        <v>46316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4012-2025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46316</v>
      </c>
      <c r="F479" t="inlineStr">
        <is>
          <t>VÄRMLANDS LÄN</t>
        </is>
      </c>
      <c r="G479" t="inlineStr">
        <is>
          <t>HAGFORS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46316</v>
      </c>
      <c r="F480" t="inlineStr">
        <is>
          <t>VÄRMLANDS LÄN</t>
        </is>
      </c>
      <c r="G480" t="inlineStr">
        <is>
          <t>HAGFORS</t>
        </is>
      </c>
      <c r="H480" t="inlineStr">
        <is>
          <t>Kommuner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46316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55758-2024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46316</v>
      </c>
      <c r="F482" t="inlineStr">
        <is>
          <t>VÄRMLANDS LÄN</t>
        </is>
      </c>
      <c r="G482" t="inlineStr">
        <is>
          <t>HAGFORS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44937</v>
      </c>
      <c r="E483" s="1" t="n">
        <v>46316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25349-2023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45087</v>
      </c>
      <c r="E484" s="1" t="n">
        <v>46316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21728-2026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46316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45527</v>
      </c>
      <c r="E486" s="1" t="n">
        <v>46316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46316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21762-2026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46150</v>
      </c>
      <c r="E488" s="1" t="n">
        <v>46316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46150</v>
      </c>
      <c r="E489" s="1" t="n">
        <v>46316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8129-2024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45351</v>
      </c>
      <c r="E490" s="1" t="n">
        <v>46316</v>
      </c>
      <c r="F490" t="inlineStr">
        <is>
          <t>VÄRMLANDS LÄN</t>
        </is>
      </c>
      <c r="G490" t="inlineStr">
        <is>
          <t>HAGFORS</t>
        </is>
      </c>
      <c r="H490" t="inlineStr">
        <is>
          <t>Kyrkan</t>
        </is>
      </c>
      <c r="I490" t="n">
        <v>10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46316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46316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46316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44938</v>
      </c>
      <c r="E494" s="1" t="n">
        <v>46316</v>
      </c>
      <c r="F494" t="inlineStr">
        <is>
          <t>VÄRMLANDS LÄN</t>
        </is>
      </c>
      <c r="G494" t="inlineStr">
        <is>
          <t>HAGFORS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45106</v>
      </c>
      <c r="E495" s="1" t="n">
        <v>46316</v>
      </c>
      <c r="F495" t="inlineStr">
        <is>
          <t>VÄRMLANDS LÄN</t>
        </is>
      </c>
      <c r="G495" t="inlineStr">
        <is>
          <t>HAGFORS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22667-2026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46316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46316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11126-2024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45371</v>
      </c>
      <c r="E498" s="1" t="n">
        <v>46316</v>
      </c>
      <c r="F498" t="inlineStr">
        <is>
          <t>VÄRMLANDS LÄN</t>
        </is>
      </c>
      <c r="G498" t="inlineStr">
        <is>
          <t>HAGFORS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46316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8842-2025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45713</v>
      </c>
      <c r="E500" s="1" t="n">
        <v>46316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46316</v>
      </c>
      <c r="F501" t="inlineStr">
        <is>
          <t>VÄRMLANDS LÄN</t>
        </is>
      </c>
      <c r="G501" t="inlineStr">
        <is>
          <t>HAGFORS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46316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53192-2022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44876</v>
      </c>
      <c r="E503" s="1" t="n">
        <v>46316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24638-2023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45084</v>
      </c>
      <c r="E504" s="1" t="n">
        <v>46316</v>
      </c>
      <c r="F504" t="inlineStr">
        <is>
          <t>VÄRMLANDS LÄN</t>
        </is>
      </c>
      <c r="G504" t="inlineStr">
        <is>
          <t>HAGFORS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61902-2021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44502</v>
      </c>
      <c r="E505" s="1" t="n">
        <v>46316</v>
      </c>
      <c r="F505" t="inlineStr">
        <is>
          <t>VÄRMLANDS LÄN</t>
        </is>
      </c>
      <c r="G505" t="inlineStr">
        <is>
          <t>HAGFORS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45006</v>
      </c>
      <c r="E506" s="1" t="n">
        <v>46316</v>
      </c>
      <c r="F506" t="inlineStr">
        <is>
          <t>VÄRMLANDS LÄN</t>
        </is>
      </c>
      <c r="G506" t="inlineStr">
        <is>
          <t>HAGFORS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46316</v>
      </c>
      <c r="F507" t="inlineStr">
        <is>
          <t>VÄRMLANDS LÄN</t>
        </is>
      </c>
      <c r="G507" t="inlineStr">
        <is>
          <t>HAGFORS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46316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22925-2026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46160</v>
      </c>
      <c r="E509" s="1" t="n">
        <v>46316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22917-2026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46316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45502</v>
      </c>
      <c r="E511" s="1" t="n">
        <v>46316</v>
      </c>
      <c r="F511" t="inlineStr">
        <is>
          <t>VÄRMLANDS LÄN</t>
        </is>
      </c>
      <c r="G511" t="inlineStr">
        <is>
          <t>HAGFORS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42235-2024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46316</v>
      </c>
      <c r="F512" t="inlineStr">
        <is>
          <t>VÄRMLANDS LÄN</t>
        </is>
      </c>
      <c r="G512" t="inlineStr">
        <is>
          <t>HAGFORS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46316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46316</v>
      </c>
      <c r="F514" t="inlineStr">
        <is>
          <t>VÄRMLANDS LÄN</t>
        </is>
      </c>
      <c r="G514" t="inlineStr">
        <is>
          <t>HAGFORS</t>
        </is>
      </c>
      <c r="H514" t="inlineStr">
        <is>
          <t>Kommuner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45947</v>
      </c>
      <c r="E515" s="1" t="n">
        <v>46316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46316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44613</v>
      </c>
      <c r="E517" s="1" t="n">
        <v>46316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36494-2025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46316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46316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46316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61169-2024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45645</v>
      </c>
      <c r="E521" s="1" t="n">
        <v>46316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23728-2026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46164</v>
      </c>
      <c r="E522" s="1" t="n">
        <v>46316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24814-2024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45461</v>
      </c>
      <c r="E523" s="1" t="n">
        <v>46316</v>
      </c>
      <c r="F523" t="inlineStr">
        <is>
          <t>VÄRMLANDS LÄN</t>
        </is>
      </c>
      <c r="G523" t="inlineStr">
        <is>
          <t>HAGFORS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46316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46316</v>
      </c>
      <c r="F525" t="inlineStr">
        <is>
          <t>VÄRMLANDS LÄN</t>
        </is>
      </c>
      <c r="G525" t="inlineStr">
        <is>
          <t>HAGFORS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30642-2025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45831</v>
      </c>
      <c r="E526" s="1" t="n">
        <v>46316</v>
      </c>
      <c r="F526" t="inlineStr">
        <is>
          <t>VÄRMLANDS LÄN</t>
        </is>
      </c>
      <c r="G526" t="inlineStr">
        <is>
          <t>HAGFORS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24238-2026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46316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46316</v>
      </c>
      <c r="F528" t="inlineStr">
        <is>
          <t>VÄRMLANDS LÄN</t>
        </is>
      </c>
      <c r="G528" t="inlineStr">
        <is>
          <t>HAGFORS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36293-2023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45152</v>
      </c>
      <c r="E529" s="1" t="n">
        <v>46316</v>
      </c>
      <c r="F529" t="inlineStr">
        <is>
          <t>VÄRMLANDS LÄN</t>
        </is>
      </c>
      <c r="G529" t="inlineStr">
        <is>
          <t>HAGFORS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24625-2026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46171</v>
      </c>
      <c r="E530" s="1" t="n">
        <v>46316</v>
      </c>
      <c r="F530" t="inlineStr">
        <is>
          <t>VÄRMLANDS LÄN</t>
        </is>
      </c>
      <c r="G530" t="inlineStr">
        <is>
          <t>HAGFORS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46316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24677-2026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46171</v>
      </c>
      <c r="E532" s="1" t="n">
        <v>46316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45435</v>
      </c>
      <c r="E533" s="1" t="n">
        <v>46316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24761-2026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46171</v>
      </c>
      <c r="E534" s="1" t="n">
        <v>46316</v>
      </c>
      <c r="F534" t="inlineStr">
        <is>
          <t>VÄRMLANDS LÄN</t>
        </is>
      </c>
      <c r="G534" t="inlineStr">
        <is>
          <t>HAGFORS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45148</v>
      </c>
      <c r="E535" s="1" t="n">
        <v>46316</v>
      </c>
      <c r="F535" t="inlineStr">
        <is>
          <t>VÄRMLANDS LÄN</t>
        </is>
      </c>
      <c r="G535" t="inlineStr">
        <is>
          <t>HAGFORS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24628-2026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46171</v>
      </c>
      <c r="E536" s="1" t="n">
        <v>46316</v>
      </c>
      <c r="F536" t="inlineStr">
        <is>
          <t>VÄRMLANDS LÄN</t>
        </is>
      </c>
      <c r="G536" t="inlineStr">
        <is>
          <t>HAGFORS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46171</v>
      </c>
      <c r="E537" s="1" t="n">
        <v>46316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24699-2026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46171</v>
      </c>
      <c r="E538" s="1" t="n">
        <v>46316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59048-2022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44903</v>
      </c>
      <c r="E539" s="1" t="n">
        <v>46316</v>
      </c>
      <c r="F539" t="inlineStr">
        <is>
          <t>VÄRMLANDS LÄN</t>
        </is>
      </c>
      <c r="G539" t="inlineStr">
        <is>
          <t>HAGFORS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24626-2026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46171</v>
      </c>
      <c r="E540" s="1" t="n">
        <v>46316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46316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21155-2023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45057</v>
      </c>
      <c r="E542" s="1" t="n">
        <v>46316</v>
      </c>
      <c r="F542" t="inlineStr">
        <is>
          <t>VÄRMLANDS LÄN</t>
        </is>
      </c>
      <c r="G542" t="inlineStr">
        <is>
          <t>HAGFORS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45758</v>
      </c>
      <c r="E543" s="1" t="n">
        <v>46316</v>
      </c>
      <c r="F543" t="inlineStr">
        <is>
          <t>VÄRMLANDS LÄN</t>
        </is>
      </c>
      <c r="G543" t="inlineStr">
        <is>
          <t>HAGFORS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19554-2024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45429</v>
      </c>
      <c r="E544" s="1" t="n">
        <v>46316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46176</v>
      </c>
      <c r="E545" s="1" t="n">
        <v>46316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46177</v>
      </c>
      <c r="E546" s="1" t="n">
        <v>46316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25890-2026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46316</v>
      </c>
      <c r="F547" t="inlineStr">
        <is>
          <t>VÄRMLANDS LÄN</t>
        </is>
      </c>
      <c r="G547" t="inlineStr">
        <is>
          <t>HAGFORS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44763</v>
      </c>
      <c r="E548" s="1" t="n">
        <v>46316</v>
      </c>
      <c r="F548" t="inlineStr">
        <is>
          <t>VÄRMLANDS LÄN</t>
        </is>
      </c>
      <c r="G548" t="inlineStr">
        <is>
          <t>HAGFORS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52830-2023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45226</v>
      </c>
      <c r="E549" s="1" t="n">
        <v>46316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45476</v>
      </c>
      <c r="E550" s="1" t="n">
        <v>46316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46316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18213-2024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45420</v>
      </c>
      <c r="E552" s="1" t="n">
        <v>46316</v>
      </c>
      <c r="F552" t="inlineStr">
        <is>
          <t>VÄRMLANDS LÄN</t>
        </is>
      </c>
      <c r="G552" t="inlineStr">
        <is>
          <t>HAGFORS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46316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46316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46316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46181</v>
      </c>
      <c r="E556" s="1" t="n">
        <v>46316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46316</v>
      </c>
      <c r="F557" t="inlineStr">
        <is>
          <t>VÄRMLANDS LÄN</t>
        </is>
      </c>
      <c r="G557" t="inlineStr">
        <is>
          <t>HAGFORS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46316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46316</v>
      </c>
      <c r="F559" t="inlineStr">
        <is>
          <t>VÄRMLANDS LÄN</t>
        </is>
      </c>
      <c r="G559" t="inlineStr">
        <is>
          <t>HAGFORS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26357-2026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46316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33.4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45338</v>
      </c>
      <c r="E561" s="1" t="n">
        <v>46316</v>
      </c>
      <c r="F561" t="inlineStr">
        <is>
          <t>VÄRMLANDS LÄN</t>
        </is>
      </c>
      <c r="G561" t="inlineStr">
        <is>
          <t>HAGFORS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9795-2023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44984</v>
      </c>
      <c r="E562" s="1" t="n">
        <v>46316</v>
      </c>
      <c r="F562" t="inlineStr">
        <is>
          <t>VÄRMLANDS LÄN</t>
        </is>
      </c>
      <c r="G562" t="inlineStr">
        <is>
          <t>HAGFORS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46316</v>
      </c>
      <c r="F563" t="inlineStr">
        <is>
          <t>VÄRMLANDS LÄN</t>
        </is>
      </c>
      <c r="G563" t="inlineStr">
        <is>
          <t>HAGFORS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26740-2026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46316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46316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46316</v>
      </c>
      <c r="F566" t="inlineStr">
        <is>
          <t>VÄRMLANDS LÄN</t>
        </is>
      </c>
      <c r="G566" t="inlineStr">
        <is>
          <t>HAGFORS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46316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46316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27210-2026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46316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46316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46316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26864-2026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46316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46316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65065-2023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45287</v>
      </c>
      <c r="E574" s="1" t="n">
        <v>46316</v>
      </c>
      <c r="F574" t="inlineStr">
        <is>
          <t>VÄRMLANDS LÄN</t>
        </is>
      </c>
      <c r="G574" t="inlineStr">
        <is>
          <t>HAGFORS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46316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18.2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46316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20.5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53443-2024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45614</v>
      </c>
      <c r="E577" s="1" t="n">
        <v>46316</v>
      </c>
      <c r="F577" t="inlineStr">
        <is>
          <t>VÄRMLANDS LÄN</t>
        </is>
      </c>
      <c r="G577" t="inlineStr">
        <is>
          <t>HAGFORS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45226</v>
      </c>
      <c r="E578" s="1" t="n">
        <v>46316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46316</v>
      </c>
      <c r="F579" t="inlineStr">
        <is>
          <t>VÄRMLANDS LÄN</t>
        </is>
      </c>
      <c r="G579" t="inlineStr">
        <is>
          <t>HAGFORS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45765</v>
      </c>
      <c r="E580" s="1" t="n">
        <v>46316</v>
      </c>
      <c r="F580" t="inlineStr">
        <is>
          <t>VÄRMLANDS LÄN</t>
        </is>
      </c>
      <c r="G580" t="inlineStr">
        <is>
          <t>HAGFORS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27394-2026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46189</v>
      </c>
      <c r="E581" s="1" t="n">
        <v>46316</v>
      </c>
      <c r="F581" t="inlineStr">
        <is>
          <t>VÄRMLANDS LÄN</t>
        </is>
      </c>
      <c r="G581" t="inlineStr">
        <is>
          <t>HAGFORS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45223</v>
      </c>
      <c r="E582" s="1" t="n">
        <v>46316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46191</v>
      </c>
      <c r="E583" s="1" t="n">
        <v>46316</v>
      </c>
      <c r="F583" t="inlineStr">
        <is>
          <t>VÄRMLANDS LÄN</t>
        </is>
      </c>
      <c r="G583" t="inlineStr">
        <is>
          <t>HAGFORS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27799-2026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46191</v>
      </c>
      <c r="E584" s="1" t="n">
        <v>46316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56165-2024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45624</v>
      </c>
      <c r="E585" s="1" t="n">
        <v>46316</v>
      </c>
      <c r="F585" t="inlineStr">
        <is>
          <t>VÄRMLANDS LÄN</t>
        </is>
      </c>
      <c r="G585" t="inlineStr">
        <is>
          <t>HAGFORS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14435-2025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45741</v>
      </c>
      <c r="E586" s="1" t="n">
        <v>46316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45475</v>
      </c>
      <c r="E587" s="1" t="n">
        <v>46316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45475</v>
      </c>
      <c r="E588" s="1" t="n">
        <v>46316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45534</v>
      </c>
      <c r="E589" s="1" t="n">
        <v>46316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46316</v>
      </c>
      <c r="F590" t="inlineStr">
        <is>
          <t>VÄRMLANDS LÄN</t>
        </is>
      </c>
      <c r="G590" t="inlineStr">
        <is>
          <t>HAGFORS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44582</v>
      </c>
      <c r="E591" s="1" t="n">
        <v>46316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46316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9.6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20103-2024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45434</v>
      </c>
      <c r="E593" s="1" t="n">
        <v>46316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45725</v>
      </c>
      <c r="E594" s="1" t="n">
        <v>46316</v>
      </c>
      <c r="F594" t="inlineStr">
        <is>
          <t>VÄRMLANDS LÄN</t>
        </is>
      </c>
      <c r="G594" t="inlineStr">
        <is>
          <t>HAGFORS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15270-2024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45400</v>
      </c>
      <c r="E595" s="1" t="n">
        <v>46316</v>
      </c>
      <c r="F595" t="inlineStr">
        <is>
          <t>VÄRMLANDS LÄN</t>
        </is>
      </c>
      <c r="G595" t="inlineStr">
        <is>
          <t>HAGFORS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46426-2024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45582</v>
      </c>
      <c r="E596" s="1" t="n">
        <v>46316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46316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46316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46198</v>
      </c>
      <c r="E599" s="1" t="n">
        <v>46316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46198</v>
      </c>
      <c r="E600" s="1" t="n">
        <v>46316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46200</v>
      </c>
      <c r="E601" s="1" t="n">
        <v>46316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46200</v>
      </c>
      <c r="E602" s="1" t="n">
        <v>46316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27855-2026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46191</v>
      </c>
      <c r="E603" s="1" t="n">
        <v>46316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44567</v>
      </c>
      <c r="E604" s="1" t="n">
        <v>46316</v>
      </c>
      <c r="F604" t="inlineStr">
        <is>
          <t>VÄRMLANDS LÄN</t>
        </is>
      </c>
      <c r="G604" t="inlineStr">
        <is>
          <t>HAGFORS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45526</v>
      </c>
      <c r="E605" s="1" t="n">
        <v>46316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45140</v>
      </c>
      <c r="E606" s="1" t="n">
        <v>46316</v>
      </c>
      <c r="F606" t="inlineStr">
        <is>
          <t>VÄRMLANDS LÄN</t>
        </is>
      </c>
      <c r="G606" t="inlineStr">
        <is>
          <t>HAGFORS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29580-2026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46316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45741</v>
      </c>
      <c r="E608" s="1" t="n">
        <v>46316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54757-2022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44883</v>
      </c>
      <c r="E609" s="1" t="n">
        <v>46316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46316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46316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46316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46316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45238-2024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45575</v>
      </c>
      <c r="E614" s="1" t="n">
        <v>46316</v>
      </c>
      <c r="F614" t="inlineStr">
        <is>
          <t>VÄRMLANDS LÄN</t>
        </is>
      </c>
      <c r="G614" t="inlineStr">
        <is>
          <t>HAGFORS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46316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46316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45155</v>
      </c>
      <c r="E617" s="1" t="n">
        <v>46316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30141-2026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46316</v>
      </c>
      <c r="F618" t="inlineStr">
        <is>
          <t>VÄRMLANDS LÄN</t>
        </is>
      </c>
      <c r="G618" t="inlineStr">
        <is>
          <t>HAGFORS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29950-2026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46205</v>
      </c>
      <c r="E619" s="1" t="n">
        <v>46316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37463-2022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44809</v>
      </c>
      <c r="E620" s="1" t="n">
        <v>46316</v>
      </c>
      <c r="F620" t="inlineStr">
        <is>
          <t>VÄRMLANDS LÄN</t>
        </is>
      </c>
      <c r="G620" t="inlineStr">
        <is>
          <t>HAGFORS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46316</v>
      </c>
      <c r="F621" t="inlineStr">
        <is>
          <t>VÄRMLANDS LÄN</t>
        </is>
      </c>
      <c r="G621" t="inlineStr">
        <is>
          <t>HAGFORS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62461-2023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45268</v>
      </c>
      <c r="E622" s="1" t="n">
        <v>46316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20466-2023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45057</v>
      </c>
      <c r="E623" s="1" t="n">
        <v>46316</v>
      </c>
      <c r="F623" t="inlineStr">
        <is>
          <t>VÄRMLANDS LÄN</t>
        </is>
      </c>
      <c r="G623" t="inlineStr">
        <is>
          <t>HAGFORS</t>
        </is>
      </c>
      <c r="H623" t="inlineStr">
        <is>
          <t>Kyrkan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46316</v>
      </c>
      <c r="F624" t="inlineStr">
        <is>
          <t>VÄRMLANDS LÄN</t>
        </is>
      </c>
      <c r="G624" t="inlineStr">
        <is>
          <t>HAGFORS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53813-2024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45615</v>
      </c>
      <c r="E625" s="1" t="n">
        <v>46316</v>
      </c>
      <c r="F625" t="inlineStr">
        <is>
          <t>VÄRMLANDS LÄN</t>
        </is>
      </c>
      <c r="G625" t="inlineStr">
        <is>
          <t>HAGFORS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46316</v>
      </c>
      <c r="F626" t="inlineStr">
        <is>
          <t>VÄRMLANDS LÄN</t>
        </is>
      </c>
      <c r="G626" t="inlineStr">
        <is>
          <t>HAGFORS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46316</v>
      </c>
      <c r="F627" t="inlineStr">
        <is>
          <t>VÄRMLANDS LÄN</t>
        </is>
      </c>
      <c r="G627" t="inlineStr">
        <is>
          <t>HAGFORS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46209</v>
      </c>
      <c r="E628" s="1" t="n">
        <v>46316</v>
      </c>
      <c r="F628" t="inlineStr">
        <is>
          <t>VÄRMLANDS LÄN</t>
        </is>
      </c>
      <c r="G628" t="inlineStr">
        <is>
          <t>HAGFORS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45470</v>
      </c>
      <c r="E629" s="1" t="n">
        <v>46316</v>
      </c>
      <c r="F629" t="inlineStr">
        <is>
          <t>VÄRMLANDS LÄN</t>
        </is>
      </c>
      <c r="G629" t="inlineStr">
        <is>
          <t>HAGFORS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42175-2024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46316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46211</v>
      </c>
      <c r="E631" s="1" t="n">
        <v>46316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30914-2026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46213</v>
      </c>
      <c r="E632" s="1" t="n">
        <v>46316</v>
      </c>
      <c r="F632" t="inlineStr">
        <is>
          <t>VÄRMLANDS LÄN</t>
        </is>
      </c>
      <c r="G632" t="inlineStr">
        <is>
          <t>HAGFORS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25258-2023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45079</v>
      </c>
      <c r="E633" s="1" t="n">
        <v>46316</v>
      </c>
      <c r="F633" t="inlineStr">
        <is>
          <t>VÄRMLANDS LÄN</t>
        </is>
      </c>
      <c r="G633" t="inlineStr">
        <is>
          <t>HAGFORS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45441</v>
      </c>
      <c r="E634" s="1" t="n">
        <v>46316</v>
      </c>
      <c r="F634" t="inlineStr">
        <is>
          <t>VÄRMLANDS LÄN</t>
        </is>
      </c>
      <c r="G634" t="inlineStr">
        <is>
          <t>HAGFORS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32147-2023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46316</v>
      </c>
      <c r="F635" t="inlineStr">
        <is>
          <t>VÄRMLANDS LÄN</t>
        </is>
      </c>
      <c r="G635" t="inlineStr">
        <is>
          <t>HAGFORS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49766-2023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45212</v>
      </c>
      <c r="E636" s="1" t="n">
        <v>46316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47516-2023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45203</v>
      </c>
      <c r="E637" s="1" t="n">
        <v>46316</v>
      </c>
      <c r="F637" t="inlineStr">
        <is>
          <t>VÄRMLANDS LÄN</t>
        </is>
      </c>
      <c r="G637" t="inlineStr">
        <is>
          <t>HAGFORS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45506</v>
      </c>
      <c r="E638" s="1" t="n">
        <v>46316</v>
      </c>
      <c r="F638" t="inlineStr">
        <is>
          <t>VÄRMLANDS LÄN</t>
        </is>
      </c>
      <c r="G638" t="inlineStr">
        <is>
          <t>HAGFORS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46226</v>
      </c>
      <c r="E639" s="1" t="n">
        <v>46316</v>
      </c>
      <c r="F639" t="inlineStr">
        <is>
          <t>VÄRMLANDS LÄN</t>
        </is>
      </c>
      <c r="G639" t="inlineStr">
        <is>
          <t>HAGFORS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46316</v>
      </c>
      <c r="F640" t="inlineStr">
        <is>
          <t>VÄRMLANDS LÄN</t>
        </is>
      </c>
      <c r="G640" t="inlineStr">
        <is>
          <t>HAGFORS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46316</v>
      </c>
      <c r="F641" t="inlineStr">
        <is>
          <t>VÄRMLANDS LÄN</t>
        </is>
      </c>
      <c r="G641" t="inlineStr">
        <is>
          <t>HAGFORS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46275</v>
      </c>
      <c r="E642" s="1" t="n">
        <v>46316</v>
      </c>
      <c r="F642" t="inlineStr">
        <is>
          <t>VÄRMLANDS LÄN</t>
        </is>
      </c>
      <c r="G642" t="inlineStr">
        <is>
          <t>HAGFORS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46274</v>
      </c>
      <c r="E643" s="1" t="n">
        <v>46316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46274</v>
      </c>
      <c r="E644" s="1" t="n">
        <v>46316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8.699999999999999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46275</v>
      </c>
      <c r="E645" s="1" t="n">
        <v>46316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44951</v>
      </c>
      <c r="E646" s="1" t="n">
        <v>46316</v>
      </c>
      <c r="F646" t="inlineStr">
        <is>
          <t>VÄRMLANDS LÄN</t>
        </is>
      </c>
      <c r="G646" t="inlineStr">
        <is>
          <t>HAGFORS</t>
        </is>
      </c>
      <c r="H646" t="inlineStr">
        <is>
          <t>Kommuner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37269-2026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46274</v>
      </c>
      <c r="E647" s="1" t="n">
        <v>46316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64936-2023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45282</v>
      </c>
      <c r="E648" s="1" t="n">
        <v>46316</v>
      </c>
      <c r="F648" t="inlineStr">
        <is>
          <t>VÄRMLANDS LÄN</t>
        </is>
      </c>
      <c r="G648" t="inlineStr">
        <is>
          <t>HAGFORS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46275</v>
      </c>
      <c r="E649" s="1" t="n">
        <v>46316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46316</v>
      </c>
      <c r="F650" t="inlineStr">
        <is>
          <t>VÄRMLANDS LÄN</t>
        </is>
      </c>
      <c r="G650" t="inlineStr">
        <is>
          <t>HAGFORS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45436</v>
      </c>
      <c r="E651" s="1" t="n">
        <v>46316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46316</v>
      </c>
      <c r="F652" t="inlineStr">
        <is>
          <t>VÄRMLANDS LÄN</t>
        </is>
      </c>
      <c r="G652" t="inlineStr">
        <is>
          <t>HAGFORS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46316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30327-2022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44760</v>
      </c>
      <c r="E654" s="1" t="n">
        <v>46316</v>
      </c>
      <c r="F654" t="inlineStr">
        <is>
          <t>VÄRMLANDS LÄN</t>
        </is>
      </c>
      <c r="G654" t="inlineStr">
        <is>
          <t>HAGFORS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46316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8.300000000000001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46316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46316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19583-2023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45050</v>
      </c>
      <c r="E658" s="1" t="n">
        <v>46316</v>
      </c>
      <c r="F658" t="inlineStr">
        <is>
          <t>VÄRMLANDS LÄN</t>
        </is>
      </c>
      <c r="G658" t="inlineStr">
        <is>
          <t>HAGFORS</t>
        </is>
      </c>
      <c r="H658" t="inlineStr">
        <is>
          <t>Kommuner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38050-2026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46280</v>
      </c>
      <c r="E659" s="1" t="n">
        <v>46316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46280</v>
      </c>
      <c r="E660" s="1" t="n">
        <v>46316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46316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38031-2026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46280</v>
      </c>
      <c r="E662" s="1" t="n">
        <v>46316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6.7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37924-2026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46280</v>
      </c>
      <c r="E663" s="1" t="n">
        <v>46316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8.5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37914-2026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46280</v>
      </c>
      <c r="E664" s="1" t="n">
        <v>46316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46316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38244-2026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46281</v>
      </c>
      <c r="E666" s="1" t="n">
        <v>46316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38410-2026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46282</v>
      </c>
      <c r="E667" s="1" t="n">
        <v>46316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46316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38404-2026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46282</v>
      </c>
      <c r="E669" s="1" t="n">
        <v>46316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46283</v>
      </c>
      <c r="E670" s="1" t="n">
        <v>46316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32507-2026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46239</v>
      </c>
      <c r="E671" s="1" t="n">
        <v>46316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39029-2022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44817</v>
      </c>
      <c r="E672" s="1" t="n">
        <v>46316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46282</v>
      </c>
      <c r="E673" s="1" t="n">
        <v>46316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45681</v>
      </c>
      <c r="E674" s="1" t="n">
        <v>46316</v>
      </c>
      <c r="F674" t="inlineStr">
        <is>
          <t>VÄRMLANDS LÄN</t>
        </is>
      </c>
      <c r="G674" t="inlineStr">
        <is>
          <t>HAGFORS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32483-2026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46239</v>
      </c>
      <c r="E675" s="1" t="n">
        <v>46316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32490-2026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46239</v>
      </c>
      <c r="E676" s="1" t="n">
        <v>46316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46316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15228-2024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45400</v>
      </c>
      <c r="E678" s="1" t="n">
        <v>46316</v>
      </c>
      <c r="F678" t="inlineStr">
        <is>
          <t>VÄRMLANDS LÄN</t>
        </is>
      </c>
      <c r="G678" t="inlineStr">
        <is>
          <t>HAGFORS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32535-2026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46239</v>
      </c>
      <c r="E679" s="1" t="n">
        <v>46316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38342-2026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46282</v>
      </c>
      <c r="E681" s="1" t="n">
        <v>46316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39070-2026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46287</v>
      </c>
      <c r="E683" s="1" t="n">
        <v>46316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45373</v>
      </c>
      <c r="E684" s="1" t="n">
        <v>46316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34541-2024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45525</v>
      </c>
      <c r="E685" s="1" t="n">
        <v>46316</v>
      </c>
      <c r="F685" t="inlineStr">
        <is>
          <t>VÄRMLANDS LÄN</t>
        </is>
      </c>
      <c r="G685" t="inlineStr">
        <is>
          <t>HAGFORS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38951-2026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46286</v>
      </c>
      <c r="E686" s="1" t="n">
        <v>46316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46287</v>
      </c>
      <c r="E687" s="1" t="n">
        <v>46316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7.3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32712-2026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46316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46132</v>
      </c>
      <c r="E689" s="1" t="n">
        <v>46316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32713-2026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46241</v>
      </c>
      <c r="E690" s="1" t="n">
        <v>46316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7.5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39116-2026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46287</v>
      </c>
      <c r="E691" s="1" t="n">
        <v>46316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30180-2023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45110</v>
      </c>
      <c r="E692" s="1" t="n">
        <v>46316</v>
      </c>
      <c r="F692" t="inlineStr">
        <is>
          <t>VÄRMLANDS LÄN</t>
        </is>
      </c>
      <c r="G692" t="inlineStr">
        <is>
          <t>HAGFORS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46241</v>
      </c>
      <c r="E693" s="1" t="n">
        <v>46316</v>
      </c>
      <c r="F693" t="inlineStr">
        <is>
          <t>VÄRMLANDS LÄN</t>
        </is>
      </c>
      <c r="G693" t="inlineStr">
        <is>
          <t>HAGFORS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58808-2022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46316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20652-2022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44700</v>
      </c>
      <c r="E695" s="1" t="n">
        <v>46316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39566-2026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46289</v>
      </c>
      <c r="E696" s="1" t="n">
        <v>46316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18170-2024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45420</v>
      </c>
      <c r="E697" s="1" t="n">
        <v>46316</v>
      </c>
      <c r="F697" t="inlineStr">
        <is>
          <t>VÄRMLANDS LÄN</t>
        </is>
      </c>
      <c r="G697" t="inlineStr">
        <is>
          <t>HAGFORS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58132-2024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45632</v>
      </c>
      <c r="E698" s="1" t="n">
        <v>46316</v>
      </c>
      <c r="F698" t="inlineStr">
        <is>
          <t>VÄRMLANDS LÄN</t>
        </is>
      </c>
      <c r="G698" t="inlineStr">
        <is>
          <t>HAGFORS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39345-2026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46288</v>
      </c>
      <c r="E699" s="1" t="n">
        <v>46316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39347-2026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46288</v>
      </c>
      <c r="E700" s="1" t="n">
        <v>46316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8.5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45679</v>
      </c>
      <c r="E701" s="1" t="n">
        <v>46316</v>
      </c>
      <c r="F701" t="inlineStr">
        <is>
          <t>VÄRMLANDS LÄN</t>
        </is>
      </c>
      <c r="G701" t="inlineStr">
        <is>
          <t>HAGFORS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39382-2026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46288</v>
      </c>
      <c r="E702" s="1" t="n">
        <v>46316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39532-2026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46289</v>
      </c>
      <c r="E703" s="1" t="n">
        <v>46316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39577-2026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46289</v>
      </c>
      <c r="E704" s="1" t="n">
        <v>46316</v>
      </c>
      <c r="F704" t="inlineStr">
        <is>
          <t>VÄRMLANDS LÄN</t>
        </is>
      </c>
      <c r="G704" t="inlineStr">
        <is>
          <t>HAGFORS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39605-2026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46289</v>
      </c>
      <c r="E705" s="1" t="n">
        <v>46316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33073-2026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46316</v>
      </c>
      <c r="F706" t="inlineStr">
        <is>
          <t>VÄRMLANDS LÄN</t>
        </is>
      </c>
      <c r="G706" t="inlineStr">
        <is>
          <t>HAGFORS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33635-2026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46248</v>
      </c>
      <c r="E707" s="1" t="n">
        <v>46316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14897-2024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45398</v>
      </c>
      <c r="E708" s="1" t="n">
        <v>46316</v>
      </c>
      <c r="F708" t="inlineStr">
        <is>
          <t>VÄRMLANDS LÄN</t>
        </is>
      </c>
      <c r="G708" t="inlineStr">
        <is>
          <t>HAGFORS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39706-2026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46316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46316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46316</v>
      </c>
      <c r="F711" t="inlineStr">
        <is>
          <t>VÄRMLANDS LÄN</t>
        </is>
      </c>
      <c r="G711" t="inlineStr">
        <is>
          <t>HAGFORS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46293</v>
      </c>
      <c r="E712" s="1" t="n">
        <v>46316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40163-2026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46316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39708-2026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46316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46316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46293</v>
      </c>
      <c r="E716" s="1" t="n">
        <v>46316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46316</v>
      </c>
      <c r="F717" t="inlineStr">
        <is>
          <t>VÄRMLANDS LÄN</t>
        </is>
      </c>
      <c r="G717" t="inlineStr">
        <is>
          <t>HAGFORS</t>
        </is>
      </c>
      <c r="I717" t="n">
        <v>6.4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40205-2026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46290</v>
      </c>
      <c r="E718" s="1" t="n">
        <v>46316</v>
      </c>
      <c r="F718" t="inlineStr">
        <is>
          <t>VÄRMLANDS LÄN</t>
        </is>
      </c>
      <c r="G718" t="inlineStr">
        <is>
          <t>HAGFORS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46316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39825-2026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46290</v>
      </c>
      <c r="E720" s="1" t="n">
        <v>46316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46293</v>
      </c>
      <c r="E722" s="1" t="n">
        <v>46316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33515-2026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46316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46293</v>
      </c>
      <c r="E724" s="1" t="n">
        <v>46316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40157-2026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46316</v>
      </c>
      <c r="F725" t="inlineStr">
        <is>
          <t>VÄRMLANDS LÄN</t>
        </is>
      </c>
      <c r="G725" t="inlineStr">
        <is>
          <t>HAGFORS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46248</v>
      </c>
      <c r="E726" s="1" t="n">
        <v>46316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39881-2026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46290</v>
      </c>
      <c r="E727" s="1" t="n">
        <v>46316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56808-2023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46316</v>
      </c>
      <c r="F728" t="inlineStr">
        <is>
          <t>VÄRMLANDS LÄN</t>
        </is>
      </c>
      <c r="G728" t="inlineStr">
        <is>
          <t>HAGFORS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5749-2022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44596</v>
      </c>
      <c r="E729" s="1" t="n">
        <v>46316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40207-2026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46290</v>
      </c>
      <c r="E730" s="1" t="n">
        <v>46316</v>
      </c>
      <c r="F730" t="inlineStr">
        <is>
          <t>VÄRMLANDS LÄN</t>
        </is>
      </c>
      <c r="G730" t="inlineStr">
        <is>
          <t>HAGFORS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46290</v>
      </c>
      <c r="E731" s="1" t="n">
        <v>46316</v>
      </c>
      <c r="F731" t="inlineStr">
        <is>
          <t>VÄRMLANDS LÄN</t>
        </is>
      </c>
      <c r="G731" t="inlineStr">
        <is>
          <t>HAGFORS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20060-2023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45054</v>
      </c>
      <c r="E732" s="1" t="n">
        <v>46316</v>
      </c>
      <c r="F732" t="inlineStr">
        <is>
          <t>VÄRMLANDS LÄN</t>
        </is>
      </c>
      <c r="G732" t="inlineStr">
        <is>
          <t>HAGFORS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49753-2023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45212</v>
      </c>
      <c r="E733" s="1" t="n">
        <v>46316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60991-2024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45645</v>
      </c>
      <c r="E734" s="1" t="n">
        <v>46316</v>
      </c>
      <c r="F734" t="inlineStr">
        <is>
          <t>VÄRMLANDS LÄN</t>
        </is>
      </c>
      <c r="G734" t="inlineStr">
        <is>
          <t>HAGFORS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56888-2023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45244</v>
      </c>
      <c r="E735" s="1" t="n">
        <v>46316</v>
      </c>
      <c r="F735" t="inlineStr">
        <is>
          <t>VÄRMLANDS LÄN</t>
        </is>
      </c>
      <c r="G735" t="inlineStr">
        <is>
          <t>HAGFORS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40436-2026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46294</v>
      </c>
      <c r="E736" s="1" t="n">
        <v>46316</v>
      </c>
      <c r="F736" t="inlineStr">
        <is>
          <t>VÄRMLANDS LÄN</t>
        </is>
      </c>
      <c r="G736" t="inlineStr">
        <is>
          <t>HAGFORS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8304-2022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44610</v>
      </c>
      <c r="E737" s="1" t="n">
        <v>46316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46316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46316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46316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34014-2026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46252</v>
      </c>
      <c r="E741" s="1" t="n">
        <v>46316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40547-2026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46295</v>
      </c>
      <c r="E742" s="1" t="n">
        <v>46316</v>
      </c>
      <c r="F742" t="inlineStr">
        <is>
          <t>VÄRMLANDS LÄN</t>
        </is>
      </c>
      <c r="G742" t="inlineStr">
        <is>
          <t>HAGFORS</t>
        </is>
      </c>
      <c r="H742" t="inlineStr">
        <is>
          <t>Kommuner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46295</v>
      </c>
      <c r="E743" s="1" t="n">
        <v>46316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40428-2026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46294</v>
      </c>
      <c r="E744" s="1" t="n">
        <v>46316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40440-2026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46316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40351-2026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46294</v>
      </c>
      <c r="E746" s="1" t="n">
        <v>46316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3557-2023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46316</v>
      </c>
      <c r="F747" t="inlineStr">
        <is>
          <t>VÄRMLANDS LÄN</t>
        </is>
      </c>
      <c r="G747" t="inlineStr">
        <is>
          <t>HAGFORS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44950</v>
      </c>
      <c r="E748" s="1" t="n">
        <v>46316</v>
      </c>
      <c r="F748" t="inlineStr">
        <is>
          <t>VÄRMLANDS LÄN</t>
        </is>
      </c>
      <c r="G748" t="inlineStr">
        <is>
          <t>HAGFORS</t>
        </is>
      </c>
      <c r="I748" t="n">
        <v>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46254</v>
      </c>
      <c r="E749" s="1" t="n">
        <v>46316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34399-2026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46316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15.8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33146-2024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45518</v>
      </c>
      <c r="E751" s="1" t="n">
        <v>46316</v>
      </c>
      <c r="F751" t="inlineStr">
        <is>
          <t>VÄRMLANDS LÄN</t>
        </is>
      </c>
      <c r="G751" t="inlineStr">
        <is>
          <t>HAGFORS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42223-2022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44830</v>
      </c>
      <c r="E752" s="1" t="n">
        <v>46316</v>
      </c>
      <c r="F752" t="inlineStr">
        <is>
          <t>VÄRMLANDS LÄN</t>
        </is>
      </c>
      <c r="G752" t="inlineStr">
        <is>
          <t>HAGFORS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46254</v>
      </c>
      <c r="E753" s="1" t="n">
        <v>46316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19125-2024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45428</v>
      </c>
      <c r="E754" s="1" t="n">
        <v>46316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19.5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46316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34552-2026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46255</v>
      </c>
      <c r="E756" s="1" t="n">
        <v>46316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41050-2026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46300</v>
      </c>
      <c r="E757" s="1" t="n">
        <v>46316</v>
      </c>
      <c r="F757" t="inlineStr">
        <is>
          <t>VÄRMLANDS LÄN</t>
        </is>
      </c>
      <c r="G757" t="inlineStr">
        <is>
          <t>HAGFORS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34797-2026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46258</v>
      </c>
      <c r="E758" s="1" t="n">
        <v>46316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11241-2024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45371</v>
      </c>
      <c r="E759" s="1" t="n">
        <v>46316</v>
      </c>
      <c r="F759" t="inlineStr">
        <is>
          <t>VÄRMLANDS LÄN</t>
        </is>
      </c>
      <c r="G759" t="inlineStr">
        <is>
          <t>HAGFORS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46316</v>
      </c>
      <c r="F760" t="inlineStr">
        <is>
          <t>VÄRMLANDS LÄN</t>
        </is>
      </c>
      <c r="G760" t="inlineStr">
        <is>
          <t>HAGFORS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18585-2025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45763</v>
      </c>
      <c r="E761" s="1" t="n">
        <v>46316</v>
      </c>
      <c r="F761" t="inlineStr">
        <is>
          <t>VÄRMLANDS LÄN</t>
        </is>
      </c>
      <c r="G761" t="inlineStr">
        <is>
          <t>HAGFORS</t>
        </is>
      </c>
      <c r="H761" t="inlineStr">
        <is>
          <t>Kyrkan</t>
        </is>
      </c>
      <c r="I761" t="n">
        <v>7.9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41119-2026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46316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47019-2023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45201</v>
      </c>
      <c r="E763" s="1" t="n">
        <v>46316</v>
      </c>
      <c r="F763" t="inlineStr">
        <is>
          <t>VÄRMLANDS LÄN</t>
        </is>
      </c>
      <c r="G763" t="inlineStr">
        <is>
          <t>HAGFORS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46316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46316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60664-2023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45259</v>
      </c>
      <c r="E766" s="1" t="n">
        <v>46316</v>
      </c>
      <c r="F766" t="inlineStr">
        <is>
          <t>VÄRMLANDS LÄN</t>
        </is>
      </c>
      <c r="G766" t="inlineStr">
        <is>
          <t>HAGFORS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35775-2024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45532</v>
      </c>
      <c r="E767" s="1" t="n">
        <v>46316</v>
      </c>
      <c r="F767" t="inlineStr">
        <is>
          <t>VÄRMLANDS LÄN</t>
        </is>
      </c>
      <c r="G767" t="inlineStr">
        <is>
          <t>HAGFORS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35184-2026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46260</v>
      </c>
      <c r="E768" s="1" t="n">
        <v>46316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45211</v>
      </c>
      <c r="E769" s="1" t="n">
        <v>46316</v>
      </c>
      <c r="F769" t="inlineStr">
        <is>
          <t>VÄRMLANDS LÄN</t>
        </is>
      </c>
      <c r="G769" t="inlineStr">
        <is>
          <t>HAGFORS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57359-2022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44896</v>
      </c>
      <c r="E770" s="1" t="n">
        <v>46316</v>
      </c>
      <c r="F770" t="inlineStr">
        <is>
          <t>VÄRMLANDS LÄN</t>
        </is>
      </c>
      <c r="G770" t="inlineStr">
        <is>
          <t>HAGFORS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41092-2024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45559</v>
      </c>
      <c r="E771" s="1" t="n">
        <v>46316</v>
      </c>
      <c r="F771" t="inlineStr">
        <is>
          <t>VÄRMLANDS LÄN</t>
        </is>
      </c>
      <c r="G771" t="inlineStr">
        <is>
          <t>HAGFORS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41581-2026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46301</v>
      </c>
      <c r="E772" s="1" t="n">
        <v>46316</v>
      </c>
      <c r="F772" t="inlineStr">
        <is>
          <t>VÄRMLANDS LÄN</t>
        </is>
      </c>
      <c r="G772" t="inlineStr">
        <is>
          <t>HAGFORS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35173-2026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46260</v>
      </c>
      <c r="E773" s="1" t="n">
        <v>46316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18.2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40176-2026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46290</v>
      </c>
      <c r="E774" s="1" t="n">
        <v>46316</v>
      </c>
      <c r="F774" t="inlineStr">
        <is>
          <t>VÄRMLANDS LÄN</t>
        </is>
      </c>
      <c r="G774" t="inlineStr">
        <is>
          <t>HAGFORS</t>
        </is>
      </c>
      <c r="I774" t="n">
        <v>14.3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35186-2026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46260</v>
      </c>
      <c r="E775" s="1" t="n">
        <v>46316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42263-2026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46307</v>
      </c>
      <c r="E776" s="1" t="n">
        <v>46316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42259-2026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46307</v>
      </c>
      <c r="E777" s="1" t="n">
        <v>46316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58084-2024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45632</v>
      </c>
      <c r="E778" s="1" t="n">
        <v>46316</v>
      </c>
      <c r="F778" t="inlineStr">
        <is>
          <t>VÄRMLANDS LÄN</t>
        </is>
      </c>
      <c r="G778" t="inlineStr">
        <is>
          <t>HAGFORS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19702-2022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44694</v>
      </c>
      <c r="E779" s="1" t="n">
        <v>46316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24.6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42329-2026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46307</v>
      </c>
      <c r="E780" s="1" t="n">
        <v>46316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35574-2026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46262</v>
      </c>
      <c r="E781" s="1" t="n">
        <v>46316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42279-2026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46307</v>
      </c>
      <c r="E782" s="1" t="n">
        <v>46316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46316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35386-2026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46316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22503-2024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45447</v>
      </c>
      <c r="E785" s="1" t="n">
        <v>46316</v>
      </c>
      <c r="F785" t="inlineStr">
        <is>
          <t>VÄRMLANDS LÄN</t>
        </is>
      </c>
      <c r="G785" t="inlineStr">
        <is>
          <t>HAGFORS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4279-2024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45324</v>
      </c>
      <c r="E786" s="1" t="n">
        <v>46316</v>
      </c>
      <c r="F786" t="inlineStr">
        <is>
          <t>VÄRMLANDS LÄN</t>
        </is>
      </c>
      <c r="G786" t="inlineStr">
        <is>
          <t>HAGFORS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920-2022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44571</v>
      </c>
      <c r="E787" s="1" t="n">
        <v>46316</v>
      </c>
      <c r="F787" t="inlineStr">
        <is>
          <t>VÄRMLANDS LÄN</t>
        </is>
      </c>
      <c r="G787" t="inlineStr">
        <is>
          <t>HAGFORS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42314-2026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46307</v>
      </c>
      <c r="E788" s="1" t="n">
        <v>46316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22332-2024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45446</v>
      </c>
      <c r="E789" s="1" t="n">
        <v>46316</v>
      </c>
      <c r="F789" t="inlineStr">
        <is>
          <t>VÄRMLANDS LÄN</t>
        </is>
      </c>
      <c r="G789" t="inlineStr">
        <is>
          <t>HAGFORS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42260-2026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46307</v>
      </c>
      <c r="E790" s="1" t="n">
        <v>46316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12426-2024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45379</v>
      </c>
      <c r="E791" s="1" t="n">
        <v>46316</v>
      </c>
      <c r="F791" t="inlineStr">
        <is>
          <t>VÄRMLANDS LÄN</t>
        </is>
      </c>
      <c r="G791" t="inlineStr">
        <is>
          <t>HAGFORS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42264-2026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46307</v>
      </c>
      <c r="E792" s="1" t="n">
        <v>46316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31.1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8922-2025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45713</v>
      </c>
      <c r="E793" s="1" t="n">
        <v>46316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35781-2026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46265</v>
      </c>
      <c r="E795" s="1" t="n">
        <v>46316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45758</v>
      </c>
      <c r="E796" s="1" t="n">
        <v>46316</v>
      </c>
      <c r="F796" t="inlineStr">
        <is>
          <t>VÄRMLANDS LÄN</t>
        </is>
      </c>
      <c r="G796" t="inlineStr">
        <is>
          <t>HAGFORS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42625-2026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46309</v>
      </c>
      <c r="E797" s="1" t="n">
        <v>46316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7332-2025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45703</v>
      </c>
      <c r="E798" s="1" t="n">
        <v>46316</v>
      </c>
      <c r="F798" t="inlineStr">
        <is>
          <t>VÄRMLANDS LÄN</t>
        </is>
      </c>
      <c r="G798" t="inlineStr">
        <is>
          <t>HAGFORS</t>
        </is>
      </c>
      <c r="H798" t="inlineStr">
        <is>
          <t>Kyrkan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17329-2024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45414</v>
      </c>
      <c r="E799" s="1" t="n">
        <v>46316</v>
      </c>
      <c r="F799" t="inlineStr">
        <is>
          <t>VÄRMLANDS LÄN</t>
        </is>
      </c>
      <c r="G799" t="inlineStr">
        <is>
          <t>HAGFORS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35749-2026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46265</v>
      </c>
      <c r="E800" s="1" t="n">
        <v>46316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45684</v>
      </c>
      <c r="E801" s="1" t="n">
        <v>46316</v>
      </c>
      <c r="F801" t="inlineStr">
        <is>
          <t>VÄRMLANDS LÄN</t>
        </is>
      </c>
      <c r="G801" t="inlineStr">
        <is>
          <t>HAGFORS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42737-2026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46309</v>
      </c>
      <c r="E802" s="1" t="n">
        <v>46316</v>
      </c>
      <c r="F802" t="inlineStr">
        <is>
          <t>VÄRMLANDS LÄN</t>
        </is>
      </c>
      <c r="G802" t="inlineStr">
        <is>
          <t>HAGFORS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52924-2023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45226</v>
      </c>
      <c r="E803" s="1" t="n">
        <v>46316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46309</v>
      </c>
      <c r="E804" s="1" t="n">
        <v>46316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42637-2026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46309</v>
      </c>
      <c r="E805" s="1" t="n">
        <v>46316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42776-2026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46309</v>
      </c>
      <c r="E806" s="1" t="n">
        <v>46316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36240-2026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46268</v>
      </c>
      <c r="E807" s="1" t="n">
        <v>46316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43029-2026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46311</v>
      </c>
      <c r="E808" s="1" t="n">
        <v>46316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45671</v>
      </c>
      <c r="E809" s="1" t="n">
        <v>46316</v>
      </c>
      <c r="F809" t="inlineStr">
        <is>
          <t>VÄRMLANDS LÄN</t>
        </is>
      </c>
      <c r="G809" t="inlineStr">
        <is>
          <t>HAGFORS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48276-2024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45590</v>
      </c>
      <c r="E810" s="1" t="n">
        <v>46316</v>
      </c>
      <c r="F810" t="inlineStr">
        <is>
          <t>VÄRMLANDS LÄN</t>
        </is>
      </c>
      <c r="G810" t="inlineStr">
        <is>
          <t>HAGFORS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54751-2022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44883</v>
      </c>
      <c r="E811" s="1" t="n">
        <v>46316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32149-2023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45107</v>
      </c>
      <c r="E812" s="1" t="n">
        <v>46316</v>
      </c>
      <c r="F812" t="inlineStr">
        <is>
          <t>VÄRMLANDS LÄN</t>
        </is>
      </c>
      <c r="G812" t="inlineStr">
        <is>
          <t>HAGFORS</t>
        </is>
      </c>
      <c r="I812" t="n">
        <v>9.1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36055-2026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46267</v>
      </c>
      <c r="E813" s="1" t="n">
        <v>46316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9.699999999999999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52494-2024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45609</v>
      </c>
      <c r="E814" s="1" t="n">
        <v>46316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45692</v>
      </c>
      <c r="E815" s="1" t="n">
        <v>46316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36110-2026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46267</v>
      </c>
      <c r="E816" s="1" t="n">
        <v>46316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10562-2024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45366</v>
      </c>
      <c r="E817" s="1" t="n">
        <v>46316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5482-2022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44595</v>
      </c>
      <c r="E818" s="1" t="n">
        <v>46316</v>
      </c>
      <c r="F818" t="inlineStr">
        <is>
          <t>VÄRMLANDS LÄN</t>
        </is>
      </c>
      <c r="G818" t="inlineStr">
        <is>
          <t>HAGFORS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36221-2026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46268</v>
      </c>
      <c r="E819" s="1" t="n">
        <v>46316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46268</v>
      </c>
      <c r="E820" s="1" t="n">
        <v>46316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7.6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60167-2023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45258</v>
      </c>
      <c r="E821" s="1" t="n">
        <v>46316</v>
      </c>
      <c r="F821" t="inlineStr">
        <is>
          <t>VÄRMLANDS LÄN</t>
        </is>
      </c>
      <c r="G821" t="inlineStr">
        <is>
          <t>HAGFORS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60178-2023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45258</v>
      </c>
      <c r="E822" s="1" t="n">
        <v>46316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46269</v>
      </c>
      <c r="E823" s="1" t="n">
        <v>46316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45328</v>
      </c>
      <c r="E824" s="1" t="n">
        <v>46316</v>
      </c>
      <c r="F824" t="inlineStr">
        <is>
          <t>VÄRMLANDS LÄN</t>
        </is>
      </c>
      <c r="G824" t="inlineStr">
        <is>
          <t>HAGFORS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46316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16525-2023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45029</v>
      </c>
      <c r="E826" s="1" t="n">
        <v>46316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41603-2023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45175</v>
      </c>
      <c r="E827" s="1" t="n">
        <v>46316</v>
      </c>
      <c r="F827" t="inlineStr">
        <is>
          <t>VÄRMLANDS LÄN</t>
        </is>
      </c>
      <c r="G827" t="inlineStr">
        <is>
          <t>HAGFORS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46316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4.4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36642-2026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46272</v>
      </c>
      <c r="E829" s="1" t="n">
        <v>46316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36721-2026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46272</v>
      </c>
      <c r="E830" s="1" t="n">
        <v>46316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36728-2026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46272</v>
      </c>
      <c r="E831" s="1" t="n">
        <v>46316</v>
      </c>
      <c r="F831" t="inlineStr">
        <is>
          <t>VÄRMLANDS LÄN</t>
        </is>
      </c>
      <c r="G831" t="inlineStr">
        <is>
          <t>HAGFORS</t>
        </is>
      </c>
      <c r="H831" t="inlineStr">
        <is>
          <t>Kyrkan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43030-2026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46311</v>
      </c>
      <c r="E832" s="1" t="n">
        <v>46316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43073-2026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46311</v>
      </c>
      <c r="E833" s="1" t="n">
        <v>46316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36446-2026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46269</v>
      </c>
      <c r="E834" s="1" t="n">
        <v>46316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36447-2026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46269</v>
      </c>
      <c r="E835" s="1" t="n">
        <v>46316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36676-2026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46272</v>
      </c>
      <c r="E836" s="1" t="n">
        <v>46316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11367-2025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45726</v>
      </c>
      <c r="E837" s="1" t="n">
        <v>46316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56895-2023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45244</v>
      </c>
      <c r="E838" s="1" t="n">
        <v>46316</v>
      </c>
      <c r="F838" t="inlineStr">
        <is>
          <t>VÄRMLANDS LÄN</t>
        </is>
      </c>
      <c r="G838" t="inlineStr">
        <is>
          <t>HAGFORS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45673</v>
      </c>
      <c r="E839" s="1" t="n">
        <v>46316</v>
      </c>
      <c r="F839" t="inlineStr">
        <is>
          <t>VÄRMLANDS LÄN</t>
        </is>
      </c>
      <c r="G839" t="inlineStr">
        <is>
          <t>HAGFORS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42150-2024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45562</v>
      </c>
      <c r="E840" s="1" t="n">
        <v>46316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40835-2023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45172</v>
      </c>
      <c r="E841" s="1" t="n">
        <v>46316</v>
      </c>
      <c r="F841" t="inlineStr">
        <is>
          <t>VÄRMLANDS LÄN</t>
        </is>
      </c>
      <c r="G841" t="inlineStr">
        <is>
          <t>HAGFORS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47028-2023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45201</v>
      </c>
      <c r="E842" s="1" t="n">
        <v>46316</v>
      </c>
      <c r="F842" t="inlineStr">
        <is>
          <t>VÄRMLANDS LÄN</t>
        </is>
      </c>
      <c r="G842" t="inlineStr">
        <is>
          <t>HAGFORS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30520-2024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45492</v>
      </c>
      <c r="E843" s="1" t="n">
        <v>46316</v>
      </c>
      <c r="F843" t="inlineStr">
        <is>
          <t>VÄRMLANDS LÄN</t>
        </is>
      </c>
      <c r="G843" t="inlineStr">
        <is>
          <t>HAGFORS</t>
        </is>
      </c>
      <c r="H843" t="inlineStr">
        <is>
          <t>Kyrkan</t>
        </is>
      </c>
      <c r="I843" t="n">
        <v>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33399-2024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45519</v>
      </c>
      <c r="E844" s="1" t="n">
        <v>46316</v>
      </c>
      <c r="F844" t="inlineStr">
        <is>
          <t>VÄRMLANDS LÄN</t>
        </is>
      </c>
      <c r="G844" t="inlineStr">
        <is>
          <t>HAGFORS</t>
        </is>
      </c>
      <c r="I844" t="n">
        <v>8.4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10236-2022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44622</v>
      </c>
      <c r="E845" s="1" t="n">
        <v>46316</v>
      </c>
      <c r="F845" t="inlineStr">
        <is>
          <t>VÄRMLANDS LÄN</t>
        </is>
      </c>
      <c r="G845" t="inlineStr">
        <is>
          <t>HAGFORS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46792-2022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44851</v>
      </c>
      <c r="E846" s="1" t="n">
        <v>46316</v>
      </c>
      <c r="F846" t="inlineStr">
        <is>
          <t>VÄRMLANDS LÄN</t>
        </is>
      </c>
      <c r="G846" t="inlineStr">
        <is>
          <t>HAGFORS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32033-2024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45510</v>
      </c>
      <c r="E847" s="1" t="n">
        <v>46316</v>
      </c>
      <c r="F847" t="inlineStr">
        <is>
          <t>VÄRMLANDS LÄN</t>
        </is>
      </c>
      <c r="G847" t="inlineStr">
        <is>
          <t>HAGFORS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54744-2024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45618</v>
      </c>
      <c r="E848" s="1" t="n">
        <v>46316</v>
      </c>
      <c r="F848" t="inlineStr">
        <is>
          <t>VÄRMLANDS LÄN</t>
        </is>
      </c>
      <c r="G848" t="inlineStr">
        <is>
          <t>HAGFORS</t>
        </is>
      </c>
      <c r="H848" t="inlineStr">
        <is>
          <t>Kyrkan</t>
        </is>
      </c>
      <c r="I848" t="n">
        <v>8.800000000000001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39640-2022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44817</v>
      </c>
      <c r="E849" s="1" t="n">
        <v>46316</v>
      </c>
      <c r="F849" t="inlineStr">
        <is>
          <t>VÄRMLANDS LÄN</t>
        </is>
      </c>
      <c r="G849" t="inlineStr">
        <is>
          <t>HAGFORS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1931-2024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45308</v>
      </c>
      <c r="E850" s="1" t="n">
        <v>46316</v>
      </c>
      <c r="F850" t="inlineStr">
        <is>
          <t>VÄRMLANDS LÄN</t>
        </is>
      </c>
      <c r="G850" t="inlineStr">
        <is>
          <t>HAGFORS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57159-2024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45629</v>
      </c>
      <c r="E851" s="1" t="n">
        <v>46316</v>
      </c>
      <c r="F851" t="inlineStr">
        <is>
          <t>VÄRMLANDS LÄN</t>
        </is>
      </c>
      <c r="G851" t="inlineStr">
        <is>
          <t>HAGFORS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34404-2023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45132</v>
      </c>
      <c r="E852" s="1" t="n">
        <v>46316</v>
      </c>
      <c r="F852" t="inlineStr">
        <is>
          <t>VÄRMLANDS LÄN</t>
        </is>
      </c>
      <c r="G852" t="inlineStr">
        <is>
          <t>HAGFORS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11160-2025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45723</v>
      </c>
      <c r="E853" s="1" t="n">
        <v>46316</v>
      </c>
      <c r="F853" t="inlineStr">
        <is>
          <t>VÄRMLANDS LÄN</t>
        </is>
      </c>
      <c r="G853" t="inlineStr">
        <is>
          <t>HAGFORS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43998-2024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45572</v>
      </c>
      <c r="E854" s="1" t="n">
        <v>46316</v>
      </c>
      <c r="F854" t="inlineStr">
        <is>
          <t>VÄRMLANDS LÄN</t>
        </is>
      </c>
      <c r="G854" t="inlineStr">
        <is>
          <t>HAGFORS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13282-2024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45386</v>
      </c>
      <c r="E855" s="1" t="n">
        <v>46316</v>
      </c>
      <c r="F855" t="inlineStr">
        <is>
          <t>VÄRMLANDS LÄN</t>
        </is>
      </c>
      <c r="G855" t="inlineStr">
        <is>
          <t>HAGFORS</t>
        </is>
      </c>
      <c r="H855" t="inlineStr">
        <is>
          <t>Kommuner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44728-2023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45190</v>
      </c>
      <c r="E856" s="1" t="n">
        <v>46316</v>
      </c>
      <c r="F856" t="inlineStr">
        <is>
          <t>VÄRMLANDS LÄN</t>
        </is>
      </c>
      <c r="G856" t="inlineStr">
        <is>
          <t>HAGFORS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42168-2024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45562</v>
      </c>
      <c r="E857" s="1" t="n">
        <v>46316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42170-2024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45562</v>
      </c>
      <c r="E858" s="1" t="n">
        <v>46316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42171-2024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45562</v>
      </c>
      <c r="E859" s="1" t="n">
        <v>46316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42243-2024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45562</v>
      </c>
      <c r="E860" s="1" t="n">
        <v>46316</v>
      </c>
      <c r="F860" t="inlineStr">
        <is>
          <t>VÄRMLANDS LÄN</t>
        </is>
      </c>
      <c r="G860" t="inlineStr">
        <is>
          <t>HAGFORS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6980-2022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44603</v>
      </c>
      <c r="E861" s="1" t="n">
        <v>46316</v>
      </c>
      <c r="F861" t="inlineStr">
        <is>
          <t>VÄRMLANDS LÄN</t>
        </is>
      </c>
      <c r="G861" t="inlineStr">
        <is>
          <t>HAGFORS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36013-2023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45149</v>
      </c>
      <c r="E862" s="1" t="n">
        <v>46316</v>
      </c>
      <c r="F862" t="inlineStr">
        <is>
          <t>VÄRMLANDS LÄN</t>
        </is>
      </c>
      <c r="G862" t="inlineStr">
        <is>
          <t>HAGFORS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61311-2023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45264</v>
      </c>
      <c r="E863" s="1" t="n">
        <v>46316</v>
      </c>
      <c r="F863" t="inlineStr">
        <is>
          <t>VÄRMLANDS LÄN</t>
        </is>
      </c>
      <c r="G863" t="inlineStr">
        <is>
          <t>HAGFORS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61315-2023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45264</v>
      </c>
      <c r="E864" s="1" t="n">
        <v>46316</v>
      </c>
      <c r="F864" t="inlineStr">
        <is>
          <t>VÄRMLANDS LÄN</t>
        </is>
      </c>
      <c r="G864" t="inlineStr">
        <is>
          <t>HAGFORS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18907-2025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45764</v>
      </c>
      <c r="E865" s="1" t="n">
        <v>46316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17305-2023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45035</v>
      </c>
      <c r="E866" s="1" t="n">
        <v>46316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31178-2022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44770</v>
      </c>
      <c r="E867" s="1" t="n">
        <v>46316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10.1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59552-2024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45638</v>
      </c>
      <c r="E868" s="1" t="n">
        <v>46316</v>
      </c>
      <c r="F868" t="inlineStr">
        <is>
          <t>VÄRMLANDS LÄN</t>
        </is>
      </c>
      <c r="G868" t="inlineStr">
        <is>
          <t>HAGFORS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21067-2025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45777</v>
      </c>
      <c r="E869" s="1" t="n">
        <v>46316</v>
      </c>
      <c r="F869" t="inlineStr">
        <is>
          <t>VÄRMLANDS LÄN</t>
        </is>
      </c>
      <c r="G869" t="inlineStr">
        <is>
          <t>HAGFORS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21723-2025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45783</v>
      </c>
      <c r="E870" s="1" t="n">
        <v>46316</v>
      </c>
      <c r="F870" t="inlineStr">
        <is>
          <t>VÄRMLANDS LÄN</t>
        </is>
      </c>
      <c r="G870" t="inlineStr">
        <is>
          <t>HAGFORS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24680-2024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45460</v>
      </c>
      <c r="E871" s="1" t="n">
        <v>46316</v>
      </c>
      <c r="F871" t="inlineStr">
        <is>
          <t>VÄRMLANDS LÄN</t>
        </is>
      </c>
      <c r="G871" t="inlineStr">
        <is>
          <t>HAGFORS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17833-2022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44683</v>
      </c>
      <c r="E872" s="1" t="n">
        <v>46316</v>
      </c>
      <c r="F872" t="inlineStr">
        <is>
          <t>VÄRMLANDS LÄN</t>
        </is>
      </c>
      <c r="G872" t="inlineStr">
        <is>
          <t>HAGFORS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47425-2024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45587</v>
      </c>
      <c r="E873" s="1" t="n">
        <v>46316</v>
      </c>
      <c r="F873" t="inlineStr">
        <is>
          <t>VÄRMLANDS LÄN</t>
        </is>
      </c>
      <c r="G873" t="inlineStr">
        <is>
          <t>HAGFORS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40332-2023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46316</v>
      </c>
      <c r="F874" t="inlineStr">
        <is>
          <t>VÄRMLANDS LÄN</t>
        </is>
      </c>
      <c r="G874" t="inlineStr">
        <is>
          <t>HAGFORS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22461-2025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45786</v>
      </c>
      <c r="E875" s="1" t="n">
        <v>46316</v>
      </c>
      <c r="F875" t="inlineStr">
        <is>
          <t>VÄRMLANDS LÄN</t>
        </is>
      </c>
      <c r="G875" t="inlineStr">
        <is>
          <t>HAGFORS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2225-2020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44127</v>
      </c>
      <c r="E876" s="1" t="n">
        <v>46316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2050-2022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44671</v>
      </c>
      <c r="E877" s="1" t="n">
        <v>46316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4419-2023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45266</v>
      </c>
      <c r="E878" s="1" t="n">
        <v>46316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35.6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46316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44.2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937-2022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44606</v>
      </c>
      <c r="E880" s="1" t="n">
        <v>46316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59.4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4426-2023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46316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9.699999999999999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5512-2022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44834</v>
      </c>
      <c r="E882" s="1" t="n">
        <v>46316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29.9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931-2022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46316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49.5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4415-2023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46316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9.199999999999999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262-2022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44578</v>
      </c>
      <c r="E885" s="1" t="n">
        <v>46316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78.90000000000001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6970-2022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44901</v>
      </c>
      <c r="E886" s="1" t="n">
        <v>46316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4408-2023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46316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6968-2022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46316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4423-2023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46316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4418-2023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46316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19.1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907-2022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44606</v>
      </c>
      <c r="E891" s="1" t="n">
        <v>46316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43.5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651-2024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45356</v>
      </c>
      <c r="E892" s="1" t="n">
        <v>46316</v>
      </c>
      <c r="F892" t="inlineStr">
        <is>
          <t>VÄRMLANDS LÄN</t>
        </is>
      </c>
      <c r="G892" t="inlineStr">
        <is>
          <t>HAGFORS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913-2022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44606</v>
      </c>
      <c r="E893" s="1" t="n">
        <v>46316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4145-2023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46316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6967-2022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46316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27.1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89-2025</t>
        </is>
      </c>
      <c r="B896" t="inlineStr">
        <is>
          <t>samrådsanmälan</t>
        </is>
      </c>
      <c r="C896" t="inlineStr">
        <is>
          <t>Åtgärd i nyckelbiotop</t>
        </is>
      </c>
      <c r="D896" s="1" t="n">
        <v>45316</v>
      </c>
      <c r="E896" s="1" t="n">
        <v>46316</v>
      </c>
      <c r="F896" t="inlineStr">
        <is>
          <t>VÄRMLANDS LÄN</t>
        </is>
      </c>
      <c r="G896" t="inlineStr">
        <is>
          <t>HAGFORS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6969-2022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44901</v>
      </c>
      <c r="E897" s="1" t="n">
        <v>46316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220-2025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45680</v>
      </c>
      <c r="E898" s="1" t="n">
        <v>46316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898-2022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44606</v>
      </c>
      <c r="E899" s="1" t="n">
        <v>46316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24.9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4150-2023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45247</v>
      </c>
      <c r="E900" s="1" t="n">
        <v>46316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34.4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4410-2023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45266</v>
      </c>
      <c r="E901" s="1" t="n">
        <v>46316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39.3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900-2022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44606</v>
      </c>
      <c r="E902" s="1" t="n">
        <v>46316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914-2022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44606</v>
      </c>
      <c r="E903" s="1" t="n">
        <v>46316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19.3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4409-2023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45266</v>
      </c>
      <c r="E904" s="1" t="n">
        <v>46316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24.9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4155-2023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45247</v>
      </c>
      <c r="E905" s="1" t="n">
        <v>46316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40.9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4140-2023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46316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36.5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6977-2022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44901</v>
      </c>
      <c r="E907" s="1" t="n">
        <v>46316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25.2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6973-2022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46316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30.1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4143-2023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45247</v>
      </c>
      <c r="E909" s="1" t="n">
        <v>46316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13.2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4407-2023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45266</v>
      </c>
      <c r="E910" s="1" t="n">
        <v>46316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6965-2022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44901</v>
      </c>
      <c r="E911" s="1" t="n">
        <v>46316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662-2025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45716</v>
      </c>
      <c r="E912" s="1" t="n">
        <v>46316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52.4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46037</v>
      </c>
      <c r="E913" s="1" t="n">
        <v>46316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204.4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102-2026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46036</v>
      </c>
      <c r="E914" s="1" t="n">
        <v>46316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57.9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46013</v>
      </c>
      <c r="E915" s="1" t="n">
        <v>46316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10.6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382-2025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45691</v>
      </c>
      <c r="E916" s="1" t="n">
        <v>46316</v>
      </c>
      <c r="F916" t="inlineStr">
        <is>
          <t>VÄRMLANDS LÄN</t>
        </is>
      </c>
      <c r="G916" t="inlineStr">
        <is>
          <t>HAGFORS</t>
        </is>
      </c>
      <c r="I916" t="n">
        <v>5.8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2026-10-21T02:01:36Z</dcterms:created>
  <dcterms:modified xmlns:dcterms="http://purl.org/dc/terms/" xmlns:xsi="http://www.w3.org/2001/XMLSchema-instance" xsi:type="dcterms:W3CDTF">2026-10-21T02:01:37Z</dcterms:modified>
</cp:coreProperties>
</file>