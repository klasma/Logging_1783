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46226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46226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46226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46226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46226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46226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46226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46226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46226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46226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46226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46226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46226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46226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46226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37152-2023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46226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Hökuggla</t>
        </is>
      </c>
      <c r="W32">
        <f>HYPERLINK("https://klasma.github.io/Logging_1783/artfynd/A 37152-2023 artfynd.xlsx", "A 37152-2023")</f>
        <v/>
      </c>
      <c r="X32">
        <f>HYPERLINK("https://klasma.github.io/Logging_1783/kartor/A 37152-2023 karta.png", "A 37152-2023")</f>
        <v/>
      </c>
      <c r="Y32">
        <f>HYPERLINK("https://klasma.github.io/Logging_1783/kartor_geotiff/A 37152-2023 georefererad karta.tif", "A 37152-2023")</f>
        <v/>
      </c>
      <c r="AA32">
        <f>HYPERLINK("https://klasma.github.io/Logging_1783/klagomål/A 37152-2023 FSC-klagomål.docx", "A 37152-2023")</f>
        <v/>
      </c>
      <c r="AB32">
        <f>HYPERLINK("https://klasma.github.io/Logging_1783/klagomålsmail/A 37152-2023 FSC-klagomål mail.docx", "A 37152-2023")</f>
        <v/>
      </c>
      <c r="AC32">
        <f>HYPERLINK("https://klasma.github.io/Logging_1783/tillsyn/A 37152-2023 tillsynsbegäran.docx", "A 37152-2023")</f>
        <v/>
      </c>
      <c r="AD32">
        <f>HYPERLINK("https://klasma.github.io/Logging_1783/tillsynsmail/A 37152-2023 tillsynsbegäran mail.docx", "A 37152-2023")</f>
        <v/>
      </c>
      <c r="AE32">
        <f>HYPERLINK("https://klasma.github.io/Logging_1783/fåglar/A 37152-2023 prioriterade fågelarter.docx", "A 37152-2023")</f>
        <v/>
      </c>
    </row>
    <row r="33" ht="15" customHeight="1">
      <c r="A33" t="inlineStr">
        <is>
          <t>A 8254-2026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46226</v>
      </c>
      <c r="F33" t="inlineStr">
        <is>
          <t>VÄRMLANDS LÄN</t>
        </is>
      </c>
      <c r="G33" t="inlineStr">
        <is>
          <t>HAGFORS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HYPERLINK("https://klasma.github.io/Logging_1783/artfynd/A 8254-2026 artfynd.xlsx", "A 8254-2026")</f>
        <v/>
      </c>
      <c r="X33">
        <f>HYPERLINK("https://klasma.github.io/Logging_1783/kartor/A 8254-2026 karta.png", "A 8254-2026")</f>
        <v/>
      </c>
      <c r="Y33">
        <f>HYPERLINK("https://klasma.github.io/Logging_1783/kartor_geotiff/A 8254-2026 georefererad karta.tif", "A 8254-2026")</f>
        <v/>
      </c>
      <c r="AA33">
        <f>HYPERLINK("https://klasma.github.io/Logging_1783/klagomål/A 8254-2026 FSC-klagomål.docx", "A 8254-2026")</f>
        <v/>
      </c>
      <c r="AB33">
        <f>HYPERLINK("https://klasma.github.io/Logging_1783/klagomålsmail/A 8254-2026 FSC-klagomål mail.docx", "A 8254-2026")</f>
        <v/>
      </c>
      <c r="AC33">
        <f>HYPERLINK("https://klasma.github.io/Logging_1783/tillsyn/A 8254-2026 tillsynsbegäran.docx", "A 8254-2026")</f>
        <v/>
      </c>
      <c r="AD33">
        <f>HYPERLINK("https://klasma.github.io/Logging_1783/tillsynsmail/A 8254-2026 tillsynsbegäran mail.docx", "A 8254-2026")</f>
        <v/>
      </c>
    </row>
    <row r="34" ht="15" customHeight="1">
      <c r="A34" t="inlineStr">
        <is>
          <t>A 12445-2026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46090</v>
      </c>
      <c r="E34" s="1" t="n">
        <v>46226</v>
      </c>
      <c r="F34" t="inlineStr">
        <is>
          <t>VÄRMLANDS LÄN</t>
        </is>
      </c>
      <c r="G34" t="inlineStr">
        <is>
          <t>HAGFORS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HYPERLINK("https://klasma.github.io/Logging_1783/artfynd/A 12445-2026 artfynd.xlsx", "A 12445-2026")</f>
        <v/>
      </c>
      <c r="X34">
        <f>HYPERLINK("https://klasma.github.io/Logging_1783/kartor/A 12445-2026 karta.png", "A 12445-2026")</f>
        <v/>
      </c>
      <c r="Y34">
        <f>HYPERLINK("https://klasma.github.io/Logging_1783/kartor_geotiff/A 12445-2026 georefererad karta.tif", "A 12445-2026")</f>
        <v/>
      </c>
      <c r="AA34">
        <f>HYPERLINK("https://klasma.github.io/Logging_1783/klagomål/A 12445-2026 FSC-klagomål.docx", "A 12445-2026")</f>
        <v/>
      </c>
      <c r="AB34">
        <f>HYPERLINK("https://klasma.github.io/Logging_1783/klagomålsmail/A 12445-2026 FSC-klagomål mail.docx", "A 12445-2026")</f>
        <v/>
      </c>
      <c r="AC34">
        <f>HYPERLINK("https://klasma.github.io/Logging_1783/tillsyn/A 12445-2026 tillsynsbegäran.docx", "A 12445-2026")</f>
        <v/>
      </c>
      <c r="AD34">
        <f>HYPERLINK("https://klasma.github.io/Logging_1783/tillsynsmail/A 12445-2026 tillsynsbegäran mail.docx", "A 12445-2026")</f>
        <v/>
      </c>
      <c r="AE34">
        <f>HYPERLINK("https://klasma.github.io/Logging_1783/fåglar/A 12445-2026 prioriterade fågelarter.docx", "A 12445-2026")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51194-2022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46226</v>
      </c>
      <c r="F36" t="inlineStr">
        <is>
          <t>VÄRMLANDS LÄN</t>
        </is>
      </c>
      <c r="G36" t="inlineStr">
        <is>
          <t>HAGFORS</t>
        </is>
      </c>
      <c r="I36" t="n">
        <v>1.6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Garnlav</t>
        </is>
      </c>
      <c r="W36">
        <f>HYPERLINK("https://klasma.github.io/Logging_1783/artfynd/A 51194-2022 artfynd.xlsx", "A 51194-2022")</f>
        <v/>
      </c>
      <c r="X36">
        <f>HYPERLINK("https://klasma.github.io/Logging_1783/kartor/A 51194-2022 karta.png", "A 51194-2022")</f>
        <v/>
      </c>
      <c r="Y36">
        <f>HYPERLINK("https://klasma.github.io/Logging_1783/kartor_geotiff/A 51194-2022 georefererad karta.tif", "A 51194-2022")</f>
        <v/>
      </c>
      <c r="AA36">
        <f>HYPERLINK("https://klasma.github.io/Logging_1783/klagomål/A 51194-2022 FSC-klagomål.docx", "A 51194-2022")</f>
        <v/>
      </c>
      <c r="AB36">
        <f>HYPERLINK("https://klasma.github.io/Logging_1783/klagomålsmail/A 51194-2022 FSC-klagomål mail.docx", "A 51194-2022")</f>
        <v/>
      </c>
      <c r="AC36">
        <f>HYPERLINK("https://klasma.github.io/Logging_1783/tillsyn/A 51194-2022 tillsynsbegäran.docx", "A 51194-2022")</f>
        <v/>
      </c>
      <c r="AD36">
        <f>HYPERLINK("https://klasma.github.io/Logging_1783/tillsynsmail/A 51194-2022 tillsynsbegäran mail.docx", "A 51194-2022")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46226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19362-2026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46133</v>
      </c>
      <c r="E38" s="1" t="n">
        <v>46226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8.5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19362-2026 artfynd.xlsx", "A 19362-2026")</f>
        <v/>
      </c>
      <c r="X38">
        <f>HYPERLINK("https://klasma.github.io/Logging_1783/kartor/A 19362-2026 karta.png", "A 19362-2026")</f>
        <v/>
      </c>
      <c r="Y38">
        <f>HYPERLINK("https://klasma.github.io/Logging_1783/kartor_geotiff/A 19362-2026 georefererad karta.tif", "A 19362-2026")</f>
        <v/>
      </c>
      <c r="AA38">
        <f>HYPERLINK("https://klasma.github.io/Logging_1783/klagomål/A 19362-2026 FSC-klagomål.docx", "A 19362-2026")</f>
        <v/>
      </c>
      <c r="AB38">
        <f>HYPERLINK("https://klasma.github.io/Logging_1783/klagomålsmail/A 19362-2026 FSC-klagomål mail.docx", "A 19362-2026")</f>
        <v/>
      </c>
      <c r="AC38">
        <f>HYPERLINK("https://klasma.github.io/Logging_1783/tillsyn/A 19362-2026 tillsynsbegäran.docx", "A 19362-2026")</f>
        <v/>
      </c>
      <c r="AD38">
        <f>HYPERLINK("https://klasma.github.io/Logging_1783/tillsynsmail/A 19362-2026 tillsynsbegäran mail.docx", "A 19362-2026")</f>
        <v/>
      </c>
    </row>
    <row r="39" ht="15" customHeight="1">
      <c r="A39" t="inlineStr">
        <is>
          <t>A 44095-2023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46226</v>
      </c>
      <c r="F39" t="inlineStr">
        <is>
          <t>VÄRMLANDS LÄN</t>
        </is>
      </c>
      <c r="G39" t="inlineStr">
        <is>
          <t>HAGFORS</t>
        </is>
      </c>
      <c r="I39" t="n">
        <v>3.6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44095-2023 artfynd.xlsx", "A 44095-2023")</f>
        <v/>
      </c>
      <c r="X39">
        <f>HYPERLINK("https://klasma.github.io/Logging_1783/kartor/A 44095-2023 karta.png", "A 44095-2023")</f>
        <v/>
      </c>
      <c r="Y39">
        <f>HYPERLINK("https://klasma.github.io/Logging_1783/kartor_geotiff/A 44095-2023 georefererad karta.tif", "A 44095-2023")</f>
        <v/>
      </c>
      <c r="AA39">
        <f>HYPERLINK("https://klasma.github.io/Logging_1783/klagomål/A 44095-2023 FSC-klagomål.docx", "A 44095-2023")</f>
        <v/>
      </c>
      <c r="AB39">
        <f>HYPERLINK("https://klasma.github.io/Logging_1783/klagomålsmail/A 44095-2023 FSC-klagomål mail.docx", "A 44095-2023")</f>
        <v/>
      </c>
      <c r="AC39">
        <f>HYPERLINK("https://klasma.github.io/Logging_1783/tillsyn/A 44095-2023 tillsynsbegäran.docx", "A 44095-2023")</f>
        <v/>
      </c>
      <c r="AD39">
        <f>HYPERLINK("https://klasma.github.io/Logging_1783/tillsynsmail/A 44095-2023 tillsynsbegäran mail.docx", "A 44095-2023")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46226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54700-2025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45966</v>
      </c>
      <c r="E41" s="1" t="n">
        <v>46226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6.6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HYPERLINK("https://klasma.github.io/Logging_1783/artfynd/A 54700-2025 artfynd.xlsx", "A 54700-2025")</f>
        <v/>
      </c>
      <c r="X41">
        <f>HYPERLINK("https://klasma.github.io/Logging_1783/kartor/A 54700-2025 karta.png", "A 54700-2025")</f>
        <v/>
      </c>
      <c r="Y41">
        <f>HYPERLINK("https://klasma.github.io/Logging_1783/kartor_geotiff/A 54700-2025 georefererad karta.tif", "A 54700-2025")</f>
        <v/>
      </c>
      <c r="AA41">
        <f>HYPERLINK("https://klasma.github.io/Logging_1783/klagomål/A 54700-2025 FSC-klagomål.docx", "A 54700-2025")</f>
        <v/>
      </c>
      <c r="AB41">
        <f>HYPERLINK("https://klasma.github.io/Logging_1783/klagomålsmail/A 54700-2025 FSC-klagomål mail.docx", "A 54700-2025")</f>
        <v/>
      </c>
      <c r="AC41">
        <f>HYPERLINK("https://klasma.github.io/Logging_1783/tillsyn/A 54700-2025 tillsynsbegäran.docx", "A 54700-2025")</f>
        <v/>
      </c>
      <c r="AD41">
        <f>HYPERLINK("https://klasma.github.io/Logging_1783/tillsynsmail/A 54700-2025 tillsynsbegäran mail.docx", "A 54700-2025")</f>
        <v/>
      </c>
      <c r="AE41">
        <f>HYPERLINK("https://klasma.github.io/Logging_1783/fåglar/A 54700-2025 prioriterade fågelarter.docx", "A 54700-2025")</f>
        <v/>
      </c>
    </row>
    <row r="42" ht="15" customHeight="1">
      <c r="A42" t="inlineStr">
        <is>
          <t>A 55484-2025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46226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HYPERLINK("https://klasma.github.io/Logging_1783/artfynd/A 55484-2025 artfynd.xlsx", "A 55484-2025")</f>
        <v/>
      </c>
      <c r="X42">
        <f>HYPERLINK("https://klasma.github.io/Logging_1783/kartor/A 55484-2025 karta.png", "A 55484-2025")</f>
        <v/>
      </c>
      <c r="Y42">
        <f>HYPERLINK("https://klasma.github.io/Logging_1783/kartor_geotiff/A 55484-2025 georefererad karta.tif", "A 55484-2025")</f>
        <v/>
      </c>
      <c r="AA42">
        <f>HYPERLINK("https://klasma.github.io/Logging_1783/klagomål/A 55484-2025 FSC-klagomål.docx", "A 55484-2025")</f>
        <v/>
      </c>
      <c r="AB42">
        <f>HYPERLINK("https://klasma.github.io/Logging_1783/klagomålsmail/A 55484-2025 FSC-klagomål mail.docx", "A 55484-2025")</f>
        <v/>
      </c>
      <c r="AC42">
        <f>HYPERLINK("https://klasma.github.io/Logging_1783/tillsyn/A 55484-2025 tillsynsbegäran.docx", "A 55484-2025")</f>
        <v/>
      </c>
      <c r="AD42">
        <f>HYPERLINK("https://klasma.github.io/Logging_1783/tillsynsmail/A 55484-2025 tillsynsbegäran mail.docx", "A 55484-2025")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46226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20119-2025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HYPERLINK("https://klasma.github.io/Logging_1783/artfynd/A 20119-2025 artfynd.xlsx", "A 20119-2025")</f>
        <v/>
      </c>
      <c r="X44">
        <f>HYPERLINK("https://klasma.github.io/Logging_1783/kartor/A 20119-2025 karta.png", "A 20119-2025")</f>
        <v/>
      </c>
      <c r="Y44">
        <f>HYPERLINK("https://klasma.github.io/Logging_1783/kartor_geotiff/A 20119-2025 georefererad karta.tif", "A 20119-2025")</f>
        <v/>
      </c>
      <c r="AA44">
        <f>HYPERLINK("https://klasma.github.io/Logging_1783/klagomål/A 20119-2025 FSC-klagomål.docx", "A 20119-2025")</f>
        <v/>
      </c>
      <c r="AB44">
        <f>HYPERLINK("https://klasma.github.io/Logging_1783/klagomålsmail/A 20119-2025 FSC-klagomål mail.docx", "A 20119-2025")</f>
        <v/>
      </c>
      <c r="AC44">
        <f>HYPERLINK("https://klasma.github.io/Logging_1783/tillsyn/A 20119-2025 tillsynsbegäran.docx", "A 20119-2025")</f>
        <v/>
      </c>
      <c r="AD44">
        <f>HYPERLINK("https://klasma.github.io/Logging_1783/tillsynsmail/A 20119-2025 tillsynsbegäran mail.docx", "A 20119-2025")</f>
        <v/>
      </c>
      <c r="AE44">
        <f>HYPERLINK("https://klasma.github.io/Logging_1783/fåglar/A 20119-2025 prioriterade fågelarter.docx", "A 20119-2025")</f>
        <v/>
      </c>
    </row>
    <row r="45" ht="15" customHeight="1">
      <c r="A45" t="inlineStr">
        <is>
          <t>A 34158-2025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45845</v>
      </c>
      <c r="E45" s="1" t="n">
        <v>46226</v>
      </c>
      <c r="F45" t="inlineStr">
        <is>
          <t>VÄRMLANDS LÄN</t>
        </is>
      </c>
      <c r="G45" t="inlineStr">
        <is>
          <t>HAGFORS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Korallblylav</t>
        </is>
      </c>
      <c r="W45">
        <f>HYPERLINK("https://klasma.github.io/Logging_1783/artfynd/A 34158-2025 artfynd.xlsx", "A 34158-2025")</f>
        <v/>
      </c>
      <c r="X45">
        <f>HYPERLINK("https://klasma.github.io/Logging_1783/kartor/A 34158-2025 karta.png", "A 34158-2025")</f>
        <v/>
      </c>
      <c r="Y45">
        <f>HYPERLINK("https://klasma.github.io/Logging_1783/kartor_geotiff/A 34158-2025 georefererad karta.tif", "A 34158-2025")</f>
        <v/>
      </c>
      <c r="AA45">
        <f>HYPERLINK("https://klasma.github.io/Logging_1783/klagomål/A 34158-2025 FSC-klagomål.docx", "A 34158-2025")</f>
        <v/>
      </c>
      <c r="AB45">
        <f>HYPERLINK("https://klasma.github.io/Logging_1783/klagomålsmail/A 34158-2025 FSC-klagomål mail.docx", "A 34158-2025")</f>
        <v/>
      </c>
      <c r="AC45">
        <f>HYPERLINK("https://klasma.github.io/Logging_1783/tillsyn/A 34158-2025 tillsynsbegäran.docx", "A 34158-2025")</f>
        <v/>
      </c>
      <c r="AD45">
        <f>HYPERLINK("https://klasma.github.io/Logging_1783/tillsynsmail/A 34158-2025 tillsynsbegäran mail.docx", "A 34158-2025")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46226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62954-2025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46226</v>
      </c>
      <c r="F47" t="inlineStr">
        <is>
          <t>VÄRMLANDS LÄN</t>
        </is>
      </c>
      <c r="G47" t="inlineStr">
        <is>
          <t>HAGFORS</t>
        </is>
      </c>
      <c r="I47" t="n">
        <v>9.1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Kråka</t>
        </is>
      </c>
      <c r="W47">
        <f>HYPERLINK("https://klasma.github.io/Logging_1783/artfynd/A 62954-2025 artfynd.xlsx", "A 62954-2025")</f>
        <v/>
      </c>
      <c r="X47">
        <f>HYPERLINK("https://klasma.github.io/Logging_1783/kartor/A 62954-2025 karta.png", "A 62954-2025")</f>
        <v/>
      </c>
      <c r="Y47">
        <f>HYPERLINK("https://klasma.github.io/Logging_1783/kartor_geotiff/A 62954-2025 georefererad karta.tif", "A 62954-2025")</f>
        <v/>
      </c>
      <c r="AA47">
        <f>HYPERLINK("https://klasma.github.io/Logging_1783/klagomål/A 62954-2025 FSC-klagomål.docx", "A 62954-2025")</f>
        <v/>
      </c>
      <c r="AB47">
        <f>HYPERLINK("https://klasma.github.io/Logging_1783/klagomålsmail/A 62954-2025 FSC-klagomål mail.docx", "A 62954-2025")</f>
        <v/>
      </c>
      <c r="AC47">
        <f>HYPERLINK("https://klasma.github.io/Logging_1783/tillsyn/A 62954-2025 tillsynsbegäran.docx", "A 62954-2025")</f>
        <v/>
      </c>
      <c r="AD47">
        <f>HYPERLINK("https://klasma.github.io/Logging_1783/tillsynsmail/A 62954-2025 tillsynsbegäran mail.docx", "A 62954-2025")</f>
        <v/>
      </c>
    </row>
    <row r="48" ht="15" customHeight="1">
      <c r="A48" t="inlineStr">
        <is>
          <t>A 29432-2026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46226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Vedtrappmossa</t>
        </is>
      </c>
      <c r="W48">
        <f>HYPERLINK("https://klasma.github.io/Logging_1783/artfynd/A 29432-2026 artfynd.xlsx", "A 29432-2026")</f>
        <v/>
      </c>
      <c r="X48">
        <f>HYPERLINK("https://klasma.github.io/Logging_1783/kartor/A 29432-2026 karta.png", "A 29432-2026")</f>
        <v/>
      </c>
      <c r="Y48">
        <f>HYPERLINK("https://klasma.github.io/Logging_1783/kartor_geotiff/A 29432-2026 georefererad karta.tif", "A 29432-2026")</f>
        <v/>
      </c>
      <c r="AA48">
        <f>HYPERLINK("https://klasma.github.io/Logging_1783/klagomål/A 29432-2026 FSC-klagomål.docx", "A 29432-2026")</f>
        <v/>
      </c>
      <c r="AB48">
        <f>HYPERLINK("https://klasma.github.io/Logging_1783/klagomålsmail/A 29432-2026 FSC-klagomål mail.docx", "A 29432-2026")</f>
        <v/>
      </c>
      <c r="AC48">
        <f>HYPERLINK("https://klasma.github.io/Logging_1783/tillsyn/A 29432-2026 tillsynsbegäran.docx", "A 29432-2026")</f>
        <v/>
      </c>
      <c r="AD48">
        <f>HYPERLINK("https://klasma.github.io/Logging_1783/tillsynsmail/A 29432-2026 tillsynsbegäran mail.docx", "A 29432-2026")</f>
        <v/>
      </c>
    </row>
    <row r="49" ht="15" customHeight="1">
      <c r="A49" t="inlineStr">
        <is>
          <t>A 24659-2026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46226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24659-2026 artfynd.xlsx", "A 24659-2026")</f>
        <v/>
      </c>
      <c r="X49">
        <f>HYPERLINK("https://klasma.github.io/Logging_1783/kartor/A 24659-2026 karta.png", "A 24659-2026")</f>
        <v/>
      </c>
      <c r="Y49">
        <f>HYPERLINK("https://klasma.github.io/Logging_1783/kartor_geotiff/A 24659-2026 georefererad karta.tif", "A 24659-2026")</f>
        <v/>
      </c>
      <c r="AA49">
        <f>HYPERLINK("https://klasma.github.io/Logging_1783/klagomål/A 24659-2026 FSC-klagomål.docx", "A 24659-2026")</f>
        <v/>
      </c>
      <c r="AB49">
        <f>HYPERLINK("https://klasma.github.io/Logging_1783/klagomålsmail/A 24659-2026 FSC-klagomål mail.docx", "A 24659-2026")</f>
        <v/>
      </c>
      <c r="AC49">
        <f>HYPERLINK("https://klasma.github.io/Logging_1783/tillsyn/A 24659-2026 tillsynsbegäran.docx", "A 24659-2026")</f>
        <v/>
      </c>
      <c r="AD49">
        <f>HYPERLINK("https://klasma.github.io/Logging_1783/tillsynsmail/A 24659-2026 tillsynsbegäran mail.docx", "A 24659-2026")</f>
        <v/>
      </c>
    </row>
    <row r="50" ht="15" customHeight="1">
      <c r="A50" t="inlineStr">
        <is>
          <t>A 24716-2026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46226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24716-2026 artfynd.xlsx", "A 24716-2026")</f>
        <v/>
      </c>
      <c r="X50">
        <f>HYPERLINK("https://klasma.github.io/Logging_1783/kartor/A 24716-2026 karta.png", "A 24716-2026")</f>
        <v/>
      </c>
      <c r="Y50">
        <f>HYPERLINK("https://klasma.github.io/Logging_1783/kartor_geotiff/A 24716-2026 georefererad karta.tif", "A 24716-2026")</f>
        <v/>
      </c>
      <c r="AA50">
        <f>HYPERLINK("https://klasma.github.io/Logging_1783/klagomål/A 24716-2026 FSC-klagomål.docx", "A 24716-2026")</f>
        <v/>
      </c>
      <c r="AB50">
        <f>HYPERLINK("https://klasma.github.io/Logging_1783/klagomålsmail/A 24716-2026 FSC-klagomål mail.docx", "A 24716-2026")</f>
        <v/>
      </c>
      <c r="AC50">
        <f>HYPERLINK("https://klasma.github.io/Logging_1783/tillsyn/A 24716-2026 tillsynsbegäran.docx", "A 24716-2026")</f>
        <v/>
      </c>
      <c r="AD50">
        <f>HYPERLINK("https://klasma.github.io/Logging_1783/tillsynsmail/A 24716-2026 tillsynsbegäran mail.docx", "A 24716-2026")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46226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46226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38267-2024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46226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HYPERLINK("https://klasma.github.io/Logging_1783/artfynd/A 38267-2024 artfynd.xlsx", "A 38267-2024")</f>
        <v/>
      </c>
      <c r="X53">
        <f>HYPERLINK("https://klasma.github.io/Logging_1783/kartor/A 38267-2024 karta.png", "A 38267-2024")</f>
        <v/>
      </c>
      <c r="Y53">
        <f>HYPERLINK("https://klasma.github.io/Logging_1783/kartor_geotiff/A 38267-2024 georefererad karta.tif", "A 38267-2024")</f>
        <v/>
      </c>
      <c r="AA53">
        <f>HYPERLINK("https://klasma.github.io/Logging_1783/klagomål/A 38267-2024 FSC-klagomål.docx", "A 38267-2024")</f>
        <v/>
      </c>
      <c r="AB53">
        <f>HYPERLINK("https://klasma.github.io/Logging_1783/klagomålsmail/A 38267-2024 FSC-klagomål mail.docx", "A 38267-2024")</f>
        <v/>
      </c>
      <c r="AC53">
        <f>HYPERLINK("https://klasma.github.io/Logging_1783/tillsyn/A 38267-2024 tillsynsbegäran.docx", "A 38267-2024")</f>
        <v/>
      </c>
      <c r="AD53">
        <f>HYPERLINK("https://klasma.github.io/Logging_1783/tillsynsmail/A 38267-2024 tillsynsbegäran mail.docx", "A 38267-2024")</f>
        <v/>
      </c>
    </row>
    <row r="54" ht="15" customHeight="1">
      <c r="A54" t="inlineStr">
        <is>
          <t>A 56083-2022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46226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HYPERLINK("https://klasma.github.io/Logging_1783/artfynd/A 56083-2022 artfynd.xlsx", "A 56083-2022")</f>
        <v/>
      </c>
      <c r="X54">
        <f>HYPERLINK("https://klasma.github.io/Logging_1783/kartor/A 56083-2022 karta.png", "A 56083-2022")</f>
        <v/>
      </c>
      <c r="Y54">
        <f>HYPERLINK("https://klasma.github.io/Logging_1783/kartor_geotiff/A 56083-2022 georefererad karta.tif", "A 56083-2022")</f>
        <v/>
      </c>
      <c r="AA54">
        <f>HYPERLINK("https://klasma.github.io/Logging_1783/klagomål/A 56083-2022 FSC-klagomål.docx", "A 56083-2022")</f>
        <v/>
      </c>
      <c r="AB54">
        <f>HYPERLINK("https://klasma.github.io/Logging_1783/klagomålsmail/A 56083-2022 FSC-klagomål mail.docx", "A 56083-2022")</f>
        <v/>
      </c>
      <c r="AC54">
        <f>HYPERLINK("https://klasma.github.io/Logging_1783/tillsyn/A 56083-2022 tillsynsbegäran.docx", "A 56083-2022")</f>
        <v/>
      </c>
      <c r="AD54">
        <f>HYPERLINK("https://klasma.github.io/Logging_1783/tillsynsmail/A 56083-2022 tillsynsbegäran mail.docx", "A 56083-2022")</f>
        <v/>
      </c>
    </row>
    <row r="55" ht="15" customHeight="1">
      <c r="A55" t="inlineStr">
        <is>
          <t>A 42446-2024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45565</v>
      </c>
      <c r="E55" s="1" t="n">
        <v>46226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Strutbräken</t>
        </is>
      </c>
      <c r="W55">
        <f>HYPERLINK("https://klasma.github.io/Logging_1783/artfynd/A 42446-2024 artfynd.xlsx", "A 42446-2024")</f>
        <v/>
      </c>
      <c r="X55">
        <f>HYPERLINK("https://klasma.github.io/Logging_1783/kartor/A 42446-2024 karta.png", "A 42446-2024")</f>
        <v/>
      </c>
      <c r="Y55">
        <f>HYPERLINK("https://klasma.github.io/Logging_1783/kartor_geotiff/A 42446-2024 georefererad karta.tif", "A 42446-2024")</f>
        <v/>
      </c>
      <c r="AA55">
        <f>HYPERLINK("https://klasma.github.io/Logging_1783/klagomål/A 42446-2024 FSC-klagomål.docx", "A 42446-2024")</f>
        <v/>
      </c>
      <c r="AB55">
        <f>HYPERLINK("https://klasma.github.io/Logging_1783/klagomålsmail/A 42446-2024 FSC-klagomål mail.docx", "A 42446-2024")</f>
        <v/>
      </c>
      <c r="AC55">
        <f>HYPERLINK("https://klasma.github.io/Logging_1783/tillsyn/A 42446-2024 tillsynsbegäran.docx", "A 42446-2024")</f>
        <v/>
      </c>
      <c r="AD55">
        <f>HYPERLINK("https://klasma.github.io/Logging_1783/tillsynsmail/A 42446-2024 tillsynsbegäran mail.docx", "A 42446-2024")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46226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22484-2025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46226</v>
      </c>
      <c r="F57" t="inlineStr">
        <is>
          <t>VÄRMLANDS LÄN</t>
        </is>
      </c>
      <c r="G57" t="inlineStr">
        <is>
          <t>HAGFORS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HYPERLINK("https://klasma.github.io/Logging_1783/artfynd/A 22484-2025 artfynd.xlsx", "A 22484-2025")</f>
        <v/>
      </c>
      <c r="X57">
        <f>HYPERLINK("https://klasma.github.io/Logging_1783/kartor/A 22484-2025 karta.png", "A 22484-2025")</f>
        <v/>
      </c>
      <c r="Y57">
        <f>HYPERLINK("https://klasma.github.io/Logging_1783/kartor_geotiff/A 22484-2025 georefererad karta.tif", "A 22484-2025")</f>
        <v/>
      </c>
      <c r="AA57">
        <f>HYPERLINK("https://klasma.github.io/Logging_1783/klagomål/A 22484-2025 FSC-klagomål.docx", "A 22484-2025")</f>
        <v/>
      </c>
      <c r="AB57">
        <f>HYPERLINK("https://klasma.github.io/Logging_1783/klagomålsmail/A 22484-2025 FSC-klagomål mail.docx", "A 22484-2025")</f>
        <v/>
      </c>
      <c r="AC57">
        <f>HYPERLINK("https://klasma.github.io/Logging_1783/tillsyn/A 22484-2025 tillsynsbegäran.docx", "A 22484-2025")</f>
        <v/>
      </c>
      <c r="AD57">
        <f>HYPERLINK("https://klasma.github.io/Logging_1783/tillsynsmail/A 22484-2025 tillsynsbegäran mail.docx", "A 22484-2025")</f>
        <v/>
      </c>
    </row>
    <row r="58" ht="15" customHeight="1">
      <c r="A58" t="inlineStr">
        <is>
          <t>A 24885-2025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Mörk husmossa</t>
        </is>
      </c>
      <c r="W58">
        <f>HYPERLINK("https://klasma.github.io/Logging_1783/artfynd/A 24885-2025 artfynd.xlsx", "A 24885-2025")</f>
        <v/>
      </c>
      <c r="X58">
        <f>HYPERLINK("https://klasma.github.io/Logging_1783/kartor/A 24885-2025 karta.png", "A 24885-2025")</f>
        <v/>
      </c>
      <c r="Y58">
        <f>HYPERLINK("https://klasma.github.io/Logging_1783/kartor_geotiff/A 24885-2025 georefererad karta.tif", "A 24885-2025")</f>
        <v/>
      </c>
      <c r="AA58">
        <f>HYPERLINK("https://klasma.github.io/Logging_1783/klagomål/A 24885-2025 FSC-klagomål.docx", "A 24885-2025")</f>
        <v/>
      </c>
      <c r="AB58">
        <f>HYPERLINK("https://klasma.github.io/Logging_1783/klagomålsmail/A 24885-2025 FSC-klagomål mail.docx", "A 24885-2025")</f>
        <v/>
      </c>
      <c r="AC58">
        <f>HYPERLINK("https://klasma.github.io/Logging_1783/tillsyn/A 24885-2025 tillsynsbegäran.docx", "A 24885-2025")</f>
        <v/>
      </c>
      <c r="AD58">
        <f>HYPERLINK("https://klasma.github.io/Logging_1783/tillsynsmail/A 24885-2025 tillsynsbegäran mail.docx", "A 24885-2025")</f>
        <v/>
      </c>
    </row>
    <row r="59" ht="15" customHeight="1">
      <c r="A59" t="inlineStr">
        <is>
          <t>A 26624-2025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45810</v>
      </c>
      <c r="E59" s="1" t="n">
        <v>46226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HYPERLINK("https://klasma.github.io/Logging_1783/artfynd/A 26624-2025 artfynd.xlsx", "A 26624-2025")</f>
        <v/>
      </c>
      <c r="X59">
        <f>HYPERLINK("https://klasma.github.io/Logging_1783/kartor/A 26624-2025 karta.png", "A 26624-2025")</f>
        <v/>
      </c>
      <c r="Y59">
        <f>HYPERLINK("https://klasma.github.io/Logging_1783/kartor_geotiff/A 26624-2025 georefererad karta.tif", "A 26624-2025")</f>
        <v/>
      </c>
      <c r="AA59">
        <f>HYPERLINK("https://klasma.github.io/Logging_1783/klagomål/A 26624-2025 FSC-klagomål.docx", "A 26624-2025")</f>
        <v/>
      </c>
      <c r="AB59">
        <f>HYPERLINK("https://klasma.github.io/Logging_1783/klagomålsmail/A 26624-2025 FSC-klagomål mail.docx", "A 26624-2025")</f>
        <v/>
      </c>
      <c r="AC59">
        <f>HYPERLINK("https://klasma.github.io/Logging_1783/tillsyn/A 26624-2025 tillsynsbegäran.docx", "A 26624-2025")</f>
        <v/>
      </c>
      <c r="AD59">
        <f>HYPERLINK("https://klasma.github.io/Logging_1783/tillsynsmail/A 26624-2025 tillsynsbegäran mail.docx", "A 26624-2025")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46226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46226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46226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46226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46226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46226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46226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46226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46226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46226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46226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46226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46226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46226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46226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46226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46226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46226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46226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46226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46226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46226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46226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46226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46226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46226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46226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46226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46226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46226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46226</v>
      </c>
      <c r="F101" t="inlineStr">
        <is>
          <t>VÄRMLANDS LÄN</t>
        </is>
      </c>
      <c r="G101" t="inlineStr">
        <is>
          <t>HAGFORS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44582</v>
      </c>
      <c r="E102" s="1" t="n">
        <v>46226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46226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46226</v>
      </c>
      <c r="F104" t="inlineStr">
        <is>
          <t>VÄRMLANDS LÄN</t>
        </is>
      </c>
      <c r="G104" t="inlineStr">
        <is>
          <t>HAGFORS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46226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46226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46226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46226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46226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46226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46226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46226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46226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46226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46226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46226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46226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46226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46226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46226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46226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46226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61232-2024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45645</v>
      </c>
      <c r="E124" s="1" t="n">
        <v>46226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46226</v>
      </c>
      <c r="F125" t="inlineStr">
        <is>
          <t>VÄRMLANDS LÄN</t>
        </is>
      </c>
      <c r="G125" t="inlineStr">
        <is>
          <t>HAGFORS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46226</v>
      </c>
      <c r="F126" t="inlineStr">
        <is>
          <t>VÄRMLANDS LÄN</t>
        </is>
      </c>
      <c r="G126" t="inlineStr">
        <is>
          <t>HAGFORS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46226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45489</v>
      </c>
      <c r="E128" s="1" t="n">
        <v>46226</v>
      </c>
      <c r="F128" t="inlineStr">
        <is>
          <t>VÄRMLANDS LÄN</t>
        </is>
      </c>
      <c r="G128" t="inlineStr">
        <is>
          <t>HAGFORS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44839</v>
      </c>
      <c r="E129" s="1" t="n">
        <v>46226</v>
      </c>
      <c r="F129" t="inlineStr">
        <is>
          <t>VÄRMLANDS LÄN</t>
        </is>
      </c>
      <c r="G129" t="inlineStr">
        <is>
          <t>HAGFORS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46226</v>
      </c>
      <c r="F130" t="inlineStr">
        <is>
          <t>VÄRMLANDS LÄN</t>
        </is>
      </c>
      <c r="G130" t="inlineStr">
        <is>
          <t>HAGFORS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45152</v>
      </c>
      <c r="E131" s="1" t="n">
        <v>46226</v>
      </c>
      <c r="F131" t="inlineStr">
        <is>
          <t>VÄRMLANDS LÄN</t>
        </is>
      </c>
      <c r="G131" t="inlineStr">
        <is>
          <t>HAGFORS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46226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46226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46226</v>
      </c>
      <c r="F134" t="inlineStr">
        <is>
          <t>VÄRMLANDS LÄN</t>
        </is>
      </c>
      <c r="G134" t="inlineStr">
        <is>
          <t>HAGFORS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46226</v>
      </c>
      <c r="F135" t="inlineStr">
        <is>
          <t>VÄRMLANDS LÄN</t>
        </is>
      </c>
      <c r="G135" t="inlineStr">
        <is>
          <t>HAGFORS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45621</v>
      </c>
      <c r="E136" s="1" t="n">
        <v>46226</v>
      </c>
      <c r="F136" t="inlineStr">
        <is>
          <t>VÄRMLANDS LÄN</t>
        </is>
      </c>
      <c r="G136" t="inlineStr">
        <is>
          <t>HAGFORS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46226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44434</v>
      </c>
      <c r="E138" s="1" t="n">
        <v>46226</v>
      </c>
      <c r="F138" t="inlineStr">
        <is>
          <t>VÄRMLANDS LÄN</t>
        </is>
      </c>
      <c r="G138" t="inlineStr">
        <is>
          <t>HAGFORS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45218-2021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44439</v>
      </c>
      <c r="E139" s="1" t="n">
        <v>46226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49.5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46226</v>
      </c>
      <c r="F140" t="inlineStr">
        <is>
          <t>VÄRMLANDS LÄN</t>
        </is>
      </c>
      <c r="G140" t="inlineStr">
        <is>
          <t>HAGFORS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46226</v>
      </c>
      <c r="F141" t="inlineStr">
        <is>
          <t>VÄRMLANDS LÄN</t>
        </is>
      </c>
      <c r="G141" t="inlineStr">
        <is>
          <t>HAGFORS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46226</v>
      </c>
      <c r="F142" t="inlineStr">
        <is>
          <t>VÄRMLANDS LÄN</t>
        </is>
      </c>
      <c r="G142" t="inlineStr">
        <is>
          <t>HAGFORS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46226</v>
      </c>
      <c r="F143" t="inlineStr">
        <is>
          <t>VÄRMLANDS LÄN</t>
        </is>
      </c>
      <c r="G143" t="inlineStr">
        <is>
          <t>HAGFORS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58210-2022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44901</v>
      </c>
      <c r="E144" s="1" t="n">
        <v>46226</v>
      </c>
      <c r="F144" t="inlineStr">
        <is>
          <t>VÄRMLANDS LÄN</t>
        </is>
      </c>
      <c r="G144" t="inlineStr">
        <is>
          <t>HAGFORS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46226</v>
      </c>
      <c r="F145" t="inlineStr">
        <is>
          <t>VÄRMLANDS LÄN</t>
        </is>
      </c>
      <c r="G145" t="inlineStr">
        <is>
          <t>HAGFORS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45419</v>
      </c>
      <c r="E146" s="1" t="n">
        <v>46226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46226</v>
      </c>
      <c r="F147" t="inlineStr">
        <is>
          <t>VÄRMLANDS LÄN</t>
        </is>
      </c>
      <c r="G147" t="inlineStr">
        <is>
          <t>HAGFORS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46226</v>
      </c>
      <c r="F148" t="inlineStr">
        <is>
          <t>VÄRMLANDS LÄN</t>
        </is>
      </c>
      <c r="G148" t="inlineStr">
        <is>
          <t>HAGFORS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60221-2023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45258</v>
      </c>
      <c r="E149" s="1" t="n">
        <v>46226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46226</v>
      </c>
      <c r="F150" t="inlineStr">
        <is>
          <t>VÄRMLANDS LÄN</t>
        </is>
      </c>
      <c r="G150" t="inlineStr">
        <is>
          <t>HAGFORS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44834</v>
      </c>
      <c r="E151" s="1" t="n">
        <v>46226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46226</v>
      </c>
      <c r="F152" t="inlineStr">
        <is>
          <t>VÄRMLANDS LÄN</t>
        </is>
      </c>
      <c r="G152" t="inlineStr">
        <is>
          <t>HAGFORS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46226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46226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46226</v>
      </c>
      <c r="F155" t="inlineStr">
        <is>
          <t>VÄRMLANDS LÄN</t>
        </is>
      </c>
      <c r="G155" t="inlineStr">
        <is>
          <t>HAGFORS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46226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46226</v>
      </c>
      <c r="F157" t="inlineStr">
        <is>
          <t>VÄRMLANDS LÄN</t>
        </is>
      </c>
      <c r="G157" t="inlineStr">
        <is>
          <t>HAGFORS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46226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46226</v>
      </c>
      <c r="F159" t="inlineStr">
        <is>
          <t>VÄRMLANDS LÄN</t>
        </is>
      </c>
      <c r="G159" t="inlineStr">
        <is>
          <t>HAGFORS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70712-2021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46226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46226</v>
      </c>
      <c r="F161" t="inlineStr">
        <is>
          <t>VÄRMLANDS LÄN</t>
        </is>
      </c>
      <c r="G161" t="inlineStr">
        <is>
          <t>HAGFORS</t>
        </is>
      </c>
      <c r="H161" t="inlineStr">
        <is>
          <t>Kommuner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44770</v>
      </c>
      <c r="E162" s="1" t="n">
        <v>46226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45653</v>
      </c>
      <c r="E163" s="1" t="n">
        <v>46226</v>
      </c>
      <c r="F163" t="inlineStr">
        <is>
          <t>VÄRMLANDS LÄN</t>
        </is>
      </c>
      <c r="G163" t="inlineStr">
        <is>
          <t>HAGFORS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45055</v>
      </c>
      <c r="E164" s="1" t="n">
        <v>46226</v>
      </c>
      <c r="F164" t="inlineStr">
        <is>
          <t>VÄRMLANDS LÄN</t>
        </is>
      </c>
      <c r="G164" t="inlineStr">
        <is>
          <t>HAGFORS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46226</v>
      </c>
      <c r="F165" t="inlineStr">
        <is>
          <t>VÄRMLANDS LÄN</t>
        </is>
      </c>
      <c r="G165" t="inlineStr">
        <is>
          <t>HAGFORS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46226</v>
      </c>
      <c r="F166" t="inlineStr">
        <is>
          <t>VÄRMLANDS LÄN</t>
        </is>
      </c>
      <c r="G166" t="inlineStr">
        <is>
          <t>HAGFORS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46226</v>
      </c>
      <c r="F167" t="inlineStr">
        <is>
          <t>VÄRMLANDS LÄN</t>
        </is>
      </c>
      <c r="G167" t="inlineStr">
        <is>
          <t>HAGFORS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46226</v>
      </c>
      <c r="F168" t="inlineStr">
        <is>
          <t>VÄRMLANDS LÄN</t>
        </is>
      </c>
      <c r="G168" t="inlineStr">
        <is>
          <t>HAGFORS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45461</v>
      </c>
      <c r="E169" s="1" t="n">
        <v>46226</v>
      </c>
      <c r="F169" t="inlineStr">
        <is>
          <t>VÄRMLANDS LÄN</t>
        </is>
      </c>
      <c r="G169" t="inlineStr">
        <is>
          <t>HAGFORS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61140-2023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45261</v>
      </c>
      <c r="E170" s="1" t="n">
        <v>46226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46226</v>
      </c>
      <c r="F171" t="inlineStr">
        <is>
          <t>VÄRMLANDS LÄN</t>
        </is>
      </c>
      <c r="G171" t="inlineStr">
        <is>
          <t>HAGFORS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46226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45475</v>
      </c>
      <c r="E173" s="1" t="n">
        <v>46226</v>
      </c>
      <c r="F173" t="inlineStr">
        <is>
          <t>VÄRMLANDS LÄN</t>
        </is>
      </c>
      <c r="G173" t="inlineStr">
        <is>
          <t>HAGFORS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45443</v>
      </c>
      <c r="E174" s="1" t="n">
        <v>46226</v>
      </c>
      <c r="F174" t="inlineStr">
        <is>
          <t>VÄRMLANDS LÄN</t>
        </is>
      </c>
      <c r="G174" t="inlineStr">
        <is>
          <t>HAGFORS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46226</v>
      </c>
      <c r="F175" t="inlineStr">
        <is>
          <t>VÄRMLANDS LÄN</t>
        </is>
      </c>
      <c r="G175" t="inlineStr">
        <is>
          <t>HAGFORS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46226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46057</v>
      </c>
      <c r="E177" s="1" t="n">
        <v>46226</v>
      </c>
      <c r="F177" t="inlineStr">
        <is>
          <t>VÄRMLANDS LÄN</t>
        </is>
      </c>
      <c r="G177" t="inlineStr">
        <is>
          <t>HAGFORS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46226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46226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46226</v>
      </c>
      <c r="F180" t="inlineStr">
        <is>
          <t>VÄRMLANDS LÄN</t>
        </is>
      </c>
      <c r="G180" t="inlineStr">
        <is>
          <t>HAGFORS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46226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46226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46226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46226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46226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46226</v>
      </c>
      <c r="F186" t="inlineStr">
        <is>
          <t>VÄRMLANDS LÄN</t>
        </is>
      </c>
      <c r="G186" t="inlineStr">
        <is>
          <t>HAGFORS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46226</v>
      </c>
      <c r="F187" t="inlineStr">
        <is>
          <t>VÄRMLANDS LÄN</t>
        </is>
      </c>
      <c r="G187" t="inlineStr">
        <is>
          <t>HAGFORS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57379-2022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44896</v>
      </c>
      <c r="E188" s="1" t="n">
        <v>46226</v>
      </c>
      <c r="F188" t="inlineStr">
        <is>
          <t>VÄRMLANDS LÄN</t>
        </is>
      </c>
      <c r="G188" t="inlineStr">
        <is>
          <t>HAGFORS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46065</v>
      </c>
      <c r="E189" s="1" t="n">
        <v>46226</v>
      </c>
      <c r="F189" t="inlineStr">
        <is>
          <t>VÄRMLANDS LÄN</t>
        </is>
      </c>
      <c r="G189" t="inlineStr">
        <is>
          <t>HAGFORS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46226</v>
      </c>
      <c r="F190" t="inlineStr">
        <is>
          <t>VÄRMLANDS LÄN</t>
        </is>
      </c>
      <c r="G190" t="inlineStr">
        <is>
          <t>HAGFORS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46226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46226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52224-2023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45224</v>
      </c>
      <c r="E193" s="1" t="n">
        <v>46226</v>
      </c>
      <c r="F193" t="inlineStr">
        <is>
          <t>VÄRMLANDS LÄN</t>
        </is>
      </c>
      <c r="G193" t="inlineStr">
        <is>
          <t>HAGFORS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46226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46226</v>
      </c>
      <c r="F195" t="inlineStr">
        <is>
          <t>VÄRMLANDS LÄN</t>
        </is>
      </c>
      <c r="G195" t="inlineStr">
        <is>
          <t>HAGFORS</t>
        </is>
      </c>
      <c r="H195" t="inlineStr">
        <is>
          <t>Kyrkan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46226</v>
      </c>
      <c r="F196" t="inlineStr">
        <is>
          <t>VÄRMLANDS LÄN</t>
        </is>
      </c>
      <c r="G196" t="inlineStr">
        <is>
          <t>HAGFORS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46072</v>
      </c>
      <c r="E197" s="1" t="n">
        <v>46226</v>
      </c>
      <c r="F197" t="inlineStr">
        <is>
          <t>VÄRMLANDS LÄN</t>
        </is>
      </c>
      <c r="G197" t="inlineStr">
        <is>
          <t>HAGFORS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46072</v>
      </c>
      <c r="E198" s="1" t="n">
        <v>46226</v>
      </c>
      <c r="F198" t="inlineStr">
        <is>
          <t>VÄRMLANDS LÄN</t>
        </is>
      </c>
      <c r="G198" t="inlineStr">
        <is>
          <t>HAGFORS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46226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46226</v>
      </c>
      <c r="F200" t="inlineStr">
        <is>
          <t>VÄRMLANDS LÄN</t>
        </is>
      </c>
      <c r="G200" t="inlineStr">
        <is>
          <t>HAGFORS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46226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46226</v>
      </c>
      <c r="F202" t="inlineStr">
        <is>
          <t>VÄRMLANDS LÄN</t>
        </is>
      </c>
      <c r="G202" t="inlineStr">
        <is>
          <t>HAGFORS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46226</v>
      </c>
      <c r="F203" t="inlineStr">
        <is>
          <t>VÄRMLANDS LÄN</t>
        </is>
      </c>
      <c r="G203" t="inlineStr">
        <is>
          <t>HAGFORS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46226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46226</v>
      </c>
      <c r="F205" t="inlineStr">
        <is>
          <t>VÄRMLANDS LÄN</t>
        </is>
      </c>
      <c r="G205" t="inlineStr">
        <is>
          <t>HAGFORS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46226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45433</v>
      </c>
      <c r="E207" s="1" t="n">
        <v>46226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46226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46226</v>
      </c>
      <c r="F209" t="inlineStr">
        <is>
          <t>VÄRMLANDS LÄN</t>
        </is>
      </c>
      <c r="G209" t="inlineStr">
        <is>
          <t>HAGFORS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46226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46226</v>
      </c>
      <c r="F211" t="inlineStr">
        <is>
          <t>VÄRMLANDS LÄN</t>
        </is>
      </c>
      <c r="G211" t="inlineStr">
        <is>
          <t>HAGFORS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46226</v>
      </c>
      <c r="F212" t="inlineStr">
        <is>
          <t>VÄRMLANDS LÄN</t>
        </is>
      </c>
      <c r="G212" t="inlineStr">
        <is>
          <t>HAGFORS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46226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41739-2025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45902</v>
      </c>
      <c r="E214" s="1" t="n">
        <v>46226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46226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46226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46226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46226</v>
      </c>
      <c r="F218" t="inlineStr">
        <is>
          <t>VÄRMLANDS LÄN</t>
        </is>
      </c>
      <c r="G218" t="inlineStr">
        <is>
          <t>HAGFORS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46226</v>
      </c>
      <c r="F219" t="inlineStr">
        <is>
          <t>VÄRMLANDS LÄN</t>
        </is>
      </c>
      <c r="G219" t="inlineStr">
        <is>
          <t>HAGFORS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46226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46226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46226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46226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45005</v>
      </c>
      <c r="E224" s="1" t="n">
        <v>46226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46226</v>
      </c>
      <c r="F225" t="inlineStr">
        <is>
          <t>VÄRMLANDS LÄN</t>
        </is>
      </c>
      <c r="G225" t="inlineStr">
        <is>
          <t>HAGFORS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46226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19.2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44790</v>
      </c>
      <c r="E227" s="1" t="n">
        <v>46226</v>
      </c>
      <c r="F227" t="inlineStr">
        <is>
          <t>VÄRMLANDS LÄN</t>
        </is>
      </c>
      <c r="G227" t="inlineStr">
        <is>
          <t>HAGFORS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46226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44776</v>
      </c>
      <c r="E229" s="1" t="n">
        <v>46226</v>
      </c>
      <c r="F229" t="inlineStr">
        <is>
          <t>VÄRMLANDS LÄN</t>
        </is>
      </c>
      <c r="G229" t="inlineStr">
        <is>
          <t>HAGFORS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46226</v>
      </c>
      <c r="F230" t="inlineStr">
        <is>
          <t>VÄRMLANDS LÄN</t>
        </is>
      </c>
      <c r="G230" t="inlineStr">
        <is>
          <t>HAGFORS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46226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46226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46226</v>
      </c>
      <c r="F233" t="inlineStr">
        <is>
          <t>VÄRMLANDS LÄN</t>
        </is>
      </c>
      <c r="G233" t="inlineStr">
        <is>
          <t>HAGFORS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46226</v>
      </c>
      <c r="F234" t="inlineStr">
        <is>
          <t>VÄRMLANDS LÄN</t>
        </is>
      </c>
      <c r="G234" t="inlineStr">
        <is>
          <t>HAGFORS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59092-2022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46226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46226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46226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46226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46226</v>
      </c>
      <c r="F239" t="inlineStr">
        <is>
          <t>VÄRMLANDS LÄN</t>
        </is>
      </c>
      <c r="G239" t="inlineStr">
        <is>
          <t>HAGFORS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46226</v>
      </c>
      <c r="F240" t="inlineStr">
        <is>
          <t>VÄRMLANDS LÄN</t>
        </is>
      </c>
      <c r="G240" t="inlineStr">
        <is>
          <t>HAGFORS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46226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46226</v>
      </c>
      <c r="F242" t="inlineStr">
        <is>
          <t>VÄRMLANDS LÄN</t>
        </is>
      </c>
      <c r="G242" t="inlineStr">
        <is>
          <t>HAGFORS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46098</v>
      </c>
      <c r="E243" s="1" t="n">
        <v>46226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46226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15.9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46226</v>
      </c>
      <c r="F245" t="inlineStr">
        <is>
          <t>VÄRMLANDS LÄN</t>
        </is>
      </c>
      <c r="G245" t="inlineStr">
        <is>
          <t>HAGFORS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46226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46226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46099</v>
      </c>
      <c r="E248" s="1" t="n">
        <v>46226</v>
      </c>
      <c r="F248" t="inlineStr">
        <is>
          <t>VÄRMLANDS LÄN</t>
        </is>
      </c>
      <c r="G248" t="inlineStr">
        <is>
          <t>HAGFORS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46226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46226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46226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46226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46226</v>
      </c>
      <c r="F253" t="inlineStr">
        <is>
          <t>VÄRMLANDS LÄN</t>
        </is>
      </c>
      <c r="G253" t="inlineStr">
        <is>
          <t>HAGFORS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46226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46101</v>
      </c>
      <c r="E255" s="1" t="n">
        <v>46226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46226</v>
      </c>
      <c r="F256" t="inlineStr">
        <is>
          <t>VÄRMLANDS LÄN</t>
        </is>
      </c>
      <c r="G256" t="inlineStr">
        <is>
          <t>HAGFORS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46226</v>
      </c>
      <c r="F257" t="inlineStr">
        <is>
          <t>VÄRMLANDS LÄN</t>
        </is>
      </c>
      <c r="G257" t="inlineStr">
        <is>
          <t>HAGFORS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46226</v>
      </c>
      <c r="F258" t="inlineStr">
        <is>
          <t>VÄRMLANDS LÄN</t>
        </is>
      </c>
      <c r="G258" t="inlineStr">
        <is>
          <t>HAGFORS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46226</v>
      </c>
      <c r="F259" t="inlineStr">
        <is>
          <t>VÄRMLANDS LÄN</t>
        </is>
      </c>
      <c r="G259" t="inlineStr">
        <is>
          <t>HAGFORS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46226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46226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46226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46226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46226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46226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46226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46226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46226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11104-2022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44628</v>
      </c>
      <c r="E269" s="1" t="n">
        <v>46226</v>
      </c>
      <c r="F269" t="inlineStr">
        <is>
          <t>VÄRMLANDS LÄN</t>
        </is>
      </c>
      <c r="G269" t="inlineStr">
        <is>
          <t>HAGFORS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46226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46226</v>
      </c>
      <c r="F271" t="inlineStr">
        <is>
          <t>VÄRMLANDS LÄN</t>
        </is>
      </c>
      <c r="G271" t="inlineStr">
        <is>
          <t>HAGFORS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46226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46226</v>
      </c>
      <c r="F273" t="inlineStr">
        <is>
          <t>VÄRMLANDS LÄN</t>
        </is>
      </c>
      <c r="G273" t="inlineStr">
        <is>
          <t>HAGFORS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45033</v>
      </c>
      <c r="E274" s="1" t="n">
        <v>46226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46226</v>
      </c>
      <c r="F275" t="inlineStr">
        <is>
          <t>VÄRMLANDS LÄN</t>
        </is>
      </c>
      <c r="G275" t="inlineStr">
        <is>
          <t>HAGFORS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46226</v>
      </c>
      <c r="F276" t="inlineStr">
        <is>
          <t>VÄRMLANDS LÄN</t>
        </is>
      </c>
      <c r="G276" t="inlineStr">
        <is>
          <t>HAGFORS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45928</v>
      </c>
      <c r="E277" s="1" t="n">
        <v>46226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46226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46226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46226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46226</v>
      </c>
      <c r="F281" t="inlineStr">
        <is>
          <t>VÄRMLANDS LÄN</t>
        </is>
      </c>
      <c r="G281" t="inlineStr">
        <is>
          <t>HAGFORS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45927</v>
      </c>
      <c r="E282" s="1" t="n">
        <v>46226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46226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46108</v>
      </c>
      <c r="E284" s="1" t="n">
        <v>46226</v>
      </c>
      <c r="F284" t="inlineStr">
        <is>
          <t>VÄRMLANDS LÄN</t>
        </is>
      </c>
      <c r="G284" t="inlineStr">
        <is>
          <t>HAGFORS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46226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46226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46226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46226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46226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45932</v>
      </c>
      <c r="E290" s="1" t="n">
        <v>46226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46226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46226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46226</v>
      </c>
      <c r="F293" t="inlineStr">
        <is>
          <t>VÄRMLANDS LÄN</t>
        </is>
      </c>
      <c r="G293" t="inlineStr">
        <is>
          <t>HAGFORS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46226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46226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46226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32235-2025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46226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46226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46226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46226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46226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56466-2024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46226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46226</v>
      </c>
      <c r="F303" t="inlineStr">
        <is>
          <t>VÄRMLANDS LÄN</t>
        </is>
      </c>
      <c r="G303" t="inlineStr">
        <is>
          <t>HAGFORS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46226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46226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46226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17778-2026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46226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46226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46226</v>
      </c>
      <c r="F309" t="inlineStr">
        <is>
          <t>VÄRMLANDS LÄN</t>
        </is>
      </c>
      <c r="G309" t="inlineStr">
        <is>
          <t>HAGFORS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44757</v>
      </c>
      <c r="E310" s="1" t="n">
        <v>46226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46226</v>
      </c>
      <c r="F311" t="inlineStr">
        <is>
          <t>VÄRMLANDS LÄN</t>
        </is>
      </c>
      <c r="G311" t="inlineStr">
        <is>
          <t>HAGFORS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46226</v>
      </c>
      <c r="F312" t="inlineStr">
        <is>
          <t>VÄRMLANDS LÄN</t>
        </is>
      </c>
      <c r="G312" t="inlineStr">
        <is>
          <t>HAGFORS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46226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46226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45947</v>
      </c>
      <c r="E315" s="1" t="n">
        <v>46226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46129</v>
      </c>
      <c r="E316" s="1" t="n">
        <v>46226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46226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46226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46226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46226</v>
      </c>
      <c r="F320" t="inlineStr">
        <is>
          <t>VÄRMLANDS LÄN</t>
        </is>
      </c>
      <c r="G320" t="inlineStr">
        <is>
          <t>HAGFORS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18797-2026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46226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46226</v>
      </c>
      <c r="F322" t="inlineStr">
        <is>
          <t>VÄRMLANDS LÄN</t>
        </is>
      </c>
      <c r="G322" t="inlineStr">
        <is>
          <t>HAGFORS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46226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46226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45949</v>
      </c>
      <c r="E325" s="1" t="n">
        <v>46226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44687</v>
      </c>
      <c r="E326" s="1" t="n">
        <v>46226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46226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46133</v>
      </c>
      <c r="E328" s="1" t="n">
        <v>46226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46226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46226</v>
      </c>
      <c r="F330" t="inlineStr">
        <is>
          <t>VÄRMLANDS LÄN</t>
        </is>
      </c>
      <c r="G330" t="inlineStr">
        <is>
          <t>HAGFORS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46226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46226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45841</v>
      </c>
      <c r="E333" s="1" t="n">
        <v>46226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46226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45390</v>
      </c>
      <c r="E335" s="1" t="n">
        <v>46226</v>
      </c>
      <c r="F335" t="inlineStr">
        <is>
          <t>VÄRMLANDS LÄN</t>
        </is>
      </c>
      <c r="G335" t="inlineStr">
        <is>
          <t>HAGFORS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46226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46226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46226</v>
      </c>
      <c r="F338" t="inlineStr">
        <is>
          <t>VÄRMLANDS LÄN</t>
        </is>
      </c>
      <c r="G338" t="inlineStr">
        <is>
          <t>HAGFORS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33440-2025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45841</v>
      </c>
      <c r="E339" s="1" t="n">
        <v>46226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35065-2023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46226</v>
      </c>
      <c r="F340" t="inlineStr">
        <is>
          <t>VÄRMLANDS LÄN</t>
        </is>
      </c>
      <c r="G340" t="inlineStr">
        <is>
          <t>HAGFORS</t>
        </is>
      </c>
      <c r="I340" t="n">
        <v>13.5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52479-2025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46226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46226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38132-2022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46226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46226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46226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46226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46226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46226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45335</v>
      </c>
      <c r="E349" s="1" t="n">
        <v>46226</v>
      </c>
      <c r="F349" t="inlineStr">
        <is>
          <t>VÄRMLANDS LÄN</t>
        </is>
      </c>
      <c r="G349" t="inlineStr">
        <is>
          <t>HAGFORS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45961</v>
      </c>
      <c r="E350" s="1" t="n">
        <v>46226</v>
      </c>
      <c r="F350" t="inlineStr">
        <is>
          <t>VÄRMLANDS LÄN</t>
        </is>
      </c>
      <c r="G350" t="inlineStr">
        <is>
          <t>HAGFORS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46226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39396-2023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46226</v>
      </c>
      <c r="F352" t="inlineStr">
        <is>
          <t>VÄRMLANDS LÄN</t>
        </is>
      </c>
      <c r="G352" t="inlineStr">
        <is>
          <t>HAGFORS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45510</v>
      </c>
      <c r="E353" s="1" t="n">
        <v>46226</v>
      </c>
      <c r="F353" t="inlineStr">
        <is>
          <t>VÄRMLANDS LÄN</t>
        </is>
      </c>
      <c r="G353" t="inlineStr">
        <is>
          <t>HAGFORS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46226</v>
      </c>
      <c r="F354" t="inlineStr">
        <is>
          <t>VÄRMLANDS LÄN</t>
        </is>
      </c>
      <c r="G354" t="inlineStr">
        <is>
          <t>HAGFORS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45845</v>
      </c>
      <c r="E355" s="1" t="n">
        <v>46226</v>
      </c>
      <c r="F355" t="inlineStr">
        <is>
          <t>VÄRMLANDS LÄN</t>
        </is>
      </c>
      <c r="G355" t="inlineStr">
        <is>
          <t>HAGFORS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46226</v>
      </c>
      <c r="F356" t="inlineStr">
        <is>
          <t>VÄRMLANDS LÄN</t>
        </is>
      </c>
      <c r="G356" t="inlineStr">
        <is>
          <t>HAGFORS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46226</v>
      </c>
      <c r="F357" t="inlineStr">
        <is>
          <t>VÄRMLANDS LÄN</t>
        </is>
      </c>
      <c r="G357" t="inlineStr">
        <is>
          <t>HAGFORS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46226</v>
      </c>
      <c r="F358" t="inlineStr">
        <is>
          <t>VÄRMLANDS LÄN</t>
        </is>
      </c>
      <c r="G358" t="inlineStr">
        <is>
          <t>HAGFORS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46226</v>
      </c>
      <c r="F359" t="inlineStr">
        <is>
          <t>VÄRMLANDS LÄN</t>
        </is>
      </c>
      <c r="G359" t="inlineStr">
        <is>
          <t>HAGFORS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46226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15538-2024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45401</v>
      </c>
      <c r="E361" s="1" t="n">
        <v>46226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45425</v>
      </c>
      <c r="E362" s="1" t="n">
        <v>46226</v>
      </c>
      <c r="F362" t="inlineStr">
        <is>
          <t>VÄRMLANDS LÄN</t>
        </is>
      </c>
      <c r="G362" t="inlineStr">
        <is>
          <t>HAGFORS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45770</v>
      </c>
      <c r="E363" s="1" t="n">
        <v>46226</v>
      </c>
      <c r="F363" t="inlineStr">
        <is>
          <t>VÄRMLANDS LÄN</t>
        </is>
      </c>
      <c r="G363" t="inlineStr">
        <is>
          <t>HAGFORS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12778-2025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46226</v>
      </c>
      <c r="F364" t="inlineStr">
        <is>
          <t>VÄRMLANDS LÄN</t>
        </is>
      </c>
      <c r="G364" t="inlineStr">
        <is>
          <t>HAGFORS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46226</v>
      </c>
      <c r="F365" t="inlineStr">
        <is>
          <t>VÄRMLANDS LÄN</t>
        </is>
      </c>
      <c r="G365" t="inlineStr">
        <is>
          <t>HAGFORS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46226</v>
      </c>
      <c r="F366" t="inlineStr">
        <is>
          <t>VÄRMLANDS LÄN</t>
        </is>
      </c>
      <c r="G366" t="inlineStr">
        <is>
          <t>HAGFORS</t>
        </is>
      </c>
      <c r="I366" t="n">
        <v>18.2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46226</v>
      </c>
      <c r="F367" t="inlineStr">
        <is>
          <t>VÄRMLANDS LÄN</t>
        </is>
      </c>
      <c r="G367" t="inlineStr">
        <is>
          <t>HAGFORS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46226</v>
      </c>
      <c r="F368" t="inlineStr">
        <is>
          <t>VÄRMLANDS LÄN</t>
        </is>
      </c>
      <c r="G368" t="inlineStr">
        <is>
          <t>HAGFORS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45469</v>
      </c>
      <c r="E369" s="1" t="n">
        <v>46226</v>
      </c>
      <c r="F369" t="inlineStr">
        <is>
          <t>VÄRMLANDS LÄN</t>
        </is>
      </c>
      <c r="G369" t="inlineStr">
        <is>
          <t>HAGFORS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54645-2025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46226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46226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46226</v>
      </c>
      <c r="F372" t="inlineStr">
        <is>
          <t>VÄRMLANDS LÄN</t>
        </is>
      </c>
      <c r="G372" t="inlineStr">
        <is>
          <t>HAGFORS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46226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55480-2025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46226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45484</v>
      </c>
      <c r="E375" s="1" t="n">
        <v>46226</v>
      </c>
      <c r="F375" t="inlineStr">
        <is>
          <t>VÄRMLANDS LÄN</t>
        </is>
      </c>
      <c r="G375" t="inlineStr">
        <is>
          <t>HAGFORS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46226</v>
      </c>
      <c r="F376" t="inlineStr">
        <is>
          <t>VÄRMLANDS LÄN</t>
        </is>
      </c>
      <c r="G376" t="inlineStr">
        <is>
          <t>HAGFORS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45853</v>
      </c>
      <c r="E377" s="1" t="n">
        <v>46226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46226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44924</v>
      </c>
      <c r="E379" s="1" t="n">
        <v>46226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45786</v>
      </c>
      <c r="E380" s="1" t="n">
        <v>46226</v>
      </c>
      <c r="F380" t="inlineStr">
        <is>
          <t>VÄRMLANDS LÄN</t>
        </is>
      </c>
      <c r="G380" t="inlineStr">
        <is>
          <t>HAGFORS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46226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46226</v>
      </c>
      <c r="F382" t="inlineStr">
        <is>
          <t>VÄRMLANDS LÄN</t>
        </is>
      </c>
      <c r="G382" t="inlineStr">
        <is>
          <t>HAGFORS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45854</v>
      </c>
      <c r="E383" s="1" t="n">
        <v>46226</v>
      </c>
      <c r="F383" t="inlineStr">
        <is>
          <t>VÄRMLANDS LÄN</t>
        </is>
      </c>
      <c r="G383" t="inlineStr">
        <is>
          <t>HAGFORS</t>
        </is>
      </c>
      <c r="H383" t="inlineStr">
        <is>
          <t>Kyrkan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46226</v>
      </c>
      <c r="F384" t="inlineStr">
        <is>
          <t>VÄRMLANDS LÄN</t>
        </is>
      </c>
      <c r="G384" t="inlineStr">
        <is>
          <t>HAGFORS</t>
        </is>
      </c>
      <c r="I384" t="n">
        <v>6.9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44951</v>
      </c>
      <c r="E385" s="1" t="n">
        <v>46226</v>
      </c>
      <c r="F385" t="inlineStr">
        <is>
          <t>VÄRMLANDS LÄN</t>
        </is>
      </c>
      <c r="G385" t="inlineStr">
        <is>
          <t>HAGFORS</t>
        </is>
      </c>
      <c r="H385" t="inlineStr">
        <is>
          <t>Kyrkan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46226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46226</v>
      </c>
      <c r="F387" t="inlineStr">
        <is>
          <t>VÄRMLANDS LÄN</t>
        </is>
      </c>
      <c r="G387" t="inlineStr">
        <is>
          <t>HAGFORS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45854</v>
      </c>
      <c r="E388" s="1" t="n">
        <v>46226</v>
      </c>
      <c r="F388" t="inlineStr">
        <is>
          <t>VÄRMLANDS LÄN</t>
        </is>
      </c>
      <c r="G388" t="inlineStr">
        <is>
          <t>HAGFORS</t>
        </is>
      </c>
      <c r="H388" t="inlineStr">
        <is>
          <t>Kyrkan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45975</v>
      </c>
      <c r="E389" s="1" t="n">
        <v>46226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46226</v>
      </c>
      <c r="F390" t="inlineStr">
        <is>
          <t>VÄRMLANDS LÄN</t>
        </is>
      </c>
      <c r="G390" t="inlineStr">
        <is>
          <t>HAGFORS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45793</v>
      </c>
      <c r="E391" s="1" t="n">
        <v>46226</v>
      </c>
      <c r="F391" t="inlineStr">
        <is>
          <t>VÄRMLANDS LÄN</t>
        </is>
      </c>
      <c r="G391" t="inlineStr">
        <is>
          <t>HAGFORS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46226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45772</v>
      </c>
      <c r="E393" s="1" t="n">
        <v>46226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45450</v>
      </c>
      <c r="E394" s="1" t="n">
        <v>46226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21724-2025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45783</v>
      </c>
      <c r="E395" s="1" t="n">
        <v>46226</v>
      </c>
      <c r="F395" t="inlineStr">
        <is>
          <t>VÄRMLANDS LÄN</t>
        </is>
      </c>
      <c r="G395" t="inlineStr">
        <is>
          <t>HAGFORS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46226</v>
      </c>
      <c r="F396" t="inlineStr">
        <is>
          <t>VÄRMLANDS LÄN</t>
        </is>
      </c>
      <c r="G396" t="inlineStr">
        <is>
          <t>HAGFORS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46226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57198-2025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46226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45839</v>
      </c>
      <c r="E399" s="1" t="n">
        <v>46226</v>
      </c>
      <c r="F399" t="inlineStr">
        <is>
          <t>VÄRMLANDS LÄN</t>
        </is>
      </c>
      <c r="G399" t="inlineStr">
        <is>
          <t>HAGFORS</t>
        </is>
      </c>
      <c r="H399" t="inlineStr">
        <is>
          <t>Kyrkan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46226</v>
      </c>
      <c r="F400" t="inlineStr">
        <is>
          <t>VÄRMLANDS LÄN</t>
        </is>
      </c>
      <c r="G400" t="inlineStr">
        <is>
          <t>HAGFORS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45469</v>
      </c>
      <c r="E401" s="1" t="n">
        <v>46226</v>
      </c>
      <c r="F401" t="inlineStr">
        <is>
          <t>VÄRMLANDS LÄN</t>
        </is>
      </c>
      <c r="G401" t="inlineStr">
        <is>
          <t>HAGFORS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61818-2023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45266</v>
      </c>
      <c r="E402" s="1" t="n">
        <v>46226</v>
      </c>
      <c r="F402" t="inlineStr">
        <is>
          <t>VÄRMLANDS LÄN</t>
        </is>
      </c>
      <c r="G402" t="inlineStr">
        <is>
          <t>HAGFORS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46226</v>
      </c>
      <c r="F403" t="inlineStr">
        <is>
          <t>VÄRMLANDS LÄN</t>
        </is>
      </c>
      <c r="G403" t="inlineStr">
        <is>
          <t>HAGFORS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45684</v>
      </c>
      <c r="E404" s="1" t="n">
        <v>46226</v>
      </c>
      <c r="F404" t="inlineStr">
        <is>
          <t>VÄRMLANDS LÄN</t>
        </is>
      </c>
      <c r="G404" t="inlineStr">
        <is>
          <t>HAGFORS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44638</v>
      </c>
      <c r="E405" s="1" t="n">
        <v>46226</v>
      </c>
      <c r="F405" t="inlineStr">
        <is>
          <t>VÄRMLANDS LÄN</t>
        </is>
      </c>
      <c r="G405" t="inlineStr">
        <is>
          <t>HAGFORS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46226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45981</v>
      </c>
      <c r="E407" s="1" t="n">
        <v>46226</v>
      </c>
      <c r="F407" t="inlineStr">
        <is>
          <t>VÄRMLANDS LÄN</t>
        </is>
      </c>
      <c r="G407" t="inlineStr">
        <is>
          <t>HAGFORS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45846</v>
      </c>
      <c r="E408" s="1" t="n">
        <v>46226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40692-2022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44824</v>
      </c>
      <c r="E409" s="1" t="n">
        <v>46226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46226</v>
      </c>
      <c r="F410" t="inlineStr">
        <is>
          <t>VÄRMLANDS LÄN</t>
        </is>
      </c>
      <c r="G410" t="inlineStr">
        <is>
          <t>HAGFORS</t>
        </is>
      </c>
      <c r="H410" t="inlineStr">
        <is>
          <t>Kyrkan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45865</v>
      </c>
      <c r="E411" s="1" t="n">
        <v>46226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46226</v>
      </c>
      <c r="F412" t="inlineStr">
        <is>
          <t>VÄRMLANDS LÄN</t>
        </is>
      </c>
      <c r="G412" t="inlineStr">
        <is>
          <t>HAGFORS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68252-2021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44526</v>
      </c>
      <c r="E413" s="1" t="n">
        <v>46226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46226</v>
      </c>
      <c r="F414" t="inlineStr">
        <is>
          <t>VÄRMLANDS LÄN</t>
        </is>
      </c>
      <c r="G414" t="inlineStr">
        <is>
          <t>HAGFORS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32604-2025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46226</v>
      </c>
      <c r="F415" t="inlineStr">
        <is>
          <t>VÄRMLANDS LÄN</t>
        </is>
      </c>
      <c r="G415" t="inlineStr">
        <is>
          <t>HAGFORS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46226</v>
      </c>
      <c r="F416" t="inlineStr">
        <is>
          <t>VÄRMLANDS LÄN</t>
        </is>
      </c>
      <c r="G416" t="inlineStr">
        <is>
          <t>HAGFORS</t>
        </is>
      </c>
      <c r="H416" t="inlineStr">
        <is>
          <t>Kyrkan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59047-2025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45988</v>
      </c>
      <c r="E417" s="1" t="n">
        <v>46226</v>
      </c>
      <c r="F417" t="inlineStr">
        <is>
          <t>VÄRMLANDS LÄN</t>
        </is>
      </c>
      <c r="G417" t="inlineStr">
        <is>
          <t>HAGFORS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46226</v>
      </c>
      <c r="F418" t="inlineStr">
        <is>
          <t>VÄRMLANDS LÄN</t>
        </is>
      </c>
      <c r="G418" t="inlineStr">
        <is>
          <t>HAGFORS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20756-2026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46226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40601-2021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44420</v>
      </c>
      <c r="E420" s="1" t="n">
        <v>46226</v>
      </c>
      <c r="F420" t="inlineStr">
        <is>
          <t>VÄRMLANDS LÄN</t>
        </is>
      </c>
      <c r="G420" t="inlineStr">
        <is>
          <t>HAGFORS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71447-2021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44540</v>
      </c>
      <c r="E421" s="1" t="n">
        <v>46226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20594-2026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46226</v>
      </c>
      <c r="F422" t="inlineStr">
        <is>
          <t>VÄRMLANDS LÄN</t>
        </is>
      </c>
      <c r="G422" t="inlineStr">
        <is>
          <t>HAGFORS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46226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46226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18.8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45824</v>
      </c>
      <c r="E425" s="1" t="n">
        <v>46226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45720</v>
      </c>
      <c r="E426" s="1" t="n">
        <v>46226</v>
      </c>
      <c r="F426" t="inlineStr">
        <is>
          <t>VÄRMLANDS LÄN</t>
        </is>
      </c>
      <c r="G426" t="inlineStr">
        <is>
          <t>HAGFORS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46226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44915</v>
      </c>
      <c r="E428" s="1" t="n">
        <v>46226</v>
      </c>
      <c r="F428" t="inlineStr">
        <is>
          <t>VÄRMLANDS LÄN</t>
        </is>
      </c>
      <c r="G428" t="inlineStr">
        <is>
          <t>HAGFORS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60606-2025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45996</v>
      </c>
      <c r="E429" s="1" t="n">
        <v>46226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46226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46226</v>
      </c>
      <c r="F431" t="inlineStr">
        <is>
          <t>VÄRMLANDS LÄN</t>
        </is>
      </c>
      <c r="G431" t="inlineStr">
        <is>
          <t>HAGFORS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60648-2025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45996</v>
      </c>
      <c r="E432" s="1" t="n">
        <v>46226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45121</v>
      </c>
      <c r="E433" s="1" t="n">
        <v>46226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45833</v>
      </c>
      <c r="E434" s="1" t="n">
        <v>46226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46226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20752-2026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46141</v>
      </c>
      <c r="E436" s="1" t="n">
        <v>46226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45684</v>
      </c>
      <c r="E437" s="1" t="n">
        <v>46226</v>
      </c>
      <c r="F437" t="inlineStr">
        <is>
          <t>VÄRMLANDS LÄN</t>
        </is>
      </c>
      <c r="G437" t="inlineStr">
        <is>
          <t>HAGFORS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45684</v>
      </c>
      <c r="E438" s="1" t="n">
        <v>46226</v>
      </c>
      <c r="F438" t="inlineStr">
        <is>
          <t>VÄRMLANDS LÄN</t>
        </is>
      </c>
      <c r="G438" t="inlineStr">
        <is>
          <t>HAGFORS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46226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46226</v>
      </c>
      <c r="F440" t="inlineStr">
        <is>
          <t>VÄRMLANDS LÄN</t>
        </is>
      </c>
      <c r="G440" t="inlineStr">
        <is>
          <t>HAGFORS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45509</v>
      </c>
      <c r="E441" s="1" t="n">
        <v>46226</v>
      </c>
      <c r="F441" t="inlineStr">
        <is>
          <t>VÄRMLANDS LÄN</t>
        </is>
      </c>
      <c r="G441" t="inlineStr">
        <is>
          <t>HAGFORS</t>
        </is>
      </c>
      <c r="H441" t="inlineStr">
        <is>
          <t>Kommuner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61843-2025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46003</v>
      </c>
      <c r="E442" s="1" t="n">
        <v>46226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46003</v>
      </c>
      <c r="E443" s="1" t="n">
        <v>46226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46226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61718-2025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46002</v>
      </c>
      <c r="E445" s="1" t="n">
        <v>46226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46226</v>
      </c>
      <c r="F446" t="inlineStr">
        <is>
          <t>VÄRMLANDS LÄN</t>
        </is>
      </c>
      <c r="G446" t="inlineStr">
        <is>
          <t>HAGFORS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46226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45623</v>
      </c>
      <c r="E448" s="1" t="n">
        <v>46226</v>
      </c>
      <c r="F448" t="inlineStr">
        <is>
          <t>VÄRMLANDS LÄN</t>
        </is>
      </c>
      <c r="G448" t="inlineStr">
        <is>
          <t>HAGFORS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44937</v>
      </c>
      <c r="E449" s="1" t="n">
        <v>46226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46003</v>
      </c>
      <c r="E450" s="1" t="n">
        <v>46226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61910-2025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46003</v>
      </c>
      <c r="E451" s="1" t="n">
        <v>46226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25349-2023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45087</v>
      </c>
      <c r="E452" s="1" t="n">
        <v>46226</v>
      </c>
      <c r="F452" t="inlineStr">
        <is>
          <t>VÄRMLANDS LÄN</t>
        </is>
      </c>
      <c r="G452" t="inlineStr">
        <is>
          <t>HAGFORS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62542-2025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46007</v>
      </c>
      <c r="E453" s="1" t="n">
        <v>46226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62240-2025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46226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46226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18.2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45527</v>
      </c>
      <c r="E456" s="1" t="n">
        <v>46226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62168-2025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46006</v>
      </c>
      <c r="E457" s="1" t="n">
        <v>46226</v>
      </c>
      <c r="F457" t="inlineStr">
        <is>
          <t>VÄRMLANDS LÄN</t>
        </is>
      </c>
      <c r="G457" t="inlineStr">
        <is>
          <t>HAGFORS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46226</v>
      </c>
      <c r="F458" t="inlineStr">
        <is>
          <t>VÄRMLANDS LÄN</t>
        </is>
      </c>
      <c r="G458" t="inlineStr">
        <is>
          <t>HAGFORS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62125-2025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46226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20880-2026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46142</v>
      </c>
      <c r="E460" s="1" t="n">
        <v>46226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43558-2024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46226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46226</v>
      </c>
      <c r="F462" t="inlineStr">
        <is>
          <t>VÄRMLANDS LÄN</t>
        </is>
      </c>
      <c r="G462" t="inlineStr">
        <is>
          <t>HAGFORS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46226</v>
      </c>
      <c r="F463" t="inlineStr">
        <is>
          <t>VÄRMLANDS LÄN</t>
        </is>
      </c>
      <c r="G463" t="inlineStr">
        <is>
          <t>HAGFORS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46226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26859-2026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46226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46226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46226</v>
      </c>
      <c r="F467" t="inlineStr">
        <is>
          <t>VÄRMLANDS LÄN</t>
        </is>
      </c>
      <c r="G467" t="inlineStr">
        <is>
          <t>HAGFORS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46226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46226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46008</v>
      </c>
      <c r="E470" s="1" t="n">
        <v>46226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46226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46226</v>
      </c>
      <c r="F472" t="inlineStr">
        <is>
          <t>VÄRMLANDS LÄN</t>
        </is>
      </c>
      <c r="G472" t="inlineStr">
        <is>
          <t>HAGFORS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63301-2025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46226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46226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16153-2025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46226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46226</v>
      </c>
      <c r="F476" t="inlineStr">
        <is>
          <t>VÄRMLANDS LÄN</t>
        </is>
      </c>
      <c r="G476" t="inlineStr">
        <is>
          <t>HAGFORS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44938</v>
      </c>
      <c r="E477" s="1" t="n">
        <v>46226</v>
      </c>
      <c r="F477" t="inlineStr">
        <is>
          <t>VÄRMLANDS LÄN</t>
        </is>
      </c>
      <c r="G477" t="inlineStr">
        <is>
          <t>HAGFORS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45106</v>
      </c>
      <c r="E478" s="1" t="n">
        <v>46226</v>
      </c>
      <c r="F478" t="inlineStr">
        <is>
          <t>VÄRMLANDS LÄN</t>
        </is>
      </c>
      <c r="G478" t="inlineStr">
        <is>
          <t>HAGFORS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46226</v>
      </c>
      <c r="F479" t="inlineStr">
        <is>
          <t>VÄRMLANDS LÄN</t>
        </is>
      </c>
      <c r="G479" t="inlineStr">
        <is>
          <t>HAGFORS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46226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45638</v>
      </c>
      <c r="E481" s="1" t="n">
        <v>46226</v>
      </c>
      <c r="F481" t="inlineStr">
        <is>
          <t>VÄRMLANDS LÄN</t>
        </is>
      </c>
      <c r="G481" t="inlineStr">
        <is>
          <t>HAGFORS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46226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46226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45371</v>
      </c>
      <c r="E484" s="1" t="n">
        <v>46226</v>
      </c>
      <c r="F484" t="inlineStr">
        <is>
          <t>VÄRMLANDS LÄN</t>
        </is>
      </c>
      <c r="G484" t="inlineStr">
        <is>
          <t>HAGFORS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46226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46226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46020</v>
      </c>
      <c r="E487" s="1" t="n">
        <v>46226</v>
      </c>
      <c r="F487" t="inlineStr">
        <is>
          <t>VÄRMLANDS LÄN</t>
        </is>
      </c>
      <c r="G487" t="inlineStr">
        <is>
          <t>HAGFORS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46020</v>
      </c>
      <c r="E488" s="1" t="n">
        <v>46226</v>
      </c>
      <c r="F488" t="inlineStr">
        <is>
          <t>VÄRMLANDS LÄN</t>
        </is>
      </c>
      <c r="G488" t="inlineStr">
        <is>
          <t>HAGFORS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45812</v>
      </c>
      <c r="E489" s="1" t="n">
        <v>46226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63764-2025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46018</v>
      </c>
      <c r="E490" s="1" t="n">
        <v>46226</v>
      </c>
      <c r="F490" t="inlineStr">
        <is>
          <t>VÄRMLANDS LÄN</t>
        </is>
      </c>
      <c r="G490" t="inlineStr">
        <is>
          <t>HAGFORS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46018</v>
      </c>
      <c r="E491" s="1" t="n">
        <v>46226</v>
      </c>
      <c r="F491" t="inlineStr">
        <is>
          <t>VÄRMLANDS LÄN</t>
        </is>
      </c>
      <c r="G491" t="inlineStr">
        <is>
          <t>HAGFORS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45713</v>
      </c>
      <c r="E492" s="1" t="n">
        <v>46226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63875-2025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46020</v>
      </c>
      <c r="E493" s="1" t="n">
        <v>46226</v>
      </c>
      <c r="F493" t="inlineStr">
        <is>
          <t>VÄRMLANDS LÄN</t>
        </is>
      </c>
      <c r="G493" t="inlineStr">
        <is>
          <t>HAGFORS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46226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46226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16.6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53192-2022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44876</v>
      </c>
      <c r="E496" s="1" t="n">
        <v>46226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45084</v>
      </c>
      <c r="E497" s="1" t="n">
        <v>46226</v>
      </c>
      <c r="F497" t="inlineStr">
        <is>
          <t>VÄRMLANDS LÄN</t>
        </is>
      </c>
      <c r="G497" t="inlineStr">
        <is>
          <t>HAGFORS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61902-2021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44502</v>
      </c>
      <c r="E498" s="1" t="n">
        <v>46226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46226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46226</v>
      </c>
      <c r="F500" t="inlineStr">
        <is>
          <t>VÄRMLANDS LÄN</t>
        </is>
      </c>
      <c r="G500" t="inlineStr">
        <is>
          <t>HAGFORS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48807-2025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45937</v>
      </c>
      <c r="E501" s="1" t="n">
        <v>46226</v>
      </c>
      <c r="F501" t="inlineStr">
        <is>
          <t>VÄRMLANDS LÄN</t>
        </is>
      </c>
      <c r="G501" t="inlineStr">
        <is>
          <t>HAGFORS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46226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46226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27855-2026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46191</v>
      </c>
      <c r="E504" s="1" t="n">
        <v>46226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46191</v>
      </c>
      <c r="E505" s="1" t="n">
        <v>46226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46030</v>
      </c>
      <c r="E506" s="1" t="n">
        <v>46226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46226</v>
      </c>
      <c r="F507" t="inlineStr">
        <is>
          <t>VÄRMLANDS LÄN</t>
        </is>
      </c>
      <c r="G507" t="inlineStr">
        <is>
          <t>HAGFORS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46191</v>
      </c>
      <c r="E508" s="1" t="n">
        <v>46226</v>
      </c>
      <c r="F508" t="inlineStr">
        <is>
          <t>VÄRMLANDS LÄN</t>
        </is>
      </c>
      <c r="G508" t="inlineStr">
        <is>
          <t>HAGFORS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46226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46226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46226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46226</v>
      </c>
      <c r="F512" t="inlineStr">
        <is>
          <t>VÄRMLANDS LÄN</t>
        </is>
      </c>
      <c r="G512" t="inlineStr">
        <is>
          <t>HAGFORS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46226</v>
      </c>
      <c r="F513" t="inlineStr">
        <is>
          <t>VÄRMLANDS LÄN</t>
        </is>
      </c>
      <c r="G513" t="inlineStr">
        <is>
          <t>HAGFORS</t>
        </is>
      </c>
      <c r="H513" t="inlineStr">
        <is>
          <t>Kommuner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21762-2026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46150</v>
      </c>
      <c r="E514" s="1" t="n">
        <v>46226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46226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8496-2022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44613</v>
      </c>
      <c r="E516" s="1" t="n">
        <v>46226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21776-2026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46226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61169-2024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45645</v>
      </c>
      <c r="E518" s="1" t="n">
        <v>46226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8129-2024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45351</v>
      </c>
      <c r="E519" s="1" t="n">
        <v>46226</v>
      </c>
      <c r="F519" t="inlineStr">
        <is>
          <t>VÄRMLANDS LÄN</t>
        </is>
      </c>
      <c r="G519" t="inlineStr">
        <is>
          <t>HAGFORS</t>
        </is>
      </c>
      <c r="H519" t="inlineStr">
        <is>
          <t>Kyrkan</t>
        </is>
      </c>
      <c r="I519" t="n">
        <v>10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24814-2024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45461</v>
      </c>
      <c r="E520" s="1" t="n">
        <v>46226</v>
      </c>
      <c r="F520" t="inlineStr">
        <is>
          <t>VÄRMLANDS LÄN</t>
        </is>
      </c>
      <c r="G520" t="inlineStr">
        <is>
          <t>HAGFORS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46226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46226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46226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22667-2026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46226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46226</v>
      </c>
      <c r="F525" t="inlineStr">
        <is>
          <t>VÄRMLANDS LÄN</t>
        </is>
      </c>
      <c r="G525" t="inlineStr">
        <is>
          <t>HAGFORS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44906-2024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45575</v>
      </c>
      <c r="E526" s="1" t="n">
        <v>46226</v>
      </c>
      <c r="F526" t="inlineStr">
        <is>
          <t>VÄRMLANDS LÄN</t>
        </is>
      </c>
      <c r="G526" t="inlineStr">
        <is>
          <t>HAGFORS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40843-2021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44421</v>
      </c>
      <c r="E527" s="1" t="n">
        <v>46226</v>
      </c>
      <c r="F527" t="inlineStr">
        <is>
          <t>VÄRMLANDS LÄN</t>
        </is>
      </c>
      <c r="G527" t="inlineStr">
        <is>
          <t>HAGFORS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46226</v>
      </c>
      <c r="F528" t="inlineStr">
        <is>
          <t>VÄRMLANDS LÄN</t>
        </is>
      </c>
      <c r="G528" t="inlineStr">
        <is>
          <t>HAGFORS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46226</v>
      </c>
      <c r="F529" t="inlineStr">
        <is>
          <t>VÄRMLANDS LÄN</t>
        </is>
      </c>
      <c r="G529" t="inlineStr">
        <is>
          <t>HAGFORS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46226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46226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46226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46226</v>
      </c>
      <c r="F533" t="inlineStr">
        <is>
          <t>VÄRMLANDS LÄN</t>
        </is>
      </c>
      <c r="G533" t="inlineStr">
        <is>
          <t>HAGFORS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46050</v>
      </c>
      <c r="E534" s="1" t="n">
        <v>46226</v>
      </c>
      <c r="F534" t="inlineStr">
        <is>
          <t>VÄRMLANDS LÄN</t>
        </is>
      </c>
      <c r="G534" t="inlineStr">
        <is>
          <t>HAGFORS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46050</v>
      </c>
      <c r="E535" s="1" t="n">
        <v>46226</v>
      </c>
      <c r="F535" t="inlineStr">
        <is>
          <t>VÄRMLANDS LÄN</t>
        </is>
      </c>
      <c r="G535" t="inlineStr">
        <is>
          <t>HAGFORS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46226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45148</v>
      </c>
      <c r="E537" s="1" t="n">
        <v>46226</v>
      </c>
      <c r="F537" t="inlineStr">
        <is>
          <t>VÄRMLANDS LÄN</t>
        </is>
      </c>
      <c r="G537" t="inlineStr">
        <is>
          <t>HAGFORS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46226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28748-2026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46226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46050</v>
      </c>
      <c r="E540" s="1" t="n">
        <v>46226</v>
      </c>
      <c r="F540" t="inlineStr">
        <is>
          <t>VÄRMLANDS LÄN</t>
        </is>
      </c>
      <c r="G540" t="inlineStr">
        <is>
          <t>HAGFORS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46050</v>
      </c>
      <c r="E541" s="1" t="n">
        <v>46226</v>
      </c>
      <c r="F541" t="inlineStr">
        <is>
          <t>VÄRMLANDS LÄN</t>
        </is>
      </c>
      <c r="G541" t="inlineStr">
        <is>
          <t>HAGFORS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46226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59048-2022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44903</v>
      </c>
      <c r="E543" s="1" t="n">
        <v>46226</v>
      </c>
      <c r="F543" t="inlineStr">
        <is>
          <t>VÄRMLANDS LÄN</t>
        </is>
      </c>
      <c r="G543" t="inlineStr">
        <is>
          <t>HAGFORS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46226</v>
      </c>
      <c r="F544" t="inlineStr">
        <is>
          <t>VÄRMLANDS LÄN</t>
        </is>
      </c>
      <c r="G544" t="inlineStr">
        <is>
          <t>HAGFORS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46226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46226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46226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46226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46160</v>
      </c>
      <c r="E549" s="1" t="n">
        <v>46226</v>
      </c>
      <c r="F549" t="inlineStr">
        <is>
          <t>VÄRMLANDS LÄN</t>
        </is>
      </c>
      <c r="G549" t="inlineStr">
        <is>
          <t>HAGFORS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46029</v>
      </c>
      <c r="E550" s="1" t="n">
        <v>46226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46200</v>
      </c>
      <c r="E551" s="1" t="n">
        <v>46226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46226</v>
      </c>
      <c r="F552" t="inlineStr">
        <is>
          <t>VÄRMLANDS LÄN</t>
        </is>
      </c>
      <c r="G552" t="inlineStr">
        <is>
          <t>HAGFORS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17884-2025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46226</v>
      </c>
      <c r="F553" t="inlineStr">
        <is>
          <t>VÄRMLANDS LÄN</t>
        </is>
      </c>
      <c r="G553" t="inlineStr">
        <is>
          <t>HAGFORS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19554-2024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45429</v>
      </c>
      <c r="E554" s="1" t="n">
        <v>46226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46226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46200</v>
      </c>
      <c r="E556" s="1" t="n">
        <v>46226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46226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46226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30710-2022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44763</v>
      </c>
      <c r="E559" s="1" t="n">
        <v>46226</v>
      </c>
      <c r="F559" t="inlineStr">
        <is>
          <t>VÄRMLANDS LÄN</t>
        </is>
      </c>
      <c r="G559" t="inlineStr">
        <is>
          <t>HAGFORS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52830-2023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45226</v>
      </c>
      <c r="E560" s="1" t="n">
        <v>46226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46226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46226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46161</v>
      </c>
      <c r="E563" s="1" t="n">
        <v>46226</v>
      </c>
      <c r="F563" t="inlineStr">
        <is>
          <t>VÄRMLANDS LÄN</t>
        </is>
      </c>
      <c r="G563" t="inlineStr">
        <is>
          <t>HAGFORS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23129-2026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46161</v>
      </c>
      <c r="E564" s="1" t="n">
        <v>46226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8.699999999999999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46226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18213-2024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45420</v>
      </c>
      <c r="E566" s="1" t="n">
        <v>46226</v>
      </c>
      <c r="F566" t="inlineStr">
        <is>
          <t>VÄRMLANDS LÄN</t>
        </is>
      </c>
      <c r="G566" t="inlineStr">
        <is>
          <t>HAGFORS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46226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45502</v>
      </c>
      <c r="E568" s="1" t="n">
        <v>46226</v>
      </c>
      <c r="F568" t="inlineStr">
        <is>
          <t>VÄRMLANDS LÄN</t>
        </is>
      </c>
      <c r="G568" t="inlineStr">
        <is>
          <t>HAGFORS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10382-2025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45720</v>
      </c>
      <c r="E569" s="1" t="n">
        <v>46226</v>
      </c>
      <c r="F569" t="inlineStr">
        <is>
          <t>VÄRMLANDS LÄN</t>
        </is>
      </c>
      <c r="G569" t="inlineStr">
        <is>
          <t>HAGFORS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46226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45338</v>
      </c>
      <c r="E571" s="1" t="n">
        <v>46226</v>
      </c>
      <c r="F571" t="inlineStr">
        <is>
          <t>VÄRMLANDS LÄN</t>
        </is>
      </c>
      <c r="G571" t="inlineStr">
        <is>
          <t>HAGFORS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44984</v>
      </c>
      <c r="E572" s="1" t="n">
        <v>46226</v>
      </c>
      <c r="F572" t="inlineStr">
        <is>
          <t>VÄRMLANDS LÄN</t>
        </is>
      </c>
      <c r="G572" t="inlineStr">
        <is>
          <t>HAGFORS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46226</v>
      </c>
      <c r="F573" t="inlineStr">
        <is>
          <t>VÄRMLANDS LÄN</t>
        </is>
      </c>
      <c r="G573" t="inlineStr">
        <is>
          <t>HAGFORS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45947</v>
      </c>
      <c r="E574" s="1" t="n">
        <v>46226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45952</v>
      </c>
      <c r="E575" s="1" t="n">
        <v>46226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9.800000000000001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52691-2025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45956</v>
      </c>
      <c r="E576" s="1" t="n">
        <v>46226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28.2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46226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36494-2025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45869</v>
      </c>
      <c r="E578" s="1" t="n">
        <v>46226</v>
      </c>
      <c r="F578" t="inlineStr">
        <is>
          <t>VÄRMLANDS LÄN</t>
        </is>
      </c>
      <c r="G578" t="inlineStr">
        <is>
          <t>HAGFORS</t>
        </is>
      </c>
      <c r="H578" t="inlineStr">
        <is>
          <t>Kyrkan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46163</v>
      </c>
      <c r="E579" s="1" t="n">
        <v>46226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29580-2026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46226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46226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46226</v>
      </c>
      <c r="F582" t="inlineStr">
        <is>
          <t>VÄRMLANDS LÄN</t>
        </is>
      </c>
      <c r="G582" t="inlineStr">
        <is>
          <t>HAGFORS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35994-2024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45533</v>
      </c>
      <c r="E583" s="1" t="n">
        <v>46226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65065-2023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45287</v>
      </c>
      <c r="E584" s="1" t="n">
        <v>46226</v>
      </c>
      <c r="F584" t="inlineStr">
        <is>
          <t>VÄRMLANDS LÄN</t>
        </is>
      </c>
      <c r="G584" t="inlineStr">
        <is>
          <t>HAGFORS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42593-2021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44428</v>
      </c>
      <c r="E585" s="1" t="n">
        <v>46226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46209</v>
      </c>
      <c r="E586" s="1" t="n">
        <v>46226</v>
      </c>
      <c r="F586" t="inlineStr">
        <is>
          <t>VÄRMLANDS LÄN</t>
        </is>
      </c>
      <c r="G586" t="inlineStr">
        <is>
          <t>HAGFORS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46209</v>
      </c>
      <c r="E587" s="1" t="n">
        <v>46226</v>
      </c>
      <c r="F587" t="inlineStr">
        <is>
          <t>VÄRMLANDS LÄN</t>
        </is>
      </c>
      <c r="G587" t="inlineStr">
        <is>
          <t>HAGFORS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23728-2026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46164</v>
      </c>
      <c r="E588" s="1" t="n">
        <v>46226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53443-2024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45614</v>
      </c>
      <c r="E589" s="1" t="n">
        <v>46226</v>
      </c>
      <c r="F589" t="inlineStr">
        <is>
          <t>VÄRMLANDS LÄN</t>
        </is>
      </c>
      <c r="G589" t="inlineStr">
        <is>
          <t>HAGFORS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52923-2023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45226</v>
      </c>
      <c r="E590" s="1" t="n">
        <v>46226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46226</v>
      </c>
      <c r="F591" t="inlineStr">
        <is>
          <t>VÄRMLANDS LÄN</t>
        </is>
      </c>
      <c r="G591" t="inlineStr">
        <is>
          <t>HAGFORS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19072-2025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45765</v>
      </c>
      <c r="E592" s="1" t="n">
        <v>46226</v>
      </c>
      <c r="F592" t="inlineStr">
        <is>
          <t>VÄRMLANDS LÄN</t>
        </is>
      </c>
      <c r="G592" t="inlineStr">
        <is>
          <t>HAGFORS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46226</v>
      </c>
      <c r="F593" t="inlineStr">
        <is>
          <t>VÄRMLANDS LÄN</t>
        </is>
      </c>
      <c r="G593" t="inlineStr">
        <is>
          <t>HAGFORS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46226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46226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46226</v>
      </c>
      <c r="F596" t="inlineStr">
        <is>
          <t>VÄRMLANDS LÄN</t>
        </is>
      </c>
      <c r="G596" t="inlineStr">
        <is>
          <t>HAGFORS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46226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46226</v>
      </c>
      <c r="F598" t="inlineStr">
        <is>
          <t>VÄRMLANDS LÄN</t>
        </is>
      </c>
      <c r="G598" t="inlineStr">
        <is>
          <t>HAGFORS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46226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51915-2023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46226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24238-2026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46226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8.1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56165-2024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46226</v>
      </c>
      <c r="F602" t="inlineStr">
        <is>
          <t>VÄRMLANDS LÄN</t>
        </is>
      </c>
      <c r="G602" t="inlineStr">
        <is>
          <t>HAGFORS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46226</v>
      </c>
      <c r="F603" t="inlineStr">
        <is>
          <t>VÄRMLANDS LÄN</t>
        </is>
      </c>
      <c r="G603" t="inlineStr">
        <is>
          <t>HAGFORS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45741</v>
      </c>
      <c r="E604" s="1" t="n">
        <v>46226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45475</v>
      </c>
      <c r="E605" s="1" t="n">
        <v>46226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27827-2024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46226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36206-2024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45534</v>
      </c>
      <c r="E607" s="1" t="n">
        <v>46226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45534</v>
      </c>
      <c r="E608" s="1" t="n">
        <v>46226</v>
      </c>
      <c r="F608" t="inlineStr">
        <is>
          <t>VÄRMLANDS LÄN</t>
        </is>
      </c>
      <c r="G608" t="inlineStr">
        <is>
          <t>HAGFORS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44582</v>
      </c>
      <c r="E609" s="1" t="n">
        <v>46226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20103-2024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45434</v>
      </c>
      <c r="E610" s="1" t="n">
        <v>46226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45725</v>
      </c>
      <c r="E611" s="1" t="n">
        <v>46226</v>
      </c>
      <c r="F611" t="inlineStr">
        <is>
          <t>VÄRMLANDS LÄN</t>
        </is>
      </c>
      <c r="G611" t="inlineStr">
        <is>
          <t>HAGFORS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46226</v>
      </c>
      <c r="F612" t="inlineStr">
        <is>
          <t>VÄRMLANDS LÄN</t>
        </is>
      </c>
      <c r="G612" t="inlineStr">
        <is>
          <t>HAGFORS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15270-2024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45400</v>
      </c>
      <c r="E613" s="1" t="n">
        <v>46226</v>
      </c>
      <c r="F613" t="inlineStr">
        <is>
          <t>VÄRMLANDS LÄN</t>
        </is>
      </c>
      <c r="G613" t="inlineStr">
        <is>
          <t>HAGFORS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24625-2026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46171</v>
      </c>
      <c r="E614" s="1" t="n">
        <v>46226</v>
      </c>
      <c r="F614" t="inlineStr">
        <is>
          <t>VÄRMLANDS LÄN</t>
        </is>
      </c>
      <c r="G614" t="inlineStr">
        <is>
          <t>HAGFORS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46426-2024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45582</v>
      </c>
      <c r="E615" s="1" t="n">
        <v>46226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24862-2026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46226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9.699999999999999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24677-2026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46171</v>
      </c>
      <c r="E617" s="1" t="n">
        <v>46226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24761-2026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46171</v>
      </c>
      <c r="E618" s="1" t="n">
        <v>46226</v>
      </c>
      <c r="F618" t="inlineStr">
        <is>
          <t>VÄRMLANDS LÄN</t>
        </is>
      </c>
      <c r="G618" t="inlineStr">
        <is>
          <t>HAGFORS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44567</v>
      </c>
      <c r="E619" s="1" t="n">
        <v>46226</v>
      </c>
      <c r="F619" t="inlineStr">
        <is>
          <t>VÄRMLANDS LÄN</t>
        </is>
      </c>
      <c r="G619" t="inlineStr">
        <is>
          <t>HAGFORS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45526</v>
      </c>
      <c r="E620" s="1" t="n">
        <v>46226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24628-2026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46171</v>
      </c>
      <c r="E621" s="1" t="n">
        <v>46226</v>
      </c>
      <c r="F621" t="inlineStr">
        <is>
          <t>VÄRMLANDS LÄN</t>
        </is>
      </c>
      <c r="G621" t="inlineStr">
        <is>
          <t>HAGFORS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46226</v>
      </c>
      <c r="F622" t="inlineStr">
        <is>
          <t>VÄRMLANDS LÄN</t>
        </is>
      </c>
      <c r="G622" t="inlineStr">
        <is>
          <t>HAGFORS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24699-2026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46171</v>
      </c>
      <c r="E623" s="1" t="n">
        <v>46226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34529-2023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46226</v>
      </c>
      <c r="F624" t="inlineStr">
        <is>
          <t>VÄRMLANDS LÄN</t>
        </is>
      </c>
      <c r="G624" t="inlineStr">
        <is>
          <t>HAGFORS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45741</v>
      </c>
      <c r="E625" s="1" t="n">
        <v>46226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54757-2022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44883</v>
      </c>
      <c r="E626" s="1" t="n">
        <v>46226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24626-2026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46171</v>
      </c>
      <c r="E627" s="1" t="n">
        <v>46226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46226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45238-2024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45575</v>
      </c>
      <c r="E629" s="1" t="n">
        <v>46226</v>
      </c>
      <c r="F629" t="inlineStr">
        <is>
          <t>VÄRMLANDS LÄN</t>
        </is>
      </c>
      <c r="G629" t="inlineStr">
        <is>
          <t>HAGFORS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37085-2023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45155</v>
      </c>
      <c r="E630" s="1" t="n">
        <v>46226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37463-2022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44809</v>
      </c>
      <c r="E631" s="1" t="n">
        <v>46226</v>
      </c>
      <c r="F631" t="inlineStr">
        <is>
          <t>VÄRMLANDS LÄN</t>
        </is>
      </c>
      <c r="G631" t="inlineStr">
        <is>
          <t>HAGFORS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62461-2023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45268</v>
      </c>
      <c r="E632" s="1" t="n">
        <v>46226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20466-2023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45057</v>
      </c>
      <c r="E633" s="1" t="n">
        <v>46226</v>
      </c>
      <c r="F633" t="inlineStr">
        <is>
          <t>VÄRMLANDS LÄN</t>
        </is>
      </c>
      <c r="G633" t="inlineStr">
        <is>
          <t>HAGFORS</t>
        </is>
      </c>
      <c r="H633" t="inlineStr">
        <is>
          <t>Kyrkan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25276-2026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46176</v>
      </c>
      <c r="E634" s="1" t="n">
        <v>46226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25583-2026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46226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45615</v>
      </c>
      <c r="E636" s="1" t="n">
        <v>46226</v>
      </c>
      <c r="F636" t="inlineStr">
        <is>
          <t>VÄRMLANDS LÄN</t>
        </is>
      </c>
      <c r="G636" t="inlineStr">
        <is>
          <t>HAGFORS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46226</v>
      </c>
      <c r="F637" t="inlineStr">
        <is>
          <t>VÄRMLANDS LÄN</t>
        </is>
      </c>
      <c r="G637" t="inlineStr">
        <is>
          <t>HAGFORS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26859-2024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45470</v>
      </c>
      <c r="E638" s="1" t="n">
        <v>46226</v>
      </c>
      <c r="F638" t="inlineStr">
        <is>
          <t>VÄRMLANDS LÄN</t>
        </is>
      </c>
      <c r="G638" t="inlineStr">
        <is>
          <t>HAGFORS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42175-2024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46226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46226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46226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25258-2023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45079</v>
      </c>
      <c r="E642" s="1" t="n">
        <v>46226</v>
      </c>
      <c r="F642" t="inlineStr">
        <is>
          <t>VÄRMLANDS LÄN</t>
        </is>
      </c>
      <c r="G642" t="inlineStr">
        <is>
          <t>HAGFORS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46226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36.8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46226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45441</v>
      </c>
      <c r="E645" s="1" t="n">
        <v>46226</v>
      </c>
      <c r="F645" t="inlineStr">
        <is>
          <t>VÄRMLANDS LÄN</t>
        </is>
      </c>
      <c r="G645" t="inlineStr">
        <is>
          <t>HAGFORS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26019-2026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46226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32147-2023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45107</v>
      </c>
      <c r="E647" s="1" t="n">
        <v>46226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49766-2023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45212</v>
      </c>
      <c r="E648" s="1" t="n">
        <v>46226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46226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46226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26357-2026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46226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33.4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46225</v>
      </c>
      <c r="E652" s="1" t="n">
        <v>46226</v>
      </c>
      <c r="F652" t="inlineStr">
        <is>
          <t>VÄRMLANDS LÄN</t>
        </is>
      </c>
      <c r="G652" t="inlineStr">
        <is>
          <t>HAGFORS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47516-2023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45203</v>
      </c>
      <c r="E653" s="1" t="n">
        <v>46226</v>
      </c>
      <c r="F653" t="inlineStr">
        <is>
          <t>VÄRMLANDS LÄN</t>
        </is>
      </c>
      <c r="G653" t="inlineStr">
        <is>
          <t>HAGFORS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45506</v>
      </c>
      <c r="E654" s="1" t="n">
        <v>46226</v>
      </c>
      <c r="F654" t="inlineStr">
        <is>
          <t>VÄRMLANDS LÄN</t>
        </is>
      </c>
      <c r="G654" t="inlineStr">
        <is>
          <t>HAGFORS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3846-2023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44951</v>
      </c>
      <c r="E655" s="1" t="n">
        <v>46226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64936-2023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45282</v>
      </c>
      <c r="E656" s="1" t="n">
        <v>46226</v>
      </c>
      <c r="F656" t="inlineStr">
        <is>
          <t>VÄRMLANDS LÄN</t>
        </is>
      </c>
      <c r="G656" t="inlineStr">
        <is>
          <t>HAGFORS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45684</v>
      </c>
      <c r="E657" s="1" t="n">
        <v>46226</v>
      </c>
      <c r="F657" t="inlineStr">
        <is>
          <t>VÄRMLANDS LÄN</t>
        </is>
      </c>
      <c r="G657" t="inlineStr">
        <is>
          <t>HAGFORS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20682-2024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45436</v>
      </c>
      <c r="E658" s="1" t="n">
        <v>46226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44949</v>
      </c>
      <c r="E659" s="1" t="n">
        <v>46226</v>
      </c>
      <c r="F659" t="inlineStr">
        <is>
          <t>VÄRMLANDS LÄN</t>
        </is>
      </c>
      <c r="G659" t="inlineStr">
        <is>
          <t>HAGFORS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30327-2022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44760</v>
      </c>
      <c r="E660" s="1" t="n">
        <v>46226</v>
      </c>
      <c r="F660" t="inlineStr">
        <is>
          <t>VÄRMLANDS LÄN</t>
        </is>
      </c>
      <c r="G660" t="inlineStr">
        <is>
          <t>HAGFORS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19583-2023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45050</v>
      </c>
      <c r="E661" s="1" t="n">
        <v>46226</v>
      </c>
      <c r="F661" t="inlineStr">
        <is>
          <t>VÄRMLANDS LÄN</t>
        </is>
      </c>
      <c r="G661" t="inlineStr">
        <is>
          <t>HAGFORS</t>
        </is>
      </c>
      <c r="H661" t="inlineStr">
        <is>
          <t>Kommuner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39029-2022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44817</v>
      </c>
      <c r="E662" s="1" t="n">
        <v>46226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45681</v>
      </c>
      <c r="E663" s="1" t="n">
        <v>46226</v>
      </c>
      <c r="F663" t="inlineStr">
        <is>
          <t>VÄRMLANDS LÄN</t>
        </is>
      </c>
      <c r="G663" t="inlineStr">
        <is>
          <t>HAGFORS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15228-2024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45400</v>
      </c>
      <c r="E664" s="1" t="n">
        <v>46226</v>
      </c>
      <c r="F664" t="inlineStr">
        <is>
          <t>VÄRMLANDS LÄN</t>
        </is>
      </c>
      <c r="G664" t="inlineStr">
        <is>
          <t>HAGFORS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45373</v>
      </c>
      <c r="E665" s="1" t="n">
        <v>46226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46226</v>
      </c>
      <c r="F666" t="inlineStr">
        <is>
          <t>VÄRMLANDS LÄN</t>
        </is>
      </c>
      <c r="G666" t="inlineStr">
        <is>
          <t>HAGFORS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30180-2023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45110</v>
      </c>
      <c r="E667" s="1" t="n">
        <v>46226</v>
      </c>
      <c r="F667" t="inlineStr">
        <is>
          <t>VÄRMLANDS LÄN</t>
        </is>
      </c>
      <c r="G667" t="inlineStr">
        <is>
          <t>HAGFORS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58808-2022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44903</v>
      </c>
      <c r="E668" s="1" t="n">
        <v>46226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20652-2022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44700</v>
      </c>
      <c r="E669" s="1" t="n">
        <v>46226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18170-2024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45420</v>
      </c>
      <c r="E670" s="1" t="n">
        <v>46226</v>
      </c>
      <c r="F670" t="inlineStr">
        <is>
          <t>VÄRMLANDS LÄN</t>
        </is>
      </c>
      <c r="G670" t="inlineStr">
        <is>
          <t>HAGFORS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58132-2024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45632</v>
      </c>
      <c r="E671" s="1" t="n">
        <v>46226</v>
      </c>
      <c r="F671" t="inlineStr">
        <is>
          <t>VÄRMLANDS LÄN</t>
        </is>
      </c>
      <c r="G671" t="inlineStr">
        <is>
          <t>HAGFORS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45679</v>
      </c>
      <c r="E672" s="1" t="n">
        <v>46226</v>
      </c>
      <c r="F672" t="inlineStr">
        <is>
          <t>VÄRMLANDS LÄN</t>
        </is>
      </c>
      <c r="G672" t="inlineStr">
        <is>
          <t>HAGFORS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14897-2024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45398</v>
      </c>
      <c r="E673" s="1" t="n">
        <v>46226</v>
      </c>
      <c r="F673" t="inlineStr">
        <is>
          <t>VÄRMLANDS LÄN</t>
        </is>
      </c>
      <c r="G673" t="inlineStr">
        <is>
          <t>HAGFORS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46226</v>
      </c>
      <c r="F674" t="inlineStr">
        <is>
          <t>VÄRMLANDS LÄN</t>
        </is>
      </c>
      <c r="G674" t="inlineStr">
        <is>
          <t>HAGFORS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5749-2022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46226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52378-2021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44465</v>
      </c>
      <c r="E676" s="1" t="n">
        <v>46226</v>
      </c>
      <c r="F676" t="inlineStr">
        <is>
          <t>VÄRMLANDS LÄN</t>
        </is>
      </c>
      <c r="G676" t="inlineStr">
        <is>
          <t>HAGFORS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20060-2023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45054</v>
      </c>
      <c r="E677" s="1" t="n">
        <v>46226</v>
      </c>
      <c r="F677" t="inlineStr">
        <is>
          <t>VÄRMLANDS LÄN</t>
        </is>
      </c>
      <c r="G677" t="inlineStr">
        <is>
          <t>HAGFORS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49753-2023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45212</v>
      </c>
      <c r="E678" s="1" t="n">
        <v>46226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45645</v>
      </c>
      <c r="E679" s="1" t="n">
        <v>46226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56888-2023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45244</v>
      </c>
      <c r="E680" s="1" t="n">
        <v>46226</v>
      </c>
      <c r="F680" t="inlineStr">
        <is>
          <t>VÄRMLANDS LÄN</t>
        </is>
      </c>
      <c r="G680" t="inlineStr">
        <is>
          <t>HAGFORS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8304-2022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44610</v>
      </c>
      <c r="E681" s="1" t="n">
        <v>46226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44950</v>
      </c>
      <c r="E682" s="1" t="n">
        <v>46226</v>
      </c>
      <c r="F682" t="inlineStr">
        <is>
          <t>VÄRMLANDS LÄN</t>
        </is>
      </c>
      <c r="G682" t="inlineStr">
        <is>
          <t>HAGFORS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44950</v>
      </c>
      <c r="E683" s="1" t="n">
        <v>46226</v>
      </c>
      <c r="F683" t="inlineStr">
        <is>
          <t>VÄRMLANDS LÄN</t>
        </is>
      </c>
      <c r="G683" t="inlineStr">
        <is>
          <t>HAGFORS</t>
        </is>
      </c>
      <c r="I683" t="n">
        <v>5.2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33146-2024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45518</v>
      </c>
      <c r="E684" s="1" t="n">
        <v>46226</v>
      </c>
      <c r="F684" t="inlineStr">
        <is>
          <t>VÄRMLANDS LÄN</t>
        </is>
      </c>
      <c r="G684" t="inlineStr">
        <is>
          <t>HAGFORS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42223-2022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44830</v>
      </c>
      <c r="E685" s="1" t="n">
        <v>46226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19125-2024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45428</v>
      </c>
      <c r="E686" s="1" t="n">
        <v>46226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11241-2024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45371</v>
      </c>
      <c r="E687" s="1" t="n">
        <v>46226</v>
      </c>
      <c r="F687" t="inlineStr">
        <is>
          <t>VÄRMLANDS LÄN</t>
        </is>
      </c>
      <c r="G687" t="inlineStr">
        <is>
          <t>HAGFORS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45763</v>
      </c>
      <c r="E688" s="1" t="n">
        <v>46226</v>
      </c>
      <c r="F688" t="inlineStr">
        <is>
          <t>VÄRMLANDS LÄN</t>
        </is>
      </c>
      <c r="G688" t="inlineStr">
        <is>
          <t>HAGFORS</t>
        </is>
      </c>
      <c r="H688" t="inlineStr">
        <is>
          <t>Kyrkan</t>
        </is>
      </c>
      <c r="I688" t="n">
        <v>7.9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47019-2023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45201</v>
      </c>
      <c r="E689" s="1" t="n">
        <v>46226</v>
      </c>
      <c r="F689" t="inlineStr">
        <is>
          <t>VÄRMLANDS LÄN</t>
        </is>
      </c>
      <c r="G689" t="inlineStr">
        <is>
          <t>HAGFORS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60664-2023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45259</v>
      </c>
      <c r="E690" s="1" t="n">
        <v>46226</v>
      </c>
      <c r="F690" t="inlineStr">
        <is>
          <t>VÄRMLANDS LÄN</t>
        </is>
      </c>
      <c r="G690" t="inlineStr">
        <is>
          <t>HAGFORS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35775-2024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45532</v>
      </c>
      <c r="E691" s="1" t="n">
        <v>46226</v>
      </c>
      <c r="F691" t="inlineStr">
        <is>
          <t>VÄRMLANDS LÄN</t>
        </is>
      </c>
      <c r="G691" t="inlineStr">
        <is>
          <t>HAGFORS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50929-2023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45211</v>
      </c>
      <c r="E692" s="1" t="n">
        <v>46226</v>
      </c>
      <c r="F692" t="inlineStr">
        <is>
          <t>VÄRMLANDS LÄN</t>
        </is>
      </c>
      <c r="G692" t="inlineStr">
        <is>
          <t>HAGFORS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57359-2022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44896</v>
      </c>
      <c r="E693" s="1" t="n">
        <v>46226</v>
      </c>
      <c r="F693" t="inlineStr">
        <is>
          <t>VÄRMLANDS LÄN</t>
        </is>
      </c>
      <c r="G693" t="inlineStr">
        <is>
          <t>HAGFORS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41092-2024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46226</v>
      </c>
      <c r="F694" t="inlineStr">
        <is>
          <t>VÄRMLANDS LÄN</t>
        </is>
      </c>
      <c r="G694" t="inlineStr">
        <is>
          <t>HAGFORS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46226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9288-2025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45714</v>
      </c>
      <c r="E696" s="1" t="n">
        <v>46226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45632</v>
      </c>
      <c r="E697" s="1" t="n">
        <v>46226</v>
      </c>
      <c r="F697" t="inlineStr">
        <is>
          <t>VÄRMLANDS LÄN</t>
        </is>
      </c>
      <c r="G697" t="inlineStr">
        <is>
          <t>HAGFORS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19702-2022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44694</v>
      </c>
      <c r="E698" s="1" t="n">
        <v>46226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22503-2024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45447</v>
      </c>
      <c r="E699" s="1" t="n">
        <v>46226</v>
      </c>
      <c r="F699" t="inlineStr">
        <is>
          <t>VÄRMLANDS LÄN</t>
        </is>
      </c>
      <c r="G699" t="inlineStr">
        <is>
          <t>HAGFORS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4279-2024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45324</v>
      </c>
      <c r="E700" s="1" t="n">
        <v>46226</v>
      </c>
      <c r="F700" t="inlineStr">
        <is>
          <t>VÄRMLANDS LÄN</t>
        </is>
      </c>
      <c r="G700" t="inlineStr">
        <is>
          <t>HAGFORS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920-2022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44571</v>
      </c>
      <c r="E701" s="1" t="n">
        <v>46226</v>
      </c>
      <c r="F701" t="inlineStr">
        <is>
          <t>VÄRMLANDS LÄN</t>
        </is>
      </c>
      <c r="G701" t="inlineStr">
        <is>
          <t>HAGFORS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46226</v>
      </c>
      <c r="F702" t="inlineStr">
        <is>
          <t>VÄRMLANDS LÄN</t>
        </is>
      </c>
      <c r="G702" t="inlineStr">
        <is>
          <t>HAGFORS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12426-2024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45379</v>
      </c>
      <c r="E703" s="1" t="n">
        <v>46226</v>
      </c>
      <c r="F703" t="inlineStr">
        <is>
          <t>VÄRMLANDS LÄN</t>
        </is>
      </c>
      <c r="G703" t="inlineStr">
        <is>
          <t>HAGFORS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8922-2025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45713</v>
      </c>
      <c r="E704" s="1" t="n">
        <v>46226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45758</v>
      </c>
      <c r="E705" s="1" t="n">
        <v>46226</v>
      </c>
      <c r="F705" t="inlineStr">
        <is>
          <t>VÄRMLANDS LÄN</t>
        </is>
      </c>
      <c r="G705" t="inlineStr">
        <is>
          <t>HAGFORS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7332-2025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45703</v>
      </c>
      <c r="E706" s="1" t="n">
        <v>46226</v>
      </c>
      <c r="F706" t="inlineStr">
        <is>
          <t>VÄRMLANDS LÄN</t>
        </is>
      </c>
      <c r="G706" t="inlineStr">
        <is>
          <t>HAGFORS</t>
        </is>
      </c>
      <c r="H706" t="inlineStr">
        <is>
          <t>Kyrkan</t>
        </is>
      </c>
      <c r="I706" t="n">
        <v>15.9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17329-2024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45414</v>
      </c>
      <c r="E707" s="1" t="n">
        <v>46226</v>
      </c>
      <c r="F707" t="inlineStr">
        <is>
          <t>VÄRMLANDS LÄN</t>
        </is>
      </c>
      <c r="G707" t="inlineStr">
        <is>
          <t>HAGFORS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45684</v>
      </c>
      <c r="E708" s="1" t="n">
        <v>46226</v>
      </c>
      <c r="F708" t="inlineStr">
        <is>
          <t>VÄRMLANDS LÄN</t>
        </is>
      </c>
      <c r="G708" t="inlineStr">
        <is>
          <t>HAGFORS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52924-2023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45226</v>
      </c>
      <c r="E709" s="1" t="n">
        <v>46226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45671</v>
      </c>
      <c r="E710" s="1" t="n">
        <v>46226</v>
      </c>
      <c r="F710" t="inlineStr">
        <is>
          <t>VÄRMLANDS LÄN</t>
        </is>
      </c>
      <c r="G710" t="inlineStr">
        <is>
          <t>HAGFORS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48276-2024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45590</v>
      </c>
      <c r="E711" s="1" t="n">
        <v>46226</v>
      </c>
      <c r="F711" t="inlineStr">
        <is>
          <t>VÄRMLANDS LÄN</t>
        </is>
      </c>
      <c r="G711" t="inlineStr">
        <is>
          <t>HAGFORS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54751-2022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44883</v>
      </c>
      <c r="E712" s="1" t="n">
        <v>46226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45107</v>
      </c>
      <c r="E713" s="1" t="n">
        <v>46226</v>
      </c>
      <c r="F713" t="inlineStr">
        <is>
          <t>VÄRMLANDS LÄN</t>
        </is>
      </c>
      <c r="G713" t="inlineStr">
        <is>
          <t>HAGFORS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52494-2024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45609</v>
      </c>
      <c r="E714" s="1" t="n">
        <v>46226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45692</v>
      </c>
      <c r="E715" s="1" t="n">
        <v>46226</v>
      </c>
      <c r="F715" t="inlineStr">
        <is>
          <t>VÄRMLANDS LÄN</t>
        </is>
      </c>
      <c r="G715" t="inlineStr">
        <is>
          <t>HAGFORS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10562-2024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45366</v>
      </c>
      <c r="E716" s="1" t="n">
        <v>46226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7.1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5482-2022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44595</v>
      </c>
      <c r="E717" s="1" t="n">
        <v>46226</v>
      </c>
      <c r="F717" t="inlineStr">
        <is>
          <t>VÄRMLANDS LÄN</t>
        </is>
      </c>
      <c r="G717" t="inlineStr">
        <is>
          <t>HAGFORS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60167-2023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45258</v>
      </c>
      <c r="E718" s="1" t="n">
        <v>46226</v>
      </c>
      <c r="F718" t="inlineStr">
        <is>
          <t>VÄRMLANDS LÄN</t>
        </is>
      </c>
      <c r="G718" t="inlineStr">
        <is>
          <t>HAGFORS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60178-2023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45258</v>
      </c>
      <c r="E719" s="1" t="n">
        <v>46226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45328</v>
      </c>
      <c r="E720" s="1" t="n">
        <v>46226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45029</v>
      </c>
      <c r="E721" s="1" t="n">
        <v>46226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46226</v>
      </c>
      <c r="F722" t="inlineStr">
        <is>
          <t>VÄRMLANDS LÄN</t>
        </is>
      </c>
      <c r="G722" t="inlineStr">
        <is>
          <t>HAGFORS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12673-2024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45384</v>
      </c>
      <c r="E723" s="1" t="n">
        <v>46226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11367-2025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45726</v>
      </c>
      <c r="E724" s="1" t="n">
        <v>46226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56895-2023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45244</v>
      </c>
      <c r="E725" s="1" t="n">
        <v>46226</v>
      </c>
      <c r="F725" t="inlineStr">
        <is>
          <t>VÄRMLANDS LÄN</t>
        </is>
      </c>
      <c r="G725" t="inlineStr">
        <is>
          <t>HAGFORS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46226</v>
      </c>
      <c r="F726" t="inlineStr">
        <is>
          <t>VÄRMLANDS LÄN</t>
        </is>
      </c>
      <c r="G726" t="inlineStr">
        <is>
          <t>HAGFORS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42150-2024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46226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40835-2023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45172</v>
      </c>
      <c r="E728" s="1" t="n">
        <v>46226</v>
      </c>
      <c r="F728" t="inlineStr">
        <is>
          <t>VÄRMLANDS LÄN</t>
        </is>
      </c>
      <c r="G728" t="inlineStr">
        <is>
          <t>HAGFORS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47028-2023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45201</v>
      </c>
      <c r="E729" s="1" t="n">
        <v>46226</v>
      </c>
      <c r="F729" t="inlineStr">
        <is>
          <t>VÄRMLANDS LÄN</t>
        </is>
      </c>
      <c r="G729" t="inlineStr">
        <is>
          <t>HAGFORS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30520-2024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45492</v>
      </c>
      <c r="E730" s="1" t="n">
        <v>46226</v>
      </c>
      <c r="F730" t="inlineStr">
        <is>
          <t>VÄRMLANDS LÄN</t>
        </is>
      </c>
      <c r="G730" t="inlineStr">
        <is>
          <t>HAGFORS</t>
        </is>
      </c>
      <c r="H730" t="inlineStr">
        <is>
          <t>Kyrkan</t>
        </is>
      </c>
      <c r="I730" t="n">
        <v>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45519</v>
      </c>
      <c r="E731" s="1" t="n">
        <v>46226</v>
      </c>
      <c r="F731" t="inlineStr">
        <is>
          <t>VÄRMLANDS LÄN</t>
        </is>
      </c>
      <c r="G731" t="inlineStr">
        <is>
          <t>HAGFORS</t>
        </is>
      </c>
      <c r="I731" t="n">
        <v>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10236-2022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44622</v>
      </c>
      <c r="E732" s="1" t="n">
        <v>46226</v>
      </c>
      <c r="F732" t="inlineStr">
        <is>
          <t>VÄRMLANDS LÄN</t>
        </is>
      </c>
      <c r="G732" t="inlineStr">
        <is>
          <t>HAGFORS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46792-2022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44851</v>
      </c>
      <c r="E733" s="1" t="n">
        <v>46226</v>
      </c>
      <c r="F733" t="inlineStr">
        <is>
          <t>VÄRMLANDS LÄN</t>
        </is>
      </c>
      <c r="G733" t="inlineStr">
        <is>
          <t>HAGFORS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32033-2024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45510</v>
      </c>
      <c r="E734" s="1" t="n">
        <v>46226</v>
      </c>
      <c r="F734" t="inlineStr">
        <is>
          <t>VÄRMLANDS LÄN</t>
        </is>
      </c>
      <c r="G734" t="inlineStr">
        <is>
          <t>HAGFORS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54744-2024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46226</v>
      </c>
      <c r="F735" t="inlineStr">
        <is>
          <t>VÄRMLANDS LÄN</t>
        </is>
      </c>
      <c r="G735" t="inlineStr">
        <is>
          <t>HAGFORS</t>
        </is>
      </c>
      <c r="H735" t="inlineStr">
        <is>
          <t>Kyrkan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39640-2022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44817</v>
      </c>
      <c r="E736" s="1" t="n">
        <v>46226</v>
      </c>
      <c r="F736" t="inlineStr">
        <is>
          <t>VÄRMLANDS LÄN</t>
        </is>
      </c>
      <c r="G736" t="inlineStr">
        <is>
          <t>HAGFORS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1931-2024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45308</v>
      </c>
      <c r="E737" s="1" t="n">
        <v>46226</v>
      </c>
      <c r="F737" t="inlineStr">
        <is>
          <t>VÄRMLANDS LÄN</t>
        </is>
      </c>
      <c r="G737" t="inlineStr">
        <is>
          <t>HAGFORS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57159-2024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45629</v>
      </c>
      <c r="E738" s="1" t="n">
        <v>46226</v>
      </c>
      <c r="F738" t="inlineStr">
        <is>
          <t>VÄRMLANDS LÄN</t>
        </is>
      </c>
      <c r="G738" t="inlineStr">
        <is>
          <t>HAGFORS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34404-2023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45132</v>
      </c>
      <c r="E739" s="1" t="n">
        <v>46226</v>
      </c>
      <c r="F739" t="inlineStr">
        <is>
          <t>VÄRMLANDS LÄN</t>
        </is>
      </c>
      <c r="G739" t="inlineStr">
        <is>
          <t>HAGFORS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11160-2025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45723</v>
      </c>
      <c r="E740" s="1" t="n">
        <v>46226</v>
      </c>
      <c r="F740" t="inlineStr">
        <is>
          <t>VÄRMLANDS LÄN</t>
        </is>
      </c>
      <c r="G740" t="inlineStr">
        <is>
          <t>HAGFORS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43998-2024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45572</v>
      </c>
      <c r="E741" s="1" t="n">
        <v>46226</v>
      </c>
      <c r="F741" t="inlineStr">
        <is>
          <t>VÄRMLANDS LÄN</t>
        </is>
      </c>
      <c r="G741" t="inlineStr">
        <is>
          <t>HAGFORS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13282-2024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45386</v>
      </c>
      <c r="E742" s="1" t="n">
        <v>46226</v>
      </c>
      <c r="F742" t="inlineStr">
        <is>
          <t>VÄRMLANDS LÄN</t>
        </is>
      </c>
      <c r="G742" t="inlineStr">
        <is>
          <t>HAGFORS</t>
        </is>
      </c>
      <c r="H742" t="inlineStr">
        <is>
          <t>Kommuner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44728-2023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45190</v>
      </c>
      <c r="E743" s="1" t="n">
        <v>46226</v>
      </c>
      <c r="F743" t="inlineStr">
        <is>
          <t>VÄRMLANDS LÄN</t>
        </is>
      </c>
      <c r="G743" t="inlineStr">
        <is>
          <t>HAGFORS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42168-2024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45562</v>
      </c>
      <c r="E744" s="1" t="n">
        <v>46226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42170-2024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45562</v>
      </c>
      <c r="E745" s="1" t="n">
        <v>46226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42171-2024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46226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42243-2024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46226</v>
      </c>
      <c r="F747" t="inlineStr">
        <is>
          <t>VÄRMLANDS LÄN</t>
        </is>
      </c>
      <c r="G747" t="inlineStr">
        <is>
          <t>HAGFORS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6980-2022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44603</v>
      </c>
      <c r="E748" s="1" t="n">
        <v>46226</v>
      </c>
      <c r="F748" t="inlineStr">
        <is>
          <t>VÄRMLANDS LÄN</t>
        </is>
      </c>
      <c r="G748" t="inlineStr">
        <is>
          <t>HAGFORS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36013-2023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45149</v>
      </c>
      <c r="E749" s="1" t="n">
        <v>46226</v>
      </c>
      <c r="F749" t="inlineStr">
        <is>
          <t>VÄRMLANDS LÄN</t>
        </is>
      </c>
      <c r="G749" t="inlineStr">
        <is>
          <t>HAGFORS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61311-2023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45264</v>
      </c>
      <c r="E750" s="1" t="n">
        <v>46226</v>
      </c>
      <c r="F750" t="inlineStr">
        <is>
          <t>VÄRMLANDS LÄN</t>
        </is>
      </c>
      <c r="G750" t="inlineStr">
        <is>
          <t>HAGFORS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45264</v>
      </c>
      <c r="E751" s="1" t="n">
        <v>46226</v>
      </c>
      <c r="F751" t="inlineStr">
        <is>
          <t>VÄRMLANDS LÄN</t>
        </is>
      </c>
      <c r="G751" t="inlineStr">
        <is>
          <t>HAGFORS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45764</v>
      </c>
      <c r="E752" s="1" t="n">
        <v>46226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17305-2023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45035</v>
      </c>
      <c r="E753" s="1" t="n">
        <v>46226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31178-2022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44770</v>
      </c>
      <c r="E754" s="1" t="n">
        <v>46226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59552-2024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45638</v>
      </c>
      <c r="E755" s="1" t="n">
        <v>46226</v>
      </c>
      <c r="F755" t="inlineStr">
        <is>
          <t>VÄRMLANDS LÄN</t>
        </is>
      </c>
      <c r="G755" t="inlineStr">
        <is>
          <t>HAGFORS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21067-2025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45777</v>
      </c>
      <c r="E756" s="1" t="n">
        <v>46226</v>
      </c>
      <c r="F756" t="inlineStr">
        <is>
          <t>VÄRMLANDS LÄN</t>
        </is>
      </c>
      <c r="G756" t="inlineStr">
        <is>
          <t>HAGFORS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21723-2025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45783</v>
      </c>
      <c r="E757" s="1" t="n">
        <v>46226</v>
      </c>
      <c r="F757" t="inlineStr">
        <is>
          <t>VÄRMLANDS LÄN</t>
        </is>
      </c>
      <c r="G757" t="inlineStr">
        <is>
          <t>HAGFORS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46226</v>
      </c>
      <c r="F758" t="inlineStr">
        <is>
          <t>VÄRMLANDS LÄN</t>
        </is>
      </c>
      <c r="G758" t="inlineStr">
        <is>
          <t>HAGFORS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45460</v>
      </c>
      <c r="E759" s="1" t="n">
        <v>46226</v>
      </c>
      <c r="F759" t="inlineStr">
        <is>
          <t>VÄRMLANDS LÄN</t>
        </is>
      </c>
      <c r="G759" t="inlineStr">
        <is>
          <t>HAGFORS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17833-2022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44683</v>
      </c>
      <c r="E760" s="1" t="n">
        <v>46226</v>
      </c>
      <c r="F760" t="inlineStr">
        <is>
          <t>VÄRMLANDS LÄN</t>
        </is>
      </c>
      <c r="G760" t="inlineStr">
        <is>
          <t>HAGFORS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45587</v>
      </c>
      <c r="E761" s="1" t="n">
        <v>46226</v>
      </c>
      <c r="F761" t="inlineStr">
        <is>
          <t>VÄRMLANDS LÄN</t>
        </is>
      </c>
      <c r="G761" t="inlineStr">
        <is>
          <t>HAGFORS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22231-2025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45785</v>
      </c>
      <c r="E762" s="1" t="n">
        <v>46226</v>
      </c>
      <c r="F762" t="inlineStr">
        <is>
          <t>VÄRMLANDS LÄN</t>
        </is>
      </c>
      <c r="G762" t="inlineStr">
        <is>
          <t>HAGFORS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40332-2023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45169</v>
      </c>
      <c r="E763" s="1" t="n">
        <v>46226</v>
      </c>
      <c r="F763" t="inlineStr">
        <is>
          <t>VÄRMLANDS LÄN</t>
        </is>
      </c>
      <c r="G763" t="inlineStr">
        <is>
          <t>HAGFORS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22799-2025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45789</v>
      </c>
      <c r="E764" s="1" t="n">
        <v>46226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45786</v>
      </c>
      <c r="E765" s="1" t="n">
        <v>46226</v>
      </c>
      <c r="F765" t="inlineStr">
        <is>
          <t>VÄRMLANDS LÄN</t>
        </is>
      </c>
      <c r="G765" t="inlineStr">
        <is>
          <t>HAGFORS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23268-2025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45791</v>
      </c>
      <c r="E766" s="1" t="n">
        <v>46226</v>
      </c>
      <c r="F766" t="inlineStr">
        <is>
          <t>VÄRMLANDS LÄN</t>
        </is>
      </c>
      <c r="G766" t="inlineStr">
        <is>
          <t>HAGFORS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22917-2025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46226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46226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46226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55950-2024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46226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23556-2025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45792</v>
      </c>
      <c r="E771" s="1" t="n">
        <v>46226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45792</v>
      </c>
      <c r="E772" s="1" t="n">
        <v>46226</v>
      </c>
      <c r="F772" t="inlineStr">
        <is>
          <t>VÄRMLANDS LÄN</t>
        </is>
      </c>
      <c r="G772" t="inlineStr">
        <is>
          <t>HAGFORS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23674-2025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45793</v>
      </c>
      <c r="E773" s="1" t="n">
        <v>46226</v>
      </c>
      <c r="F773" t="inlineStr">
        <is>
          <t>VÄRMLANDS LÄN</t>
        </is>
      </c>
      <c r="G773" t="inlineStr">
        <is>
          <t>HAGFORS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46226</v>
      </c>
      <c r="F774" t="inlineStr">
        <is>
          <t>VÄRMLANDS LÄN</t>
        </is>
      </c>
      <c r="G774" t="inlineStr">
        <is>
          <t>HAGFORS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45615</v>
      </c>
      <c r="E775" s="1" t="n">
        <v>46226</v>
      </c>
      <c r="F775" t="inlineStr">
        <is>
          <t>VÄRMLANDS LÄN</t>
        </is>
      </c>
      <c r="G775" t="inlineStr">
        <is>
          <t>HAGFORS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16798-2025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45754</v>
      </c>
      <c r="E776" s="1" t="n">
        <v>46226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15643-2024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45404</v>
      </c>
      <c r="E777" s="1" t="n">
        <v>46226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45797</v>
      </c>
      <c r="E778" s="1" t="n">
        <v>46226</v>
      </c>
      <c r="F778" t="inlineStr">
        <is>
          <t>VÄRMLANDS LÄN</t>
        </is>
      </c>
      <c r="G778" t="inlineStr">
        <is>
          <t>HAGFORS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24435-2025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45797</v>
      </c>
      <c r="E779" s="1" t="n">
        <v>46226</v>
      </c>
      <c r="F779" t="inlineStr">
        <is>
          <t>VÄRMLANDS LÄN</t>
        </is>
      </c>
      <c r="G779" t="inlineStr">
        <is>
          <t>HAGFORS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24438-2025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46226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13524-2025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45736</v>
      </c>
      <c r="E781" s="1" t="n">
        <v>46226</v>
      </c>
      <c r="F781" t="inlineStr">
        <is>
          <t>VÄRMLANDS LÄN</t>
        </is>
      </c>
      <c r="G781" t="inlineStr">
        <is>
          <t>HAGFORS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24895-2025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45799</v>
      </c>
      <c r="E782" s="1" t="n">
        <v>46226</v>
      </c>
      <c r="F782" t="inlineStr">
        <is>
          <t>VÄRMLANDS LÄN</t>
        </is>
      </c>
      <c r="G782" t="inlineStr">
        <is>
          <t>HAGFORS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24793-2025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45799</v>
      </c>
      <c r="E783" s="1" t="n">
        <v>46226</v>
      </c>
      <c r="F783" t="inlineStr">
        <is>
          <t>VÄRMLANDS LÄN</t>
        </is>
      </c>
      <c r="G783" t="inlineStr">
        <is>
          <t>HAGFORS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25031-2025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46226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33823-2025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46226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26463-2025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45807</v>
      </c>
      <c r="E786" s="1" t="n">
        <v>46226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16755-2025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45754</v>
      </c>
      <c r="E787" s="1" t="n">
        <v>46226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38474-2024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45546</v>
      </c>
      <c r="E788" s="1" t="n">
        <v>46226</v>
      </c>
      <c r="F788" t="inlineStr">
        <is>
          <t>VÄRMLANDS LÄN</t>
        </is>
      </c>
      <c r="G788" t="inlineStr">
        <is>
          <t>HAGFORS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27071-2025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46226</v>
      </c>
      <c r="F789" t="inlineStr">
        <is>
          <t>VÄRMLANDS LÄN</t>
        </is>
      </c>
      <c r="G789" t="inlineStr">
        <is>
          <t>HAGFORS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52383-2024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45608</v>
      </c>
      <c r="E790" s="1" t="n">
        <v>46226</v>
      </c>
      <c r="F790" t="inlineStr">
        <is>
          <t>VÄRMLANDS LÄN</t>
        </is>
      </c>
      <c r="G790" t="inlineStr">
        <is>
          <t>HAGFORS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26617-2025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45810</v>
      </c>
      <c r="E791" s="1" t="n">
        <v>46226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46226</v>
      </c>
      <c r="F792" t="inlineStr">
        <is>
          <t>VÄRMLANDS LÄN</t>
        </is>
      </c>
      <c r="G792" t="inlineStr">
        <is>
          <t>HAGFORS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26982-2025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45811</v>
      </c>
      <c r="E793" s="1" t="n">
        <v>46226</v>
      </c>
      <c r="F793" t="inlineStr">
        <is>
          <t>VÄRMLANDS LÄN</t>
        </is>
      </c>
      <c r="G793" t="inlineStr">
        <is>
          <t>HAGFORS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2225-2020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44127</v>
      </c>
      <c r="E794" s="1" t="n">
        <v>46226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2050-2022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44671</v>
      </c>
      <c r="E795" s="1" t="n">
        <v>46226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4419-2023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46226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35.6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4420-2023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46226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4426-2023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46226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9.699999999999999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5512-2022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44834</v>
      </c>
      <c r="E800" s="1" t="n">
        <v>46226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29.9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931-2022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49.5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4415-2023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46226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9.199999999999999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262-2022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44578</v>
      </c>
      <c r="E803" s="1" t="n">
        <v>46226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78.90000000000001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6970-2022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46226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4408-2023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46226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46226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4423-2023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4418-2023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46226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907-2022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44606</v>
      </c>
      <c r="E809" s="1" t="n">
        <v>46226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43.5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651-2024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45356</v>
      </c>
      <c r="E810" s="1" t="n">
        <v>46226</v>
      </c>
      <c r="F810" t="inlineStr">
        <is>
          <t>VÄRMLANDS LÄN</t>
        </is>
      </c>
      <c r="G810" t="inlineStr">
        <is>
          <t>HAGFORS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913-2022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46226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4145-2023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46226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46226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27.1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89-2025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45316</v>
      </c>
      <c r="E814" s="1" t="n">
        <v>46226</v>
      </c>
      <c r="F814" t="inlineStr">
        <is>
          <t>VÄRMLANDS LÄN</t>
        </is>
      </c>
      <c r="G814" t="inlineStr">
        <is>
          <t>HAGFORS</t>
        </is>
      </c>
      <c r="I814" t="n">
        <v>6.3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6969-2022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46226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24.3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220-2025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45680</v>
      </c>
      <c r="E816" s="1" t="n">
        <v>46226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898-2022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44606</v>
      </c>
      <c r="E817" s="1" t="n">
        <v>46226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4150-2023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46226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4410-2023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46226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900-2022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44606</v>
      </c>
      <c r="E820" s="1" t="n">
        <v>46226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914-2022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44606</v>
      </c>
      <c r="E821" s="1" t="n">
        <v>46226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4409-2023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46226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4155-2023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46226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40.9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4140-2023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46226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36.5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6977-2022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44901</v>
      </c>
      <c r="E825" s="1" t="n">
        <v>46226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46226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4143-2023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45247</v>
      </c>
      <c r="E827" s="1" t="n">
        <v>46226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4407-2023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45266</v>
      </c>
      <c r="E828" s="1" t="n">
        <v>46226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6965-2022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46226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662-2025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45716</v>
      </c>
      <c r="E830" s="1" t="n">
        <v>46226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52.4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108-2026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46037</v>
      </c>
      <c r="E831" s="1" t="n">
        <v>46226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204.4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46036</v>
      </c>
      <c r="E832" s="1" t="n">
        <v>46226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60-2026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46013</v>
      </c>
      <c r="E833" s="1" t="n">
        <v>46226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382-2025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45691</v>
      </c>
      <c r="E834" s="1" t="n">
        <v>46226</v>
      </c>
      <c r="F834" t="inlineStr">
        <is>
          <t>VÄRMLANDS LÄN</t>
        </is>
      </c>
      <c r="G834" t="inlineStr">
        <is>
          <t>HAGFORS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2026-07-23T01:48:07Z</dcterms:created>
  <dcterms:modified xmlns:dcterms="http://purl.org/dc/terms/" xmlns:xsi="http://www.w3.org/2001/XMLSchema-instance" xsi:type="dcterms:W3CDTF">2026-07-23T01:48:08Z</dcterms:modified>
</cp:coreProperties>
</file>