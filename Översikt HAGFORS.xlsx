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46235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46235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46235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46235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46235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46235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46235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46235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46235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46235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46235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46235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Lunglav
Korallblylav</t>
        </is>
      </c>
      <c r="W19">
        <f>HYPERLINK("https://klasma.github.io/Logging_1783/artfynd/A 59972-2025 artfynd.xlsx", "A 59972-2025")</f>
        <v/>
      </c>
      <c r="X19">
        <f>HYPERLINK("https://klasma.github.io/Logging_1783/kartor/A 59972-2025 karta.png", "A 59972-2025")</f>
        <v/>
      </c>
      <c r="Y19">
        <f>HYPERLINK("https://klasma.github.io/Logging_1783/kartor_geotiff/A 59972-2025 georefererad karta.tif", "A 59972-2025")</f>
        <v/>
      </c>
      <c r="AA19">
        <f>HYPERLINK("https://klasma.github.io/Logging_1783/klagomål/A 59972-2025 FSC-klagomål.docx", "A 59972-2025")</f>
        <v/>
      </c>
      <c r="AB19">
        <f>HYPERLINK("https://klasma.github.io/Logging_1783/klagomålsmail/A 59972-2025 FSC-klagomål mail.docx", "A 59972-2025")</f>
        <v/>
      </c>
      <c r="AC19">
        <f>HYPERLINK("https://klasma.github.io/Logging_1783/tillsyn/A 59972-2025 tillsynsbegäran.docx", "A 59972-2025")</f>
        <v/>
      </c>
      <c r="AD19">
        <f>HYPERLINK("https://klasma.github.io/Logging_1783/tillsynsmail/A 59972-2025 tillsynsbegäran mail.docx", "A 59972-2025")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46235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46235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46235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46235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46235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46235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46235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46235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46235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46235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42446-2024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46235</v>
      </c>
      <c r="F33" t="inlineStr">
        <is>
          <t>VÄRMLANDS LÄN</t>
        </is>
      </c>
      <c r="G33" t="inlineStr">
        <is>
          <t>HAGFORS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Strutbräken</t>
        </is>
      </c>
      <c r="W33">
        <f>HYPERLINK("https://klasma.github.io/Logging_1783/artfynd/A 42446-2024 artfynd.xlsx", "A 42446-2024")</f>
        <v/>
      </c>
      <c r="X33">
        <f>HYPERLINK("https://klasma.github.io/Logging_1783/kartor/A 42446-2024 karta.png", "A 42446-2024")</f>
        <v/>
      </c>
      <c r="Y33">
        <f>HYPERLINK("https://klasma.github.io/Logging_1783/kartor_geotiff/A 42446-2024 georefererad karta.tif", "A 42446-2024")</f>
        <v/>
      </c>
      <c r="AA33">
        <f>HYPERLINK("https://klasma.github.io/Logging_1783/klagomål/A 42446-2024 FSC-klagomål.docx", "A 42446-2024")</f>
        <v/>
      </c>
      <c r="AB33">
        <f>HYPERLINK("https://klasma.github.io/Logging_1783/klagomålsmail/A 42446-2024 FSC-klagomål mail.docx", "A 42446-2024")</f>
        <v/>
      </c>
      <c r="AC33">
        <f>HYPERLINK("https://klasma.github.io/Logging_1783/tillsyn/A 42446-2024 tillsynsbegäran.docx", "A 42446-2024")</f>
        <v/>
      </c>
      <c r="AD33">
        <f>HYPERLINK("https://klasma.github.io/Logging_1783/tillsynsmail/A 42446-2024 tillsynsbegäran mail.docx", "A 42446-2024")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46235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46235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46235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46235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46235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46235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46235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16319-2023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45028</v>
      </c>
      <c r="E41" s="1" t="n">
        <v>46235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16319-2023 artfynd.xlsx", "A 16319-2023")</f>
        <v/>
      </c>
      <c r="X41">
        <f>HYPERLINK("https://klasma.github.io/Logging_1783/kartor/A 16319-2023 karta.png", "A 16319-2023")</f>
        <v/>
      </c>
      <c r="Y41">
        <f>HYPERLINK("https://klasma.github.io/Logging_1783/kartor_geotiff/A 16319-2023 georefererad karta.tif", "A 16319-2023")</f>
        <v/>
      </c>
      <c r="AA41">
        <f>HYPERLINK("https://klasma.github.io/Logging_1783/klagomål/A 16319-2023 FSC-klagomål.docx", "A 16319-2023")</f>
        <v/>
      </c>
      <c r="AB41">
        <f>HYPERLINK("https://klasma.github.io/Logging_1783/klagomålsmail/A 16319-2023 FSC-klagomål mail.docx", "A 16319-2023")</f>
        <v/>
      </c>
      <c r="AC41">
        <f>HYPERLINK("https://klasma.github.io/Logging_1783/tillsyn/A 16319-2023 tillsynsbegäran.docx", "A 16319-2023")</f>
        <v/>
      </c>
      <c r="AD41">
        <f>HYPERLINK("https://klasma.github.io/Logging_1783/tillsynsmail/A 16319-2023 tillsynsbegäran mail.docx", "A 16319-2023")</f>
        <v/>
      </c>
    </row>
    <row r="42" ht="15" customHeight="1">
      <c r="A42" t="inlineStr">
        <is>
          <t>A 29432-2026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46203</v>
      </c>
      <c r="E42" s="1" t="n">
        <v>46235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3.1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HYPERLINK("https://klasma.github.io/Logging_1783/artfynd/A 29432-2026 artfynd.xlsx", "A 29432-2026")</f>
        <v/>
      </c>
      <c r="X42">
        <f>HYPERLINK("https://klasma.github.io/Logging_1783/kartor/A 29432-2026 karta.png", "A 29432-2026")</f>
        <v/>
      </c>
      <c r="Y42">
        <f>HYPERLINK("https://klasma.github.io/Logging_1783/kartor_geotiff/A 29432-2026 georefererad karta.tif", "A 29432-2026")</f>
        <v/>
      </c>
      <c r="AA42">
        <f>HYPERLINK("https://klasma.github.io/Logging_1783/klagomål/A 29432-2026 FSC-klagomål.docx", "A 29432-2026")</f>
        <v/>
      </c>
      <c r="AB42">
        <f>HYPERLINK("https://klasma.github.io/Logging_1783/klagomålsmail/A 29432-2026 FSC-klagomål mail.docx", "A 29432-2026")</f>
        <v/>
      </c>
      <c r="AC42">
        <f>HYPERLINK("https://klasma.github.io/Logging_1783/tillsyn/A 29432-2026 tillsynsbegäran.docx", "A 29432-2026")</f>
        <v/>
      </c>
      <c r="AD42">
        <f>HYPERLINK("https://klasma.github.io/Logging_1783/tillsynsmail/A 29432-2026 tillsynsbegäran mail.docx", "A 29432-2026")</f>
        <v/>
      </c>
    </row>
    <row r="43" ht="15" customHeight="1">
      <c r="A43" t="inlineStr">
        <is>
          <t>A 24659-2026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46235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24659-2026 artfynd.xlsx", "A 24659-2026")</f>
        <v/>
      </c>
      <c r="X43">
        <f>HYPERLINK("https://klasma.github.io/Logging_1783/kartor/A 24659-2026 karta.png", "A 24659-2026")</f>
        <v/>
      </c>
      <c r="Y43">
        <f>HYPERLINK("https://klasma.github.io/Logging_1783/kartor_geotiff/A 24659-2026 georefererad karta.tif", "A 24659-2026")</f>
        <v/>
      </c>
      <c r="AA43">
        <f>HYPERLINK("https://klasma.github.io/Logging_1783/klagomål/A 24659-2026 FSC-klagomål.docx", "A 24659-2026")</f>
        <v/>
      </c>
      <c r="AB43">
        <f>HYPERLINK("https://klasma.github.io/Logging_1783/klagomålsmail/A 24659-2026 FSC-klagomål mail.docx", "A 24659-2026")</f>
        <v/>
      </c>
      <c r="AC43">
        <f>HYPERLINK("https://klasma.github.io/Logging_1783/tillsyn/A 24659-2026 tillsynsbegäran.docx", "A 24659-2026")</f>
        <v/>
      </c>
      <c r="AD43">
        <f>HYPERLINK("https://klasma.github.io/Logging_1783/tillsynsmail/A 24659-2026 tillsynsbegäran mail.docx", "A 24659-2026")</f>
        <v/>
      </c>
    </row>
    <row r="44" ht="15" customHeight="1">
      <c r="A44" t="inlineStr">
        <is>
          <t>A 24716-2026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46235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82.3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Garnlav</t>
        </is>
      </c>
      <c r="W44">
        <f>HYPERLINK("https://klasma.github.io/Logging_1783/artfynd/A 24716-2026 artfynd.xlsx", "A 24716-2026")</f>
        <v/>
      </c>
      <c r="X44">
        <f>HYPERLINK("https://klasma.github.io/Logging_1783/kartor/A 24716-2026 karta.png", "A 24716-2026")</f>
        <v/>
      </c>
      <c r="Y44">
        <f>HYPERLINK("https://klasma.github.io/Logging_1783/kartor_geotiff/A 24716-2026 georefererad karta.tif", "A 24716-2026")</f>
        <v/>
      </c>
      <c r="AA44">
        <f>HYPERLINK("https://klasma.github.io/Logging_1783/klagomål/A 24716-2026 FSC-klagomål.docx", "A 24716-2026")</f>
        <v/>
      </c>
      <c r="AB44">
        <f>HYPERLINK("https://klasma.github.io/Logging_1783/klagomålsmail/A 24716-2026 FSC-klagomål mail.docx", "A 24716-2026")</f>
        <v/>
      </c>
      <c r="AC44">
        <f>HYPERLINK("https://klasma.github.io/Logging_1783/tillsyn/A 24716-2026 tillsynsbegäran.docx", "A 24716-2026")</f>
        <v/>
      </c>
      <c r="AD44">
        <f>HYPERLINK("https://klasma.github.io/Logging_1783/tillsynsmail/A 24716-2026 tillsynsbegäran mail.docx", "A 24716-2026")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46235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46235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46235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46235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31742-2026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46227</v>
      </c>
      <c r="E49" s="1" t="n">
        <v>46235</v>
      </c>
      <c r="F49" t="inlineStr">
        <is>
          <t>VÄRMLANDS LÄN</t>
        </is>
      </c>
      <c r="G49" t="inlineStr">
        <is>
          <t>HAGFORS</t>
        </is>
      </c>
      <c r="I49" t="n">
        <v>4.2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HYPERLINK("https://klasma.github.io/Logging_1783/artfynd/A 31742-2026 artfynd.xlsx", "A 31742-2026")</f>
        <v/>
      </c>
      <c r="X49">
        <f>HYPERLINK("https://klasma.github.io/Logging_1783/kartor/A 31742-2026 karta.png", "A 31742-2026")</f>
        <v/>
      </c>
      <c r="Y49">
        <f>HYPERLINK("https://klasma.github.io/Logging_1783/kartor_geotiff/A 31742-2026 georefererad karta.tif", "A 31742-2026")</f>
        <v/>
      </c>
      <c r="AA49">
        <f>HYPERLINK("https://klasma.github.io/Logging_1783/klagomål/A 31742-2026 FSC-klagomål.docx", "A 31742-2026")</f>
        <v/>
      </c>
      <c r="AB49">
        <f>HYPERLINK("https://klasma.github.io/Logging_1783/klagomålsmail/A 31742-2026 FSC-klagomål mail.docx", "A 31742-2026")</f>
        <v/>
      </c>
      <c r="AC49">
        <f>HYPERLINK("https://klasma.github.io/Logging_1783/tillsyn/A 31742-2026 tillsynsbegäran.docx", "A 31742-2026")</f>
        <v/>
      </c>
      <c r="AD49">
        <f>HYPERLINK("https://klasma.github.io/Logging_1783/tillsynsmail/A 31742-2026 tillsynsbegäran mail.docx", "A 31742-2026")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46235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12445-2026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46235</v>
      </c>
      <c r="F51" t="inlineStr">
        <is>
          <t>VÄRMLANDS LÄN</t>
        </is>
      </c>
      <c r="G51" t="inlineStr">
        <is>
          <t>HAGFORS</t>
        </is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12445-2026 artfynd.xlsx", "A 12445-2026")</f>
        <v/>
      </c>
      <c r="X51">
        <f>HYPERLINK("https://klasma.github.io/Logging_1783/kartor/A 12445-2026 karta.png", "A 12445-2026")</f>
        <v/>
      </c>
      <c r="Y51">
        <f>HYPERLINK("https://klasma.github.io/Logging_1783/kartor_geotiff/A 12445-2026 georefererad karta.tif", "A 12445-2026")</f>
        <v/>
      </c>
      <c r="AA51">
        <f>HYPERLINK("https://klasma.github.io/Logging_1783/klagomål/A 12445-2026 FSC-klagomål.docx", "A 12445-2026")</f>
        <v/>
      </c>
      <c r="AB51">
        <f>HYPERLINK("https://klasma.github.io/Logging_1783/klagomålsmail/A 12445-2026 FSC-klagomål mail.docx", "A 12445-2026")</f>
        <v/>
      </c>
      <c r="AC51">
        <f>HYPERLINK("https://klasma.github.io/Logging_1783/tillsyn/A 12445-2026 tillsynsbegäran.docx", "A 12445-2026")</f>
        <v/>
      </c>
      <c r="AD51">
        <f>HYPERLINK("https://klasma.github.io/Logging_1783/tillsynsmail/A 12445-2026 tillsynsbegäran mail.docx", "A 12445-2026")</f>
        <v/>
      </c>
      <c r="AE51">
        <f>HYPERLINK("https://klasma.github.io/Logging_1783/fåglar/A 12445-2026 prioriterade fågelarter.docx", "A 12445-2026")</f>
        <v/>
      </c>
    </row>
    <row r="52" ht="15" customHeight="1">
      <c r="A52" t="inlineStr">
        <is>
          <t>A 44095-2023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46235</v>
      </c>
      <c r="F52" t="inlineStr">
        <is>
          <t>VÄRMLANDS LÄN</t>
        </is>
      </c>
      <c r="G52" t="inlineStr">
        <is>
          <t>HAGFORS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44095-2023 artfynd.xlsx", "A 44095-2023")</f>
        <v/>
      </c>
      <c r="X52">
        <f>HYPERLINK("https://klasma.github.io/Logging_1783/kartor/A 44095-2023 karta.png", "A 44095-2023")</f>
        <v/>
      </c>
      <c r="Y52">
        <f>HYPERLINK("https://klasma.github.io/Logging_1783/kartor_geotiff/A 44095-2023 georefererad karta.tif", "A 44095-2023")</f>
        <v/>
      </c>
      <c r="AA52">
        <f>HYPERLINK("https://klasma.github.io/Logging_1783/klagomål/A 44095-2023 FSC-klagomål.docx", "A 44095-2023")</f>
        <v/>
      </c>
      <c r="AB52">
        <f>HYPERLINK("https://klasma.github.io/Logging_1783/klagomålsmail/A 44095-2023 FSC-klagomål mail.docx", "A 44095-2023")</f>
        <v/>
      </c>
      <c r="AC52">
        <f>HYPERLINK("https://klasma.github.io/Logging_1783/tillsyn/A 44095-2023 tillsynsbegäran.docx", "A 44095-2023")</f>
        <v/>
      </c>
      <c r="AD52">
        <f>HYPERLINK("https://klasma.github.io/Logging_1783/tillsynsmail/A 44095-2023 tillsynsbegäran mail.docx", "A 44095-2023")</f>
        <v/>
      </c>
    </row>
    <row r="53" ht="15" customHeight="1">
      <c r="A53" t="inlineStr">
        <is>
          <t>A 19362-2026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46133</v>
      </c>
      <c r="E53" s="1" t="n">
        <v>46235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19362-2026 artfynd.xlsx", "A 19362-2026")</f>
        <v/>
      </c>
      <c r="X53">
        <f>HYPERLINK("https://klasma.github.io/Logging_1783/kartor/A 19362-2026 karta.png", "A 19362-2026")</f>
        <v/>
      </c>
      <c r="Y53">
        <f>HYPERLINK("https://klasma.github.io/Logging_1783/kartor_geotiff/A 19362-2026 georefererad karta.tif", "A 19362-2026")</f>
        <v/>
      </c>
      <c r="AA53">
        <f>HYPERLINK("https://klasma.github.io/Logging_1783/klagomål/A 19362-2026 FSC-klagomål.docx", "A 19362-2026")</f>
        <v/>
      </c>
      <c r="AB53">
        <f>HYPERLINK("https://klasma.github.io/Logging_1783/klagomålsmail/A 19362-2026 FSC-klagomål mail.docx", "A 19362-2026")</f>
        <v/>
      </c>
      <c r="AC53">
        <f>HYPERLINK("https://klasma.github.io/Logging_1783/tillsyn/A 19362-2026 tillsynsbegäran.docx", "A 19362-2026")</f>
        <v/>
      </c>
      <c r="AD53">
        <f>HYPERLINK("https://klasma.github.io/Logging_1783/tillsynsmail/A 19362-2026 tillsynsbegäran mail.docx", "A 19362-2026")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46235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22484-2025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46235</v>
      </c>
      <c r="F55" t="inlineStr">
        <is>
          <t>VÄRMLANDS LÄN</t>
        </is>
      </c>
      <c r="G55" t="inlineStr">
        <is>
          <t>HAGFORS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HYPERLINK("https://klasma.github.io/Logging_1783/artfynd/A 22484-2025 artfynd.xlsx", "A 22484-2025")</f>
        <v/>
      </c>
      <c r="X55">
        <f>HYPERLINK("https://klasma.github.io/Logging_1783/kartor/A 22484-2025 karta.png", "A 22484-2025")</f>
        <v/>
      </c>
      <c r="Y55">
        <f>HYPERLINK("https://klasma.github.io/Logging_1783/kartor_geotiff/A 22484-2025 georefererad karta.tif", "A 22484-2025")</f>
        <v/>
      </c>
      <c r="AA55">
        <f>HYPERLINK("https://klasma.github.io/Logging_1783/klagomål/A 22484-2025 FSC-klagomål.docx", "A 22484-2025")</f>
        <v/>
      </c>
      <c r="AB55">
        <f>HYPERLINK("https://klasma.github.io/Logging_1783/klagomålsmail/A 22484-2025 FSC-klagomål mail.docx", "A 22484-2025")</f>
        <v/>
      </c>
      <c r="AC55">
        <f>HYPERLINK("https://klasma.github.io/Logging_1783/tillsyn/A 22484-2025 tillsynsbegäran.docx", "A 22484-2025")</f>
        <v/>
      </c>
      <c r="AD55">
        <f>HYPERLINK("https://klasma.github.io/Logging_1783/tillsynsmail/A 22484-2025 tillsynsbegäran mail.docx", "A 22484-2025")</f>
        <v/>
      </c>
    </row>
    <row r="56" ht="15" customHeight="1">
      <c r="A56" t="inlineStr">
        <is>
          <t>A 24885-2025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46235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Mörk husmossa</t>
        </is>
      </c>
      <c r="W56">
        <f>HYPERLINK("https://klasma.github.io/Logging_1783/artfynd/A 24885-2025 artfynd.xlsx", "A 24885-2025")</f>
        <v/>
      </c>
      <c r="X56">
        <f>HYPERLINK("https://klasma.github.io/Logging_1783/kartor/A 24885-2025 karta.png", "A 24885-2025")</f>
        <v/>
      </c>
      <c r="Y56">
        <f>HYPERLINK("https://klasma.github.io/Logging_1783/kartor_geotiff/A 24885-2025 georefererad karta.tif", "A 24885-2025")</f>
        <v/>
      </c>
      <c r="AA56">
        <f>HYPERLINK("https://klasma.github.io/Logging_1783/klagomål/A 24885-2025 FSC-klagomål.docx", "A 24885-2025")</f>
        <v/>
      </c>
      <c r="AB56">
        <f>HYPERLINK("https://klasma.github.io/Logging_1783/klagomålsmail/A 24885-2025 FSC-klagomål mail.docx", "A 24885-2025")</f>
        <v/>
      </c>
      <c r="AC56">
        <f>HYPERLINK("https://klasma.github.io/Logging_1783/tillsyn/A 24885-2025 tillsynsbegäran.docx", "A 24885-2025")</f>
        <v/>
      </c>
      <c r="AD56">
        <f>HYPERLINK("https://klasma.github.io/Logging_1783/tillsynsmail/A 24885-2025 tillsynsbegäran mail.docx", "A 24885-2025")</f>
        <v/>
      </c>
    </row>
    <row r="57" ht="15" customHeight="1">
      <c r="A57" t="inlineStr">
        <is>
          <t>A 26624-2025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45810</v>
      </c>
      <c r="E57" s="1" t="n">
        <v>46235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HYPERLINK("https://klasma.github.io/Logging_1783/artfynd/A 26624-2025 artfynd.xlsx", "A 26624-2025")</f>
        <v/>
      </c>
      <c r="X57">
        <f>HYPERLINK("https://klasma.github.io/Logging_1783/kartor/A 26624-2025 karta.png", "A 26624-2025")</f>
        <v/>
      </c>
      <c r="Y57">
        <f>HYPERLINK("https://klasma.github.io/Logging_1783/kartor_geotiff/A 26624-2025 georefererad karta.tif", "A 26624-2025")</f>
        <v/>
      </c>
      <c r="AA57">
        <f>HYPERLINK("https://klasma.github.io/Logging_1783/klagomål/A 26624-2025 FSC-klagomål.docx", "A 26624-2025")</f>
        <v/>
      </c>
      <c r="AB57">
        <f>HYPERLINK("https://klasma.github.io/Logging_1783/klagomålsmail/A 26624-2025 FSC-klagomål mail.docx", "A 26624-2025")</f>
        <v/>
      </c>
      <c r="AC57">
        <f>HYPERLINK("https://klasma.github.io/Logging_1783/tillsyn/A 26624-2025 tillsynsbegäran.docx", "A 26624-2025")</f>
        <v/>
      </c>
      <c r="AD57">
        <f>HYPERLINK("https://klasma.github.io/Logging_1783/tillsynsmail/A 26624-2025 tillsynsbegäran mail.docx", "A 26624-2025")</f>
        <v/>
      </c>
    </row>
    <row r="58" ht="15" customHeight="1">
      <c r="A58" t="inlineStr">
        <is>
          <t>A 33848-2025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46235</v>
      </c>
      <c r="F58" t="inlineStr">
        <is>
          <t>VÄRMLANDS LÄN</t>
        </is>
      </c>
      <c r="G58" t="inlineStr">
        <is>
          <t>HAGFORS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33848-2025 artfynd.xlsx", "A 33848-2025")</f>
        <v/>
      </c>
      <c r="X58">
        <f>HYPERLINK("https://klasma.github.io/Logging_1783/kartor/A 33848-2025 karta.png", "A 33848-2025")</f>
        <v/>
      </c>
      <c r="Y58">
        <f>HYPERLINK("https://klasma.github.io/Logging_1783/kartor_geotiff/A 33848-2025 georefererad karta.tif", "A 33848-2025")</f>
        <v/>
      </c>
      <c r="AA58">
        <f>HYPERLINK("https://klasma.github.io/Logging_1783/klagomål/A 33848-2025 FSC-klagomål.docx", "A 33848-2025")</f>
        <v/>
      </c>
      <c r="AB58">
        <f>HYPERLINK("https://klasma.github.io/Logging_1783/klagomålsmail/A 33848-2025 FSC-klagomål mail.docx", "A 33848-2025")</f>
        <v/>
      </c>
      <c r="AC58">
        <f>HYPERLINK("https://klasma.github.io/Logging_1783/tillsyn/A 33848-2025 tillsynsbegäran.docx", "A 33848-2025")</f>
        <v/>
      </c>
      <c r="AD58">
        <f>HYPERLINK("https://klasma.github.io/Logging_1783/tillsynsmail/A 33848-2025 tillsynsbegäran mail.docx", "A 33848-2025")</f>
        <v/>
      </c>
    </row>
    <row r="59" ht="15" customHeight="1">
      <c r="A59" t="inlineStr">
        <is>
          <t>A 20119-2025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45772</v>
      </c>
      <c r="E59" s="1" t="n">
        <v>46235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HYPERLINK("https://klasma.github.io/Logging_1783/artfynd/A 20119-2025 artfynd.xlsx", "A 20119-2025")</f>
        <v/>
      </c>
      <c r="X59">
        <f>HYPERLINK("https://klasma.github.io/Logging_1783/kartor/A 20119-2025 karta.png", "A 20119-2025")</f>
        <v/>
      </c>
      <c r="Y59">
        <f>HYPERLINK("https://klasma.github.io/Logging_1783/kartor_geotiff/A 20119-2025 georefererad karta.tif", "A 20119-2025")</f>
        <v/>
      </c>
      <c r="AA59">
        <f>HYPERLINK("https://klasma.github.io/Logging_1783/klagomål/A 20119-2025 FSC-klagomål.docx", "A 20119-2025")</f>
        <v/>
      </c>
      <c r="AB59">
        <f>HYPERLINK("https://klasma.github.io/Logging_1783/klagomålsmail/A 20119-2025 FSC-klagomål mail.docx", "A 20119-2025")</f>
        <v/>
      </c>
      <c r="AC59">
        <f>HYPERLINK("https://klasma.github.io/Logging_1783/tillsyn/A 20119-2025 tillsynsbegäran.docx", "A 20119-2025")</f>
        <v/>
      </c>
      <c r="AD59">
        <f>HYPERLINK("https://klasma.github.io/Logging_1783/tillsynsmail/A 20119-2025 tillsynsbegäran mail.docx", "A 20119-2025")</f>
        <v/>
      </c>
      <c r="AE59">
        <f>HYPERLINK("https://klasma.github.io/Logging_1783/fåglar/A 20119-2025 prioriterade fågelarter.docx", "A 20119-2025")</f>
        <v/>
      </c>
    </row>
    <row r="60" ht="15" customHeight="1">
      <c r="A60" t="inlineStr">
        <is>
          <t>A 33905-2025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45842</v>
      </c>
      <c r="E60" s="1" t="n">
        <v>46235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7.8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HYPERLINK("https://klasma.github.io/Logging_1783/artfynd/A 33905-2025 artfynd.xlsx", "A 33905-2025")</f>
        <v/>
      </c>
      <c r="X60">
        <f>HYPERLINK("https://klasma.github.io/Logging_1783/kartor/A 33905-2025 karta.png", "A 33905-2025")</f>
        <v/>
      </c>
      <c r="Y60">
        <f>HYPERLINK("https://klasma.github.io/Logging_1783/kartor_geotiff/A 33905-2025 georefererad karta.tif", "A 33905-2025")</f>
        <v/>
      </c>
      <c r="AA60">
        <f>HYPERLINK("https://klasma.github.io/Logging_1783/klagomål/A 33905-2025 FSC-klagomål.docx", "A 33905-2025")</f>
        <v/>
      </c>
      <c r="AB60">
        <f>HYPERLINK("https://klasma.github.io/Logging_1783/klagomålsmail/A 33905-2025 FSC-klagomål mail.docx", "A 33905-2025")</f>
        <v/>
      </c>
      <c r="AC60">
        <f>HYPERLINK("https://klasma.github.io/Logging_1783/tillsyn/A 33905-2025 tillsynsbegäran.docx", "A 33905-2025")</f>
        <v/>
      </c>
      <c r="AD60">
        <f>HYPERLINK("https://klasma.github.io/Logging_1783/tillsynsmail/A 33905-2025 tillsynsbegäran mail.docx", "A 33905-2025")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46235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46235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46235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46235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46235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46235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46235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46235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46235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46235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46235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46235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46235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46235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46235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46235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46235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46235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46235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46235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46235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46235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46235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46235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46235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46235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46235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46235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46235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46235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46235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46235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46235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46235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46235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46235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46235</v>
      </c>
      <c r="F98" t="inlineStr">
        <is>
          <t>VÄRMLANDS LÄN</t>
        </is>
      </c>
      <c r="G98" t="inlineStr">
        <is>
          <t>HAGFORS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46235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46235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46235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46235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46235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46235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46235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46235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46235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46235</v>
      </c>
      <c r="F108" t="inlineStr">
        <is>
          <t>VÄRMLANDS LÄN</t>
        </is>
      </c>
      <c r="G108" t="inlineStr">
        <is>
          <t>HAGFORS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46235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46235</v>
      </c>
      <c r="F110" t="inlineStr">
        <is>
          <t>VÄRMLANDS LÄN</t>
        </is>
      </c>
      <c r="G110" t="inlineStr">
        <is>
          <t>HAGFORS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60167-2023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45258</v>
      </c>
      <c r="E111" s="1" t="n">
        <v>46235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46235</v>
      </c>
      <c r="F112" t="inlineStr">
        <is>
          <t>VÄRMLANDS LÄN</t>
        </is>
      </c>
      <c r="G112" t="inlineStr">
        <is>
          <t>HAGFORS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46235</v>
      </c>
      <c r="F113" t="inlineStr">
        <is>
          <t>VÄRMLANDS LÄN</t>
        </is>
      </c>
      <c r="G113" t="inlineStr">
        <is>
          <t>HAGFORS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46235</v>
      </c>
      <c r="F114" t="inlineStr">
        <is>
          <t>VÄRMLANDS LÄN</t>
        </is>
      </c>
      <c r="G114" t="inlineStr">
        <is>
          <t>HAGFORS</t>
        </is>
      </c>
      <c r="H114" t="inlineStr">
        <is>
          <t>Kommuner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46235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45435</v>
      </c>
      <c r="E116" s="1" t="n">
        <v>46235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46235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33.2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46235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46235</v>
      </c>
      <c r="F119" t="inlineStr">
        <is>
          <t>VÄRMLANDS LÄN</t>
        </is>
      </c>
      <c r="G119" t="inlineStr">
        <is>
          <t>HAGFORS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46235</v>
      </c>
      <c r="F120" t="inlineStr">
        <is>
          <t>VÄRMLANDS LÄN</t>
        </is>
      </c>
      <c r="G120" t="inlineStr">
        <is>
          <t>HAGFORS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44741</v>
      </c>
      <c r="E121" s="1" t="n">
        <v>46235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44610</v>
      </c>
      <c r="E122" s="1" t="n">
        <v>46235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44887</v>
      </c>
      <c r="E123" s="1" t="n">
        <v>46235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46235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46235</v>
      </c>
      <c r="F125" t="inlineStr">
        <is>
          <t>VÄRMLANDS LÄN</t>
        </is>
      </c>
      <c r="G125" t="inlineStr">
        <is>
          <t>HAGFORS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17402-2022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44678</v>
      </c>
      <c r="E126" s="1" t="n">
        <v>46235</v>
      </c>
      <c r="F126" t="inlineStr">
        <is>
          <t>VÄRMLANDS LÄN</t>
        </is>
      </c>
      <c r="G126" t="inlineStr">
        <is>
          <t>HAGFORS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46235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44594</v>
      </c>
      <c r="E128" s="1" t="n">
        <v>46235</v>
      </c>
      <c r="F128" t="inlineStr">
        <is>
          <t>VÄRMLANDS LÄN</t>
        </is>
      </c>
      <c r="G128" t="inlineStr">
        <is>
          <t>HAGFORS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46235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53757-2021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46235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46235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46235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44951</v>
      </c>
      <c r="E133" s="1" t="n">
        <v>46235</v>
      </c>
      <c r="F133" t="inlineStr">
        <is>
          <t>VÄRMLANDS LÄN</t>
        </is>
      </c>
      <c r="G133" t="inlineStr">
        <is>
          <t>HAGFORS</t>
        </is>
      </c>
      <c r="H133" t="inlineStr">
        <is>
          <t>Kommuner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46235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46235</v>
      </c>
      <c r="F135" t="inlineStr">
        <is>
          <t>VÄRMLANDS LÄN</t>
        </is>
      </c>
      <c r="G135" t="inlineStr">
        <is>
          <t>HAGFORS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61169-2024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45645</v>
      </c>
      <c r="E136" s="1" t="n">
        <v>46235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46235</v>
      </c>
      <c r="F137" t="inlineStr">
        <is>
          <t>VÄRMLANDS LÄN</t>
        </is>
      </c>
      <c r="G137" t="inlineStr">
        <is>
          <t>HAGFORS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46235</v>
      </c>
      <c r="F138" t="inlineStr">
        <is>
          <t>VÄRMLANDS LÄN</t>
        </is>
      </c>
      <c r="G138" t="inlineStr">
        <is>
          <t>HAGFORS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46235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61902-2021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46235</v>
      </c>
      <c r="F140" t="inlineStr">
        <is>
          <t>VÄRMLANDS LÄN</t>
        </is>
      </c>
      <c r="G140" t="inlineStr">
        <is>
          <t>HAGFORS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45681</v>
      </c>
      <c r="E141" s="1" t="n">
        <v>46235</v>
      </c>
      <c r="F141" t="inlineStr">
        <is>
          <t>VÄRMLANDS LÄN</t>
        </is>
      </c>
      <c r="G141" t="inlineStr">
        <is>
          <t>HAGFORS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46235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71447-2021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44540</v>
      </c>
      <c r="E143" s="1" t="n">
        <v>46235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45335</v>
      </c>
      <c r="E144" s="1" t="n">
        <v>46235</v>
      </c>
      <c r="F144" t="inlineStr">
        <is>
          <t>VÄRMLANDS LÄN</t>
        </is>
      </c>
      <c r="G144" t="inlineStr">
        <is>
          <t>HAGFORS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46235</v>
      </c>
      <c r="F145" t="inlineStr">
        <is>
          <t>VÄRMLANDS LÄN</t>
        </is>
      </c>
      <c r="G145" t="inlineStr">
        <is>
          <t>HAGFORS</t>
        </is>
      </c>
      <c r="H145" t="inlineStr">
        <is>
          <t>Kommuner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11104-2022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44628</v>
      </c>
      <c r="E146" s="1" t="n">
        <v>46235</v>
      </c>
      <c r="F146" t="inlineStr">
        <is>
          <t>VÄRMLANDS LÄN</t>
        </is>
      </c>
      <c r="G146" t="inlineStr">
        <is>
          <t>HAGFORS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44924</v>
      </c>
      <c r="E147" s="1" t="n">
        <v>46235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46235</v>
      </c>
      <c r="F148" t="inlineStr">
        <is>
          <t>VÄRMLANDS LÄN</t>
        </is>
      </c>
      <c r="G148" t="inlineStr">
        <is>
          <t>HAGFORS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46235</v>
      </c>
      <c r="F149" t="inlineStr">
        <is>
          <t>VÄRMLANDS LÄN</t>
        </is>
      </c>
      <c r="G149" t="inlineStr">
        <is>
          <t>HAGFORS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46235</v>
      </c>
      <c r="F150" t="inlineStr">
        <is>
          <t>VÄRMLANDS LÄN</t>
        </is>
      </c>
      <c r="G150" t="inlineStr">
        <is>
          <t>HAGFORS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44770</v>
      </c>
      <c r="E151" s="1" t="n">
        <v>46235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15538-2024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45401</v>
      </c>
      <c r="E152" s="1" t="n">
        <v>46235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45414</v>
      </c>
      <c r="E153" s="1" t="n">
        <v>46235</v>
      </c>
      <c r="F153" t="inlineStr">
        <is>
          <t>VÄRMLANDS LÄN</t>
        </is>
      </c>
      <c r="G153" t="inlineStr">
        <is>
          <t>HAGFORS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17329-2024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45414</v>
      </c>
      <c r="E154" s="1" t="n">
        <v>46235</v>
      </c>
      <c r="F154" t="inlineStr">
        <is>
          <t>VÄRMLANDS LÄN</t>
        </is>
      </c>
      <c r="G154" t="inlineStr">
        <is>
          <t>HAGFORS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46235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46235</v>
      </c>
      <c r="F156" t="inlineStr">
        <is>
          <t>VÄRMLANDS LÄN</t>
        </is>
      </c>
      <c r="G156" t="inlineStr">
        <is>
          <t>HAGFORS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46235</v>
      </c>
      <c r="F157" t="inlineStr">
        <is>
          <t>VÄRMLANDS LÄN</t>
        </is>
      </c>
      <c r="G157" t="inlineStr">
        <is>
          <t>HAGFORS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46235</v>
      </c>
      <c r="F158" t="inlineStr">
        <is>
          <t>VÄRMLANDS LÄN</t>
        </is>
      </c>
      <c r="G158" t="inlineStr">
        <is>
          <t>HAGFORS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46235</v>
      </c>
      <c r="F159" t="inlineStr">
        <is>
          <t>VÄRMLANDS LÄN</t>
        </is>
      </c>
      <c r="G159" t="inlineStr">
        <is>
          <t>HAGFORS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46235</v>
      </c>
      <c r="F160" t="inlineStr">
        <is>
          <t>VÄRMLANDS LÄN</t>
        </is>
      </c>
      <c r="G160" t="inlineStr">
        <is>
          <t>HAGFORS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46235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46235</v>
      </c>
      <c r="F162" t="inlineStr">
        <is>
          <t>VÄRMLANDS LÄN</t>
        </is>
      </c>
      <c r="G162" t="inlineStr">
        <is>
          <t>HAGFORS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46235</v>
      </c>
      <c r="F163" t="inlineStr">
        <is>
          <t>VÄRMLANDS LÄN</t>
        </is>
      </c>
      <c r="G163" t="inlineStr">
        <is>
          <t>HAGFORS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46235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45050</v>
      </c>
      <c r="E165" s="1" t="n">
        <v>46235</v>
      </c>
      <c r="F165" t="inlineStr">
        <is>
          <t>VÄRMLANDS LÄN</t>
        </is>
      </c>
      <c r="G165" t="inlineStr">
        <is>
          <t>HAGFORS</t>
        </is>
      </c>
      <c r="H165" t="inlineStr">
        <is>
          <t>Kommuner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45425</v>
      </c>
      <c r="E166" s="1" t="n">
        <v>46235</v>
      </c>
      <c r="F166" t="inlineStr">
        <is>
          <t>VÄRMLANDS LÄN</t>
        </is>
      </c>
      <c r="G166" t="inlineStr">
        <is>
          <t>HAGFORS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60664-2023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45259</v>
      </c>
      <c r="E167" s="1" t="n">
        <v>46235</v>
      </c>
      <c r="F167" t="inlineStr">
        <is>
          <t>VÄRMLANDS LÄN</t>
        </is>
      </c>
      <c r="G167" t="inlineStr">
        <is>
          <t>HAGFORS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46235</v>
      </c>
      <c r="F168" t="inlineStr">
        <is>
          <t>VÄRMLANDS LÄN</t>
        </is>
      </c>
      <c r="G168" t="inlineStr">
        <is>
          <t>HAGFORS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12673-2024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45384</v>
      </c>
      <c r="E169" s="1" t="n">
        <v>46235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46235</v>
      </c>
      <c r="F170" t="inlineStr">
        <is>
          <t>VÄRMLANDS LÄN</t>
        </is>
      </c>
      <c r="G170" t="inlineStr">
        <is>
          <t>HAGFORS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46235</v>
      </c>
      <c r="F171" t="inlineStr">
        <is>
          <t>VÄRMLANDS LÄN</t>
        </is>
      </c>
      <c r="G171" t="inlineStr">
        <is>
          <t>HAGFORS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46235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46235</v>
      </c>
      <c r="F173" t="inlineStr">
        <is>
          <t>VÄRMLANDS LÄN</t>
        </is>
      </c>
      <c r="G173" t="inlineStr">
        <is>
          <t>HAGFORS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44938</v>
      </c>
      <c r="E174" s="1" t="n">
        <v>46235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46235</v>
      </c>
      <c r="F175" t="inlineStr">
        <is>
          <t>VÄRMLANDS LÄN</t>
        </is>
      </c>
      <c r="G175" t="inlineStr">
        <is>
          <t>HAGFORS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46235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46235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46235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46235</v>
      </c>
      <c r="F179" t="inlineStr">
        <is>
          <t>VÄRMLANDS LÄN</t>
        </is>
      </c>
      <c r="G179" t="inlineStr">
        <is>
          <t>HAGFORS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46235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46235</v>
      </c>
      <c r="F181" t="inlineStr">
        <is>
          <t>VÄRMLANDS LÄN</t>
        </is>
      </c>
      <c r="G181" t="inlineStr">
        <is>
          <t>HAGFORS</t>
        </is>
      </c>
      <c r="I181" t="n">
        <v>11.5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46235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45492</v>
      </c>
      <c r="E183" s="1" t="n">
        <v>46235</v>
      </c>
      <c r="F183" t="inlineStr">
        <is>
          <t>VÄRMLANDS LÄN</t>
        </is>
      </c>
      <c r="G183" t="inlineStr">
        <is>
          <t>HAGFORS</t>
        </is>
      </c>
      <c r="H183" t="inlineStr">
        <is>
          <t>Kyrkan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45527</v>
      </c>
      <c r="E184" s="1" t="n">
        <v>46235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46235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44834</v>
      </c>
      <c r="E186" s="1" t="n">
        <v>46235</v>
      </c>
      <c r="F186" t="inlineStr">
        <is>
          <t>VÄRMLANDS LÄN</t>
        </is>
      </c>
      <c r="G186" t="inlineStr">
        <is>
          <t>HAGFORS</t>
        </is>
      </c>
      <c r="H186" t="inlineStr">
        <is>
          <t>Kyrkan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46235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46235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46235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46235</v>
      </c>
      <c r="F190" t="inlineStr">
        <is>
          <t>VÄRMLANDS LÄN</t>
        </is>
      </c>
      <c r="G190" t="inlineStr">
        <is>
          <t>HAGFORS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46235</v>
      </c>
      <c r="F191" t="inlineStr">
        <is>
          <t>VÄRMLANDS LÄN</t>
        </is>
      </c>
      <c r="G191" t="inlineStr">
        <is>
          <t>HAGFORS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46235</v>
      </c>
      <c r="F192" t="inlineStr">
        <is>
          <t>VÄRMLANDS LÄN</t>
        </is>
      </c>
      <c r="G192" t="inlineStr">
        <is>
          <t>HAGFORS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45371</v>
      </c>
      <c r="E193" s="1" t="n">
        <v>46235</v>
      </c>
      <c r="F193" t="inlineStr">
        <is>
          <t>VÄRMLANDS LÄN</t>
        </is>
      </c>
      <c r="G193" t="inlineStr">
        <is>
          <t>HAGFORS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45033</v>
      </c>
      <c r="E194" s="1" t="n">
        <v>46235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35994-2024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46235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44883</v>
      </c>
      <c r="E196" s="1" t="n">
        <v>46235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45420</v>
      </c>
      <c r="E197" s="1" t="n">
        <v>46235</v>
      </c>
      <c r="F197" t="inlineStr">
        <is>
          <t>VÄRMLANDS LÄN</t>
        </is>
      </c>
      <c r="G197" t="inlineStr">
        <is>
          <t>HAGFORS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46235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45201</v>
      </c>
      <c r="E199" s="1" t="n">
        <v>46235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46235</v>
      </c>
      <c r="F200" t="inlineStr">
        <is>
          <t>VÄRMLANDS LÄN</t>
        </is>
      </c>
      <c r="G200" t="inlineStr">
        <is>
          <t>HAGFORS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46235</v>
      </c>
      <c r="F201" t="inlineStr">
        <is>
          <t>VÄRMLANDS LÄN</t>
        </is>
      </c>
      <c r="G201" t="inlineStr">
        <is>
          <t>HAGFORS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41015-2025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46235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46235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46235</v>
      </c>
      <c r="F204" t="inlineStr">
        <is>
          <t>VÄRMLANDS LÄN</t>
        </is>
      </c>
      <c r="G204" t="inlineStr">
        <is>
          <t>HAGFORS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46235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46235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46235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46235</v>
      </c>
      <c r="F208" t="inlineStr">
        <is>
          <t>VÄRMLANDS LÄN</t>
        </is>
      </c>
      <c r="G208" t="inlineStr">
        <is>
          <t>HAGFORS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46235</v>
      </c>
      <c r="F209" t="inlineStr">
        <is>
          <t>VÄRMLANDS LÄN</t>
        </is>
      </c>
      <c r="G209" t="inlineStr">
        <is>
          <t>HAGFORS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41739-2025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45902</v>
      </c>
      <c r="E210" s="1" t="n">
        <v>46235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45783</v>
      </c>
      <c r="E211" s="1" t="n">
        <v>46235</v>
      </c>
      <c r="F211" t="inlineStr">
        <is>
          <t>VÄRMLANDS LÄN</t>
        </is>
      </c>
      <c r="G211" t="inlineStr">
        <is>
          <t>HAGFORS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12426-2024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45379</v>
      </c>
      <c r="E212" s="1" t="n">
        <v>46235</v>
      </c>
      <c r="F212" t="inlineStr">
        <is>
          <t>VÄRMLANDS LÄN</t>
        </is>
      </c>
      <c r="G212" t="inlineStr">
        <is>
          <t>HAGFORS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46235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46235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45786</v>
      </c>
      <c r="E215" s="1" t="n">
        <v>46235</v>
      </c>
      <c r="F215" t="inlineStr">
        <is>
          <t>VÄRMLANDS LÄN</t>
        </is>
      </c>
      <c r="G215" t="inlineStr">
        <is>
          <t>HAGFORS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46235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46235</v>
      </c>
      <c r="F217" t="inlineStr">
        <is>
          <t>VÄRMLANDS LÄN</t>
        </is>
      </c>
      <c r="G217" t="inlineStr">
        <is>
          <t>HAGFORS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46235</v>
      </c>
      <c r="F218" t="inlineStr">
        <is>
          <t>VÄRMLANDS LÄN</t>
        </is>
      </c>
      <c r="G218" t="inlineStr">
        <is>
          <t>HAGFORS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46235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46235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46235</v>
      </c>
      <c r="F221" t="inlineStr">
        <is>
          <t>VÄRMLANDS LÄN</t>
        </is>
      </c>
      <c r="G221" t="inlineStr">
        <is>
          <t>HAGFORS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45847</v>
      </c>
      <c r="E222" s="1" t="n">
        <v>46235</v>
      </c>
      <c r="F222" t="inlineStr">
        <is>
          <t>VÄRMLANDS LÄN</t>
        </is>
      </c>
      <c r="G222" t="inlineStr">
        <is>
          <t>HAGFORS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46235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45282</v>
      </c>
      <c r="E224" s="1" t="n">
        <v>46235</v>
      </c>
      <c r="F224" t="inlineStr">
        <is>
          <t>VÄRMLANDS LÄN</t>
        </is>
      </c>
      <c r="G224" t="inlineStr">
        <is>
          <t>HAGFORS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46020</v>
      </c>
      <c r="E225" s="1" t="n">
        <v>46235</v>
      </c>
      <c r="F225" t="inlineStr">
        <is>
          <t>VÄRMLANDS LÄN</t>
        </is>
      </c>
      <c r="G225" t="inlineStr">
        <is>
          <t>HAGFORS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46235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46235</v>
      </c>
      <c r="F227" t="inlineStr">
        <is>
          <t>VÄRMLANDS LÄN</t>
        </is>
      </c>
      <c r="G227" t="inlineStr">
        <is>
          <t>HAGFORS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45484</v>
      </c>
      <c r="E228" s="1" t="n">
        <v>46235</v>
      </c>
      <c r="F228" t="inlineStr">
        <is>
          <t>VÄRMLANDS LÄN</t>
        </is>
      </c>
      <c r="G228" t="inlineStr">
        <is>
          <t>HAGFORS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46235</v>
      </c>
      <c r="F229" t="inlineStr">
        <is>
          <t>VÄRMLANDS LÄN</t>
        </is>
      </c>
      <c r="G229" t="inlineStr">
        <is>
          <t>HAGFORS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46235</v>
      </c>
      <c r="F230" t="inlineStr">
        <is>
          <t>VÄRMLANDS LÄN</t>
        </is>
      </c>
      <c r="G230" t="inlineStr">
        <is>
          <t>HAGFORS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46235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46139</v>
      </c>
      <c r="E232" s="1" t="n">
        <v>46235</v>
      </c>
      <c r="F232" t="inlineStr">
        <is>
          <t>VÄRMLANDS LÄN</t>
        </is>
      </c>
      <c r="G232" t="inlineStr">
        <is>
          <t>HAGFORS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46235</v>
      </c>
      <c r="F233" t="inlineStr">
        <is>
          <t>VÄRMLANDS LÄN</t>
        </is>
      </c>
      <c r="G233" t="inlineStr">
        <is>
          <t>HAGFORS</t>
        </is>
      </c>
      <c r="H233" t="inlineStr">
        <is>
          <t>Kyrkan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46235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46235</v>
      </c>
      <c r="F235" t="inlineStr">
        <is>
          <t>VÄRMLANDS LÄN</t>
        </is>
      </c>
      <c r="G235" t="inlineStr">
        <is>
          <t>HAGFORS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45390</v>
      </c>
      <c r="E236" s="1" t="n">
        <v>46235</v>
      </c>
      <c r="F236" t="inlineStr">
        <is>
          <t>VÄRMLANDS LÄN</t>
        </is>
      </c>
      <c r="G236" t="inlineStr">
        <is>
          <t>HAGFORS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46235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46235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46235</v>
      </c>
      <c r="F239" t="inlineStr">
        <is>
          <t>VÄRMLANDS LÄN</t>
        </is>
      </c>
      <c r="G239" t="inlineStr">
        <is>
          <t>HAGFORS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46235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45796</v>
      </c>
      <c r="E241" s="1" t="n">
        <v>46235</v>
      </c>
      <c r="F241" t="inlineStr">
        <is>
          <t>VÄRMLANDS LÄN</t>
        </is>
      </c>
      <c r="G241" t="inlineStr">
        <is>
          <t>HAGFORS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46235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46235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46235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59048-2022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44903</v>
      </c>
      <c r="E245" s="1" t="n">
        <v>46235</v>
      </c>
      <c r="F245" t="inlineStr">
        <is>
          <t>VÄRMLANDS LÄN</t>
        </is>
      </c>
      <c r="G245" t="inlineStr">
        <is>
          <t>HAGFORS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45765</v>
      </c>
      <c r="E246" s="1" t="n">
        <v>46235</v>
      </c>
      <c r="F246" t="inlineStr">
        <is>
          <t>VÄRMLANDS LÄN</t>
        </is>
      </c>
      <c r="G246" t="inlineStr">
        <is>
          <t>HAGFORS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46235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46235</v>
      </c>
      <c r="F248" t="inlineStr">
        <is>
          <t>VÄRMLANDS LÄN</t>
        </is>
      </c>
      <c r="G248" t="inlineStr">
        <is>
          <t>HAGFORS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46235</v>
      </c>
      <c r="F249" t="inlineStr">
        <is>
          <t>VÄRMLANDS LÄN</t>
        </is>
      </c>
      <c r="G249" t="inlineStr">
        <is>
          <t>HAGFORS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46235</v>
      </c>
      <c r="F250" t="inlineStr">
        <is>
          <t>VÄRMLANDS LÄN</t>
        </is>
      </c>
      <c r="G250" t="inlineStr">
        <is>
          <t>HAGFORS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46235</v>
      </c>
      <c r="F251" t="inlineStr">
        <is>
          <t>VÄRMLANDS LÄN</t>
        </is>
      </c>
      <c r="G251" t="inlineStr">
        <is>
          <t>HAGFORS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45106</v>
      </c>
      <c r="E252" s="1" t="n">
        <v>46235</v>
      </c>
      <c r="F252" t="inlineStr">
        <is>
          <t>VÄRMLANDS LÄN</t>
        </is>
      </c>
      <c r="G252" t="inlineStr">
        <is>
          <t>HAGFORS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46235</v>
      </c>
      <c r="F253" t="inlineStr">
        <is>
          <t>VÄRMLANDS LÄN</t>
        </is>
      </c>
      <c r="G253" t="inlineStr">
        <is>
          <t>HAGFORS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60221-2023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45258</v>
      </c>
      <c r="E254" s="1" t="n">
        <v>46235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46235</v>
      </c>
      <c r="F255" t="inlineStr">
        <is>
          <t>VÄRMLANDS LÄN</t>
        </is>
      </c>
      <c r="G255" t="inlineStr">
        <is>
          <t>HAGFORS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46235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46235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34541-2024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46235</v>
      </c>
      <c r="F258" t="inlineStr">
        <is>
          <t>VÄRMLANDS LÄN</t>
        </is>
      </c>
      <c r="G258" t="inlineStr">
        <is>
          <t>HAGFORS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46235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46235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46235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46235</v>
      </c>
      <c r="F262" t="inlineStr">
        <is>
          <t>VÄRMLANDS LÄN</t>
        </is>
      </c>
      <c r="G262" t="inlineStr">
        <is>
          <t>HAGFORS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68252-2021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44526</v>
      </c>
      <c r="E263" s="1" t="n">
        <v>46235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46235</v>
      </c>
      <c r="F264" t="inlineStr">
        <is>
          <t>VÄRMLANDS LÄN</t>
        </is>
      </c>
      <c r="G264" t="inlineStr">
        <is>
          <t>HAGFORS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46235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46235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20752-2026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46141</v>
      </c>
      <c r="E267" s="1" t="n">
        <v>46235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46235</v>
      </c>
      <c r="F268" t="inlineStr">
        <is>
          <t>VÄRMLANDS LÄN</t>
        </is>
      </c>
      <c r="G268" t="inlineStr">
        <is>
          <t>HAGFORS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45927</v>
      </c>
      <c r="E269" s="1" t="n">
        <v>46235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45005</v>
      </c>
      <c r="E270" s="1" t="n">
        <v>46235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44125-2021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44434</v>
      </c>
      <c r="E271" s="1" t="n">
        <v>46235</v>
      </c>
      <c r="F271" t="inlineStr">
        <is>
          <t>VÄRMLANDS LÄN</t>
        </is>
      </c>
      <c r="G271" t="inlineStr">
        <is>
          <t>HAGFORS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20880-2026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46142</v>
      </c>
      <c r="E272" s="1" t="n">
        <v>46235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46235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22.1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45927</v>
      </c>
      <c r="E274" s="1" t="n">
        <v>46235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46235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45671</v>
      </c>
      <c r="E276" s="1" t="n">
        <v>46235</v>
      </c>
      <c r="F276" t="inlineStr">
        <is>
          <t>VÄRMLANDS LÄN</t>
        </is>
      </c>
      <c r="G276" t="inlineStr">
        <is>
          <t>HAGFORS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46235</v>
      </c>
      <c r="F277" t="inlineStr">
        <is>
          <t>VÄRMLANDS LÄN</t>
        </is>
      </c>
      <c r="G277" t="inlineStr">
        <is>
          <t>HAGFORS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46838-2025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45928</v>
      </c>
      <c r="E278" s="1" t="n">
        <v>46235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46235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46235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48042-2025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46235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55758-2024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45623</v>
      </c>
      <c r="E282" s="1" t="n">
        <v>46235</v>
      </c>
      <c r="F282" t="inlineStr">
        <is>
          <t>VÄRMLANDS LÄN</t>
        </is>
      </c>
      <c r="G282" t="inlineStr">
        <is>
          <t>HAGFORS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46235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45581</v>
      </c>
      <c r="E284" s="1" t="n">
        <v>46235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46235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46235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45132</v>
      </c>
      <c r="E287" s="1" t="n">
        <v>46235</v>
      </c>
      <c r="F287" t="inlineStr">
        <is>
          <t>VÄRMLANDS LÄN</t>
        </is>
      </c>
      <c r="G287" t="inlineStr">
        <is>
          <t>HAGFORS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44420</v>
      </c>
      <c r="E288" s="1" t="n">
        <v>46235</v>
      </c>
      <c r="F288" t="inlineStr">
        <is>
          <t>VÄRMLANDS LÄN</t>
        </is>
      </c>
      <c r="G288" t="inlineStr">
        <is>
          <t>HAGFORS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46235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46235</v>
      </c>
      <c r="F290" t="inlineStr">
        <is>
          <t>VÄRMLANDS LÄN</t>
        </is>
      </c>
      <c r="G290" t="inlineStr">
        <is>
          <t>HAGFORS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46235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46235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46235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46235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21203-2026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46235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45006</v>
      </c>
      <c r="E296" s="1" t="n">
        <v>46235</v>
      </c>
      <c r="F296" t="inlineStr">
        <is>
          <t>VÄRMLANDS LÄN</t>
        </is>
      </c>
      <c r="G296" t="inlineStr">
        <is>
          <t>HAGFORS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46235</v>
      </c>
      <c r="F297" t="inlineStr">
        <is>
          <t>VÄRMLANDS LÄN</t>
        </is>
      </c>
      <c r="G297" t="inlineStr">
        <is>
          <t>HAGFORS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45051</v>
      </c>
      <c r="E298" s="1" t="n">
        <v>46235</v>
      </c>
      <c r="F298" t="inlineStr">
        <is>
          <t>VÄRMLANDS LÄN</t>
        </is>
      </c>
      <c r="G298" t="inlineStr">
        <is>
          <t>HAGFORS</t>
        </is>
      </c>
      <c r="H298" t="inlineStr">
        <is>
          <t>Kommuner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45461</v>
      </c>
      <c r="E299" s="1" t="n">
        <v>46235</v>
      </c>
      <c r="F299" t="inlineStr">
        <is>
          <t>VÄRMLANDS LÄN</t>
        </is>
      </c>
      <c r="G299" t="inlineStr">
        <is>
          <t>HAGFORS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46235</v>
      </c>
      <c r="F300" t="inlineStr">
        <is>
          <t>VÄRMLANDS LÄN</t>
        </is>
      </c>
      <c r="G300" t="inlineStr">
        <is>
          <t>HAGFORS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45470</v>
      </c>
      <c r="E301" s="1" t="n">
        <v>46235</v>
      </c>
      <c r="F301" t="inlineStr">
        <is>
          <t>VÄRMLANDS LÄN</t>
        </is>
      </c>
      <c r="G301" t="inlineStr">
        <is>
          <t>HAGFORS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46235</v>
      </c>
      <c r="F302" t="inlineStr">
        <is>
          <t>VÄRMLANDS LÄN</t>
        </is>
      </c>
      <c r="G302" t="inlineStr">
        <is>
          <t>HAGFORS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46235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46235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46235</v>
      </c>
      <c r="F305" t="inlineStr">
        <is>
          <t>VÄRMLANDS LÄN</t>
        </is>
      </c>
      <c r="G305" t="inlineStr">
        <is>
          <t>HAGFORS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46235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46235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46235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46235</v>
      </c>
      <c r="F309" t="inlineStr">
        <is>
          <t>VÄRMLANDS LÄN</t>
        </is>
      </c>
      <c r="G309" t="inlineStr">
        <is>
          <t>HAGFORS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21762-2026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46150</v>
      </c>
      <c r="E310" s="1" t="n">
        <v>46235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45941</v>
      </c>
      <c r="E311" s="1" t="n">
        <v>46235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46235</v>
      </c>
      <c r="F312" t="inlineStr">
        <is>
          <t>VÄRMLANDS LÄN</t>
        </is>
      </c>
      <c r="G312" t="inlineStr">
        <is>
          <t>HAGFORS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46235</v>
      </c>
      <c r="F313" t="inlineStr">
        <is>
          <t>VÄRMLANDS LÄN</t>
        </is>
      </c>
      <c r="G313" t="inlineStr">
        <is>
          <t>HAGFORS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46235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45436</v>
      </c>
      <c r="E315" s="1" t="n">
        <v>46235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45106</v>
      </c>
      <c r="E316" s="1" t="n">
        <v>46235</v>
      </c>
      <c r="F316" t="inlineStr">
        <is>
          <t>VÄRMLANDS LÄN</t>
        </is>
      </c>
      <c r="G316" t="inlineStr">
        <is>
          <t>HAGFORS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45324</v>
      </c>
      <c r="E317" s="1" t="n">
        <v>46235</v>
      </c>
      <c r="F317" t="inlineStr">
        <is>
          <t>VÄRMLANDS LÄN</t>
        </is>
      </c>
      <c r="G317" t="inlineStr">
        <is>
          <t>HAGFORS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45947</v>
      </c>
      <c r="E318" s="1" t="n">
        <v>46235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46235</v>
      </c>
      <c r="F319" t="inlineStr">
        <is>
          <t>VÄRMLANDS LÄN</t>
        </is>
      </c>
      <c r="G319" t="inlineStr">
        <is>
          <t>HAGFORS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46235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52378-2021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44465</v>
      </c>
      <c r="E321" s="1" t="n">
        <v>46235</v>
      </c>
      <c r="F321" t="inlineStr">
        <is>
          <t>VÄRMLANDS LÄN</t>
        </is>
      </c>
      <c r="G321" t="inlineStr">
        <is>
          <t>HAGFORS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45949</v>
      </c>
      <c r="E322" s="1" t="n">
        <v>46235</v>
      </c>
      <c r="F322" t="inlineStr">
        <is>
          <t>VÄRMLANDS LÄN</t>
        </is>
      </c>
      <c r="G322" t="inlineStr">
        <is>
          <t>HAGFORS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46235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46235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52479-2025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45954</v>
      </c>
      <c r="E325" s="1" t="n">
        <v>46235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46235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45615</v>
      </c>
      <c r="E327" s="1" t="n">
        <v>46235</v>
      </c>
      <c r="F327" t="inlineStr">
        <is>
          <t>VÄRMLANDS LÄN</t>
        </is>
      </c>
      <c r="G327" t="inlineStr">
        <is>
          <t>HAGFORS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46235</v>
      </c>
      <c r="F328" t="inlineStr">
        <is>
          <t>VÄRMLANDS LÄN</t>
        </is>
      </c>
      <c r="G328" t="inlineStr">
        <is>
          <t>HAGFORS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46235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44757</v>
      </c>
      <c r="E330" s="1" t="n">
        <v>46235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8129-2024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45351</v>
      </c>
      <c r="E331" s="1" t="n">
        <v>46235</v>
      </c>
      <c r="F331" t="inlineStr">
        <is>
          <t>VÄRMLANDS LÄN</t>
        </is>
      </c>
      <c r="G331" t="inlineStr">
        <is>
          <t>HAGFORS</t>
        </is>
      </c>
      <c r="H331" t="inlineStr">
        <is>
          <t>Kyrkan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44694</v>
      </c>
      <c r="E332" s="1" t="n">
        <v>46235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45152</v>
      </c>
      <c r="E333" s="1" t="n">
        <v>46235</v>
      </c>
      <c r="F333" t="inlineStr">
        <is>
          <t>VÄRMLANDS LÄN</t>
        </is>
      </c>
      <c r="G333" t="inlineStr">
        <is>
          <t>HAGFORS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44770</v>
      </c>
      <c r="E334" s="1" t="n">
        <v>46235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46198</v>
      </c>
      <c r="E335" s="1" t="n">
        <v>46235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46235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46235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46235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46235</v>
      </c>
      <c r="F339" t="inlineStr">
        <is>
          <t>VÄRMLANDS LÄN</t>
        </is>
      </c>
      <c r="G339" t="inlineStr">
        <is>
          <t>HAGFORS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46235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44949</v>
      </c>
      <c r="E341" s="1" t="n">
        <v>46235</v>
      </c>
      <c r="F341" t="inlineStr">
        <is>
          <t>VÄRMLANDS LÄN</t>
        </is>
      </c>
      <c r="G341" t="inlineStr">
        <is>
          <t>HAGFORS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57379-2022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44896</v>
      </c>
      <c r="E342" s="1" t="n">
        <v>46235</v>
      </c>
      <c r="F342" t="inlineStr">
        <is>
          <t>VÄRMLANDS LÄN</t>
        </is>
      </c>
      <c r="G342" t="inlineStr">
        <is>
          <t>HAGFORS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46235</v>
      </c>
      <c r="F343" t="inlineStr">
        <is>
          <t>VÄRMLANDS LÄN</t>
        </is>
      </c>
      <c r="G343" t="inlineStr">
        <is>
          <t>HAGFORS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46235</v>
      </c>
      <c r="F344" t="inlineStr">
        <is>
          <t>VÄRMLANDS LÄN</t>
        </is>
      </c>
      <c r="G344" t="inlineStr">
        <is>
          <t>HAGFORS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46235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46235</v>
      </c>
      <c r="F346" t="inlineStr">
        <is>
          <t>VÄRMLANDS LÄN</t>
        </is>
      </c>
      <c r="G346" t="inlineStr">
        <is>
          <t>HAGFORS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46235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46235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46235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46235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46235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46235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45653</v>
      </c>
      <c r="E353" s="1" t="n">
        <v>46235</v>
      </c>
      <c r="F353" t="inlineStr">
        <is>
          <t>VÄRMLANDS LÄN</t>
        </is>
      </c>
      <c r="G353" t="inlineStr">
        <is>
          <t>HAGFORS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46235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45057</v>
      </c>
      <c r="E355" s="1" t="n">
        <v>46235</v>
      </c>
      <c r="F355" t="inlineStr">
        <is>
          <t>VÄRMLANDS LÄN</t>
        </is>
      </c>
      <c r="G355" t="inlineStr">
        <is>
          <t>HAGFORS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46235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46235</v>
      </c>
      <c r="F357" t="inlineStr">
        <is>
          <t>VÄRMLANDS LÄN</t>
        </is>
      </c>
      <c r="G357" t="inlineStr">
        <is>
          <t>HAGFORS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20652-2022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44700</v>
      </c>
      <c r="E358" s="1" t="n">
        <v>46235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46235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45967</v>
      </c>
      <c r="E360" s="1" t="n">
        <v>46235</v>
      </c>
      <c r="F360" t="inlineStr">
        <is>
          <t>VÄRMLANDS LÄN</t>
        </is>
      </c>
      <c r="G360" t="inlineStr">
        <is>
          <t>HAGFORS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45036</v>
      </c>
      <c r="E361" s="1" t="n">
        <v>46235</v>
      </c>
      <c r="F361" t="inlineStr">
        <is>
          <t>VÄRMLANDS LÄN</t>
        </is>
      </c>
      <c r="G361" t="inlineStr">
        <is>
          <t>HAGFORS</t>
        </is>
      </c>
      <c r="H361" t="inlineStr">
        <is>
          <t>Kommuner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46235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46235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45720</v>
      </c>
      <c r="E364" s="1" t="n">
        <v>46235</v>
      </c>
      <c r="F364" t="inlineStr">
        <is>
          <t>VÄRMLANDS LÄN</t>
        </is>
      </c>
      <c r="G364" t="inlineStr">
        <is>
          <t>HAGFORS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46235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46200</v>
      </c>
      <c r="E366" s="1" t="n">
        <v>46235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46200</v>
      </c>
      <c r="E367" s="1" t="n">
        <v>46235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46235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46235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46235</v>
      </c>
      <c r="F370" t="inlineStr">
        <is>
          <t>VÄRMLANDS LÄN</t>
        </is>
      </c>
      <c r="G370" t="inlineStr">
        <is>
          <t>HAGFORS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46235</v>
      </c>
      <c r="F371" t="inlineStr">
        <is>
          <t>VÄRMLANDS LÄN</t>
        </is>
      </c>
      <c r="G371" t="inlineStr">
        <is>
          <t>HAGFORS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44937</v>
      </c>
      <c r="E372" s="1" t="n">
        <v>46235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46235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46235</v>
      </c>
      <c r="F374" t="inlineStr">
        <is>
          <t>VÄRMLANDS LÄN</t>
        </is>
      </c>
      <c r="G374" t="inlineStr">
        <is>
          <t>HAGFORS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46235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46235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45155</v>
      </c>
      <c r="E377" s="1" t="n">
        <v>46235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46235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44809</v>
      </c>
      <c r="E379" s="1" t="n">
        <v>46235</v>
      </c>
      <c r="F379" t="inlineStr">
        <is>
          <t>VÄRMLANDS LÄN</t>
        </is>
      </c>
      <c r="G379" t="inlineStr">
        <is>
          <t>HAGFORS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46235</v>
      </c>
      <c r="F380" t="inlineStr">
        <is>
          <t>VÄRMLANDS LÄN</t>
        </is>
      </c>
      <c r="G380" t="inlineStr">
        <is>
          <t>HAGFORS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46235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46235</v>
      </c>
      <c r="F382" t="inlineStr">
        <is>
          <t>VÄRMLANDS LÄN</t>
        </is>
      </c>
      <c r="G382" t="inlineStr">
        <is>
          <t>HAGFORS</t>
        </is>
      </c>
      <c r="H382" t="inlineStr">
        <is>
          <t>Kyrkan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57198-2025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46235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44851</v>
      </c>
      <c r="E384" s="1" t="n">
        <v>46235</v>
      </c>
      <c r="F384" t="inlineStr">
        <is>
          <t>VÄRMLANDS LÄN</t>
        </is>
      </c>
      <c r="G384" t="inlineStr">
        <is>
          <t>HAGFORS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45525</v>
      </c>
      <c r="E385" s="1" t="n">
        <v>46235</v>
      </c>
      <c r="F385" t="inlineStr">
        <is>
          <t>VÄRMLANDS LÄN</t>
        </is>
      </c>
      <c r="G385" t="inlineStr">
        <is>
          <t>HAGFORS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46235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46235</v>
      </c>
      <c r="F387" t="inlineStr">
        <is>
          <t>VÄRMLANDS LÄN</t>
        </is>
      </c>
      <c r="G387" t="inlineStr">
        <is>
          <t>HAGFORS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46235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46235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44790</v>
      </c>
      <c r="E390" s="1" t="n">
        <v>46235</v>
      </c>
      <c r="F390" t="inlineStr">
        <is>
          <t>VÄRMLANDS LÄN</t>
        </is>
      </c>
      <c r="G390" t="inlineStr">
        <is>
          <t>HAGFORS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46235</v>
      </c>
      <c r="F391" t="inlineStr">
        <is>
          <t>VÄRMLANDS LÄN</t>
        </is>
      </c>
      <c r="G391" t="inlineStr">
        <is>
          <t>HAGFORS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46235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45461</v>
      </c>
      <c r="E393" s="1" t="n">
        <v>46235</v>
      </c>
      <c r="F393" t="inlineStr">
        <is>
          <t>VÄRMLANDS LÄN</t>
        </is>
      </c>
      <c r="G393" t="inlineStr">
        <is>
          <t>HAGFORS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46235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46235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8.800000000000001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46235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46235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9.6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46235</v>
      </c>
      <c r="F398" t="inlineStr">
        <is>
          <t>VÄRMLANDS LÄN</t>
        </is>
      </c>
      <c r="G398" t="inlineStr">
        <is>
          <t>HAGFORS</t>
        </is>
      </c>
      <c r="H398" t="inlineStr">
        <is>
          <t>Kyrkan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46235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59047-2025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45988</v>
      </c>
      <c r="E400" s="1" t="n">
        <v>46235</v>
      </c>
      <c r="F400" t="inlineStr">
        <is>
          <t>VÄRMLANDS LÄN</t>
        </is>
      </c>
      <c r="G400" t="inlineStr">
        <is>
          <t>HAGFORS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46235</v>
      </c>
      <c r="F401" t="inlineStr">
        <is>
          <t>VÄRMLANDS LÄN</t>
        </is>
      </c>
      <c r="G401" t="inlineStr">
        <is>
          <t>HAGFORS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46235</v>
      </c>
      <c r="F402" t="inlineStr">
        <is>
          <t>VÄRMLANDS LÄN</t>
        </is>
      </c>
      <c r="G402" t="inlineStr">
        <is>
          <t>HAGFORS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70712-2021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46235</v>
      </c>
      <c r="F403" t="inlineStr">
        <is>
          <t>VÄRMLANDS LÄN</t>
        </is>
      </c>
      <c r="G403" t="inlineStr">
        <is>
          <t>HAGFORS</t>
        </is>
      </c>
      <c r="H403" t="inlineStr">
        <is>
          <t>Kommuner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46235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45054</v>
      </c>
      <c r="E405" s="1" t="n">
        <v>46235</v>
      </c>
      <c r="F405" t="inlineStr">
        <is>
          <t>VÄRMLANDS LÄN</t>
        </is>
      </c>
      <c r="G405" t="inlineStr">
        <is>
          <t>HAGFORS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44571</v>
      </c>
      <c r="E406" s="1" t="n">
        <v>46235</v>
      </c>
      <c r="F406" t="inlineStr">
        <is>
          <t>VÄRMLANDS LÄN</t>
        </is>
      </c>
      <c r="G406" t="inlineStr">
        <is>
          <t>HAGFORS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46235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23728-2026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46164</v>
      </c>
      <c r="E408" s="1" t="n">
        <v>46235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46235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18.8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45758</v>
      </c>
      <c r="E410" s="1" t="n">
        <v>46235</v>
      </c>
      <c r="F410" t="inlineStr">
        <is>
          <t>VÄRMLANDS LÄN</t>
        </is>
      </c>
      <c r="G410" t="inlineStr">
        <is>
          <t>HAGFORS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62546-2022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44924</v>
      </c>
      <c r="E411" s="1" t="n">
        <v>46235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46235</v>
      </c>
      <c r="F412" t="inlineStr">
        <is>
          <t>VÄRMLANDS LÄN</t>
        </is>
      </c>
      <c r="G412" t="inlineStr">
        <is>
          <t>HAGFORS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61140-2023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45261</v>
      </c>
      <c r="E413" s="1" t="n">
        <v>46235</v>
      </c>
      <c r="F413" t="inlineStr">
        <is>
          <t>VÄRMLANDS LÄN</t>
        </is>
      </c>
      <c r="G413" t="inlineStr">
        <is>
          <t>HAGFORS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45741</v>
      </c>
      <c r="E414" s="1" t="n">
        <v>46235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58799-2022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44903</v>
      </c>
      <c r="E415" s="1" t="n">
        <v>46235</v>
      </c>
      <c r="F415" t="inlineStr">
        <is>
          <t>VÄRMLANDS LÄN</t>
        </is>
      </c>
      <c r="G415" t="inlineStr">
        <is>
          <t>HAGFORS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59092-2022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44904</v>
      </c>
      <c r="E416" s="1" t="n">
        <v>46235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46235</v>
      </c>
      <c r="F417" t="inlineStr">
        <is>
          <t>VÄRMLANDS LÄN</t>
        </is>
      </c>
      <c r="G417" t="inlineStr">
        <is>
          <t>HAGFORS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46235</v>
      </c>
      <c r="F418" t="inlineStr">
        <is>
          <t>VÄRMLANDS LÄN</t>
        </is>
      </c>
      <c r="G418" t="inlineStr">
        <is>
          <t>HAGFORS</t>
        </is>
      </c>
      <c r="H418" t="inlineStr">
        <is>
          <t>Kyrkan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39640-2022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44817</v>
      </c>
      <c r="E419" s="1" t="n">
        <v>46235</v>
      </c>
      <c r="F419" t="inlineStr">
        <is>
          <t>VÄRMLANDS LÄN</t>
        </is>
      </c>
      <c r="G419" t="inlineStr">
        <is>
          <t>HAGFORS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46235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44839</v>
      </c>
      <c r="E421" s="1" t="n">
        <v>46235</v>
      </c>
      <c r="F421" t="inlineStr">
        <is>
          <t>VÄRMLANDS LÄN</t>
        </is>
      </c>
      <c r="G421" t="inlineStr">
        <is>
          <t>HAGFORS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52691-2025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45956</v>
      </c>
      <c r="E422" s="1" t="n">
        <v>46235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46235</v>
      </c>
      <c r="F423" t="inlineStr">
        <is>
          <t>VÄRMLANDS LÄN</t>
        </is>
      </c>
      <c r="G423" t="inlineStr">
        <is>
          <t>HAGFORS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46235</v>
      </c>
      <c r="F424" t="inlineStr">
        <is>
          <t>VÄRMLANDS LÄN</t>
        </is>
      </c>
      <c r="G424" t="inlineStr">
        <is>
          <t>HAGFORS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45510</v>
      </c>
      <c r="E425" s="1" t="n">
        <v>46235</v>
      </c>
      <c r="F425" t="inlineStr">
        <is>
          <t>VÄRMLANDS LÄN</t>
        </is>
      </c>
      <c r="G425" t="inlineStr">
        <is>
          <t>HAGFORS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45952</v>
      </c>
      <c r="E426" s="1" t="n">
        <v>46235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9.800000000000001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45502</v>
      </c>
      <c r="E427" s="1" t="n">
        <v>46235</v>
      </c>
      <c r="F427" t="inlineStr">
        <is>
          <t>VÄRMLANDS LÄN</t>
        </is>
      </c>
      <c r="G427" t="inlineStr">
        <is>
          <t>HAGFORS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46164</v>
      </c>
      <c r="E428" s="1" t="n">
        <v>46235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45218-2021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44439</v>
      </c>
      <c r="E429" s="1" t="n">
        <v>46235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49.5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45996</v>
      </c>
      <c r="E430" s="1" t="n">
        <v>46235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60648-2025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45996</v>
      </c>
      <c r="E431" s="1" t="n">
        <v>46235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45947</v>
      </c>
      <c r="E432" s="1" t="n">
        <v>46235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45869</v>
      </c>
      <c r="E433" s="1" t="n">
        <v>46235</v>
      </c>
      <c r="F433" t="inlineStr">
        <is>
          <t>VÄRMLANDS LÄN</t>
        </is>
      </c>
      <c r="G433" t="inlineStr">
        <is>
          <t>HAGFORS</t>
        </is>
      </c>
      <c r="H433" t="inlineStr">
        <is>
          <t>Kyrkan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46235</v>
      </c>
      <c r="F434" t="inlineStr">
        <is>
          <t>VÄRMLANDS LÄN</t>
        </is>
      </c>
      <c r="G434" t="inlineStr">
        <is>
          <t>HAGFORS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46235</v>
      </c>
      <c r="F435" t="inlineStr">
        <is>
          <t>VÄRMLANDS LÄN</t>
        </is>
      </c>
      <c r="G435" t="inlineStr">
        <is>
          <t>HAGFORS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46235</v>
      </c>
      <c r="F436" t="inlineStr">
        <is>
          <t>VÄRMLANDS LÄN</t>
        </is>
      </c>
      <c r="G436" t="inlineStr">
        <is>
          <t>HAGFORS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46235</v>
      </c>
      <c r="F437" t="inlineStr">
        <is>
          <t>VÄRMLANDS LÄN</t>
        </is>
      </c>
      <c r="G437" t="inlineStr">
        <is>
          <t>HAGFORS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53192-2022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44876</v>
      </c>
      <c r="E438" s="1" t="n">
        <v>46235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46209</v>
      </c>
      <c r="E439" s="1" t="n">
        <v>46235</v>
      </c>
      <c r="F439" t="inlineStr">
        <is>
          <t>VÄRMLANDS LÄN</t>
        </is>
      </c>
      <c r="G439" t="inlineStr">
        <is>
          <t>HAGFORS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46235</v>
      </c>
      <c r="F440" t="inlineStr">
        <is>
          <t>VÄRMLANDS LÄN</t>
        </is>
      </c>
      <c r="G440" t="inlineStr">
        <is>
          <t>HAGFORS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44883</v>
      </c>
      <c r="E441" s="1" t="n">
        <v>46235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46235</v>
      </c>
      <c r="F442" t="inlineStr">
        <is>
          <t>VÄRMLANDS LÄN</t>
        </is>
      </c>
      <c r="G442" t="inlineStr">
        <is>
          <t>HAGFORS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46235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20081-2025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45772</v>
      </c>
      <c r="E444" s="1" t="n">
        <v>46235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46235</v>
      </c>
      <c r="F445" t="inlineStr">
        <is>
          <t>VÄRMLANDS LÄN</t>
        </is>
      </c>
      <c r="G445" t="inlineStr">
        <is>
          <t>HAGFORS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61718-2025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46002</v>
      </c>
      <c r="E446" s="1" t="n">
        <v>46235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61910-2025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46003</v>
      </c>
      <c r="E447" s="1" t="n">
        <v>46235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46235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46235</v>
      </c>
      <c r="F449" t="inlineStr">
        <is>
          <t>VÄRMLANDS LÄN</t>
        </is>
      </c>
      <c r="G449" t="inlineStr">
        <is>
          <t>HAGFORS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46235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62125-2025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46006</v>
      </c>
      <c r="E451" s="1" t="n">
        <v>46235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61850-2025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46003</v>
      </c>
      <c r="E452" s="1" t="n">
        <v>46235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46235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19554-2024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45429</v>
      </c>
      <c r="E454" s="1" t="n">
        <v>46235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62168-2025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46006</v>
      </c>
      <c r="E455" s="1" t="n">
        <v>46235</v>
      </c>
      <c r="F455" t="inlineStr">
        <is>
          <t>VÄRMLANDS LÄN</t>
        </is>
      </c>
      <c r="G455" t="inlineStr">
        <is>
          <t>HAGFORS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46235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46235</v>
      </c>
      <c r="F457" t="inlineStr">
        <is>
          <t>VÄRMLANDS LÄN</t>
        </is>
      </c>
      <c r="G457" t="inlineStr">
        <is>
          <t>HAGFORS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45673</v>
      </c>
      <c r="E458" s="1" t="n">
        <v>46235</v>
      </c>
      <c r="F458" t="inlineStr">
        <is>
          <t>VÄRMLANDS LÄN</t>
        </is>
      </c>
      <c r="G458" t="inlineStr">
        <is>
          <t>HAGFORS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45419</v>
      </c>
      <c r="E459" s="1" t="n">
        <v>46235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61843-2025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46003</v>
      </c>
      <c r="E460" s="1" t="n">
        <v>46235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62099-2025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46235</v>
      </c>
      <c r="F461" t="inlineStr">
        <is>
          <t>VÄRMLANDS LÄN</t>
        </is>
      </c>
      <c r="G461" t="inlineStr">
        <is>
          <t>HAGFORS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30629-2026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46211</v>
      </c>
      <c r="E462" s="1" t="n">
        <v>46235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46235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46235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22503-2024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45447</v>
      </c>
      <c r="E465" s="1" t="n">
        <v>46235</v>
      </c>
      <c r="F465" t="inlineStr">
        <is>
          <t>VÄRMLANDS LÄN</t>
        </is>
      </c>
      <c r="G465" t="inlineStr">
        <is>
          <t>HAGFORS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46235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46235</v>
      </c>
      <c r="F467" t="inlineStr">
        <is>
          <t>VÄRMLANDS LÄN</t>
        </is>
      </c>
      <c r="G467" t="inlineStr">
        <is>
          <t>HAGFORS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42168-2024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45562</v>
      </c>
      <c r="E468" s="1" t="n">
        <v>46235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46235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63361-2025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46235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46235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45684</v>
      </c>
      <c r="E472" s="1" t="n">
        <v>46235</v>
      </c>
      <c r="F472" t="inlineStr">
        <is>
          <t>VÄRMLANDS LÄN</t>
        </is>
      </c>
      <c r="G472" t="inlineStr">
        <is>
          <t>HAGFORS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45308</v>
      </c>
      <c r="E473" s="1" t="n">
        <v>46235</v>
      </c>
      <c r="F473" t="inlineStr">
        <is>
          <t>VÄRMLANDS LÄN</t>
        </is>
      </c>
      <c r="G473" t="inlineStr">
        <is>
          <t>HAGFORS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45149</v>
      </c>
      <c r="E474" s="1" t="n">
        <v>46235</v>
      </c>
      <c r="F474" t="inlineStr">
        <is>
          <t>VÄRMLANDS LÄN</t>
        </is>
      </c>
      <c r="G474" t="inlineStr">
        <is>
          <t>HAGFORS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24625-2026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46171</v>
      </c>
      <c r="E475" s="1" t="n">
        <v>46235</v>
      </c>
      <c r="F475" t="inlineStr">
        <is>
          <t>VÄRMLANDS LÄN</t>
        </is>
      </c>
      <c r="G475" t="inlineStr">
        <is>
          <t>HAGFORS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46235</v>
      </c>
      <c r="F476" t="inlineStr">
        <is>
          <t>VÄRMLANDS LÄN</t>
        </is>
      </c>
      <c r="G476" t="inlineStr">
        <is>
          <t>HAGFORS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45328</v>
      </c>
      <c r="E477" s="1" t="n">
        <v>46235</v>
      </c>
      <c r="F477" t="inlineStr">
        <is>
          <t>VÄRMLANDS LÄN</t>
        </is>
      </c>
      <c r="G477" t="inlineStr">
        <is>
          <t>HAGFORS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45147</v>
      </c>
      <c r="E478" s="1" t="n">
        <v>46235</v>
      </c>
      <c r="F478" t="inlineStr">
        <is>
          <t>VÄRMLANDS LÄN</t>
        </is>
      </c>
      <c r="G478" t="inlineStr">
        <is>
          <t>HAGFORS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24699-2026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46235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44728-2023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45190</v>
      </c>
      <c r="E480" s="1" t="n">
        <v>46235</v>
      </c>
      <c r="F480" t="inlineStr">
        <is>
          <t>VÄRMLANDS LÄN</t>
        </is>
      </c>
      <c r="G480" t="inlineStr">
        <is>
          <t>HAGFORS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30914-2026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46213</v>
      </c>
      <c r="E481" s="1" t="n">
        <v>46235</v>
      </c>
      <c r="F481" t="inlineStr">
        <is>
          <t>VÄRMLANDS LÄN</t>
        </is>
      </c>
      <c r="G481" t="inlineStr">
        <is>
          <t>HAGFORS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44950</v>
      </c>
      <c r="E482" s="1" t="n">
        <v>46235</v>
      </c>
      <c r="F482" t="inlineStr">
        <is>
          <t>VÄRMLANDS LÄN</t>
        </is>
      </c>
      <c r="G482" t="inlineStr">
        <is>
          <t>HAGFORS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44950</v>
      </c>
      <c r="E483" s="1" t="n">
        <v>46235</v>
      </c>
      <c r="F483" t="inlineStr">
        <is>
          <t>VÄRMLANDS LÄN</t>
        </is>
      </c>
      <c r="G483" t="inlineStr">
        <is>
          <t>HAGFORS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46235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46235</v>
      </c>
      <c r="F485" t="inlineStr">
        <is>
          <t>VÄRMLANDS LÄN</t>
        </is>
      </c>
      <c r="G485" t="inlineStr">
        <is>
          <t>HAGFORS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24761-2026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46171</v>
      </c>
      <c r="E486" s="1" t="n">
        <v>46235</v>
      </c>
      <c r="F486" t="inlineStr">
        <is>
          <t>VÄRMLANDS LÄN</t>
        </is>
      </c>
      <c r="G486" t="inlineStr">
        <is>
          <t>HAGFORS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46235</v>
      </c>
      <c r="F487" t="inlineStr">
        <is>
          <t>VÄRMLANDS LÄN</t>
        </is>
      </c>
      <c r="G487" t="inlineStr">
        <is>
          <t>HAGFORS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46235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63831-2025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46020</v>
      </c>
      <c r="E489" s="1" t="n">
        <v>46235</v>
      </c>
      <c r="F489" t="inlineStr">
        <is>
          <t>VÄRMLANDS LÄN</t>
        </is>
      </c>
      <c r="G489" t="inlineStr">
        <is>
          <t>HAGFORS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45328</v>
      </c>
      <c r="E490" s="1" t="n">
        <v>46235</v>
      </c>
      <c r="F490" t="inlineStr">
        <is>
          <t>VÄRMLANDS LÄN</t>
        </is>
      </c>
      <c r="G490" t="inlineStr">
        <is>
          <t>HAGFORS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46018</v>
      </c>
      <c r="E491" s="1" t="n">
        <v>46235</v>
      </c>
      <c r="F491" t="inlineStr">
        <is>
          <t>VÄRMLANDS LÄN</t>
        </is>
      </c>
      <c r="G491" t="inlineStr">
        <is>
          <t>HAGFORS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63765-2025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46018</v>
      </c>
      <c r="E492" s="1" t="n">
        <v>46235</v>
      </c>
      <c r="F492" t="inlineStr">
        <is>
          <t>VÄRMLANDS LÄN</t>
        </is>
      </c>
      <c r="G492" t="inlineStr">
        <is>
          <t>HAGFORS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24628-2026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46171</v>
      </c>
      <c r="E493" s="1" t="n">
        <v>46235</v>
      </c>
      <c r="F493" t="inlineStr">
        <is>
          <t>VÄRMLANDS LÄN</t>
        </is>
      </c>
      <c r="G493" t="inlineStr">
        <is>
          <t>HAGFORS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24626-2026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46171</v>
      </c>
      <c r="E494" s="1" t="n">
        <v>46235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63875-2025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46020</v>
      </c>
      <c r="E495" s="1" t="n">
        <v>46235</v>
      </c>
      <c r="F495" t="inlineStr">
        <is>
          <t>VÄRMLANDS LÄN</t>
        </is>
      </c>
      <c r="G495" t="inlineStr">
        <is>
          <t>HAGFORS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63834-2025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46020</v>
      </c>
      <c r="E496" s="1" t="n">
        <v>46235</v>
      </c>
      <c r="F496" t="inlineStr">
        <is>
          <t>VÄRMLANDS LÄN</t>
        </is>
      </c>
      <c r="G496" t="inlineStr">
        <is>
          <t>HAGFORS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24677-2026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46171</v>
      </c>
      <c r="E497" s="1" t="n">
        <v>46235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65065-2023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46235</v>
      </c>
      <c r="F498" t="inlineStr">
        <is>
          <t>VÄRMLANDS LÄN</t>
        </is>
      </c>
      <c r="G498" t="inlineStr">
        <is>
          <t>HAGFORS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58210-2022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44901</v>
      </c>
      <c r="E499" s="1" t="n">
        <v>46235</v>
      </c>
      <c r="F499" t="inlineStr">
        <is>
          <t>VÄRMLANDS LÄN</t>
        </is>
      </c>
      <c r="G499" t="inlineStr">
        <is>
          <t>HAGFORS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46235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46235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25258-2023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45079</v>
      </c>
      <c r="E502" s="1" t="n">
        <v>46235</v>
      </c>
      <c r="F502" t="inlineStr">
        <is>
          <t>VÄRMLANDS LÄN</t>
        </is>
      </c>
      <c r="G502" t="inlineStr">
        <is>
          <t>HAGFORS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48807-2025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45937</v>
      </c>
      <c r="E503" s="1" t="n">
        <v>46235</v>
      </c>
      <c r="F503" t="inlineStr">
        <is>
          <t>VÄRMLANDS LÄN</t>
        </is>
      </c>
      <c r="G503" t="inlineStr">
        <is>
          <t>HAGFORS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975-2026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46030</v>
      </c>
      <c r="E504" s="1" t="n">
        <v>46235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45386</v>
      </c>
      <c r="E505" s="1" t="n">
        <v>46235</v>
      </c>
      <c r="F505" t="inlineStr">
        <is>
          <t>VÄRMLANDS LÄN</t>
        </is>
      </c>
      <c r="G505" t="inlineStr">
        <is>
          <t>HAGFORS</t>
        </is>
      </c>
      <c r="H505" t="inlineStr">
        <is>
          <t>Kommuner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46235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20.2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46235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46235</v>
      </c>
      <c r="F508" t="inlineStr">
        <is>
          <t>VÄRMLANDS LÄN</t>
        </is>
      </c>
      <c r="G508" t="inlineStr">
        <is>
          <t>HAGFORS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45519</v>
      </c>
      <c r="E509" s="1" t="n">
        <v>46235</v>
      </c>
      <c r="F509" t="inlineStr">
        <is>
          <t>VÄRMLANDS LÄN</t>
        </is>
      </c>
      <c r="G509" t="inlineStr">
        <is>
          <t>HAGFORS</t>
        </is>
      </c>
      <c r="I509" t="n">
        <v>8.4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46235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45489</v>
      </c>
      <c r="E511" s="1" t="n">
        <v>46235</v>
      </c>
      <c r="F511" t="inlineStr">
        <is>
          <t>VÄRMLANDS LÄN</t>
        </is>
      </c>
      <c r="G511" t="inlineStr">
        <is>
          <t>HAGFORS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46235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46235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38612-2023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45162</v>
      </c>
      <c r="E514" s="1" t="n">
        <v>46235</v>
      </c>
      <c r="F514" t="inlineStr">
        <is>
          <t>VÄRMLANDS LÄN</t>
        </is>
      </c>
      <c r="G514" t="inlineStr">
        <is>
          <t>HAGFORS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46176</v>
      </c>
      <c r="E515" s="1" t="n">
        <v>46235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46235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45590</v>
      </c>
      <c r="E517" s="1" t="n">
        <v>46235</v>
      </c>
      <c r="F517" t="inlineStr">
        <is>
          <t>VÄRMLANDS LÄN</t>
        </is>
      </c>
      <c r="G517" t="inlineStr">
        <is>
          <t>HAGFORS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45084</v>
      </c>
      <c r="E518" s="1" t="n">
        <v>46235</v>
      </c>
      <c r="F518" t="inlineStr">
        <is>
          <t>VÄRMLANDS LÄN</t>
        </is>
      </c>
      <c r="G518" t="inlineStr">
        <is>
          <t>HAGFORS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44951</v>
      </c>
      <c r="E519" s="1" t="n">
        <v>46235</v>
      </c>
      <c r="F519" t="inlineStr">
        <is>
          <t>VÄRMLANDS LÄN</t>
        </is>
      </c>
      <c r="G519" t="inlineStr">
        <is>
          <t>HAGFORS</t>
        </is>
      </c>
      <c r="H519" t="inlineStr">
        <is>
          <t>Kyrkan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46235</v>
      </c>
      <c r="F520" t="inlineStr">
        <is>
          <t>VÄRMLANDS LÄN</t>
        </is>
      </c>
      <c r="G520" t="inlineStr">
        <is>
          <t>HAGFORS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46235</v>
      </c>
      <c r="F521" t="inlineStr">
        <is>
          <t>VÄRMLANDS LÄN</t>
        </is>
      </c>
      <c r="G521" t="inlineStr">
        <is>
          <t>HAGFORS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44906-2024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46235</v>
      </c>
      <c r="F522" t="inlineStr">
        <is>
          <t>VÄRMLANDS LÄN</t>
        </is>
      </c>
      <c r="G522" t="inlineStr">
        <is>
          <t>HAGFORS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46235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45475</v>
      </c>
      <c r="E524" s="1" t="n">
        <v>46235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19125-2024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45428</v>
      </c>
      <c r="E525" s="1" t="n">
        <v>46235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40843-2021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44421</v>
      </c>
      <c r="E526" s="1" t="n">
        <v>46235</v>
      </c>
      <c r="F526" t="inlineStr">
        <is>
          <t>VÄRMLANDS LÄN</t>
        </is>
      </c>
      <c r="G526" t="inlineStr">
        <is>
          <t>HAGFORS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45335</v>
      </c>
      <c r="E527" s="1" t="n">
        <v>46235</v>
      </c>
      <c r="F527" t="inlineStr">
        <is>
          <t>VÄRMLANDS LÄN</t>
        </is>
      </c>
      <c r="G527" t="inlineStr">
        <is>
          <t>HAGFORS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17305-2023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45035</v>
      </c>
      <c r="E528" s="1" t="n">
        <v>46235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46235</v>
      </c>
      <c r="F529" t="inlineStr">
        <is>
          <t>VÄRMLANDS LÄN</t>
        </is>
      </c>
      <c r="G529" t="inlineStr">
        <is>
          <t>HAGFORS</t>
        </is>
      </c>
      <c r="I529" t="n">
        <v>13.1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46235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44567</v>
      </c>
      <c r="E531" s="1" t="n">
        <v>46235</v>
      </c>
      <c r="F531" t="inlineStr">
        <is>
          <t>VÄRMLANDS LÄN</t>
        </is>
      </c>
      <c r="G531" t="inlineStr">
        <is>
          <t>HAGFORS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46235</v>
      </c>
      <c r="F532" t="inlineStr">
        <is>
          <t>VÄRMLANDS LÄN</t>
        </is>
      </c>
      <c r="G532" t="inlineStr">
        <is>
          <t>HAGFORS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46235</v>
      </c>
      <c r="F533" t="inlineStr">
        <is>
          <t>VÄRMLANDS LÄN</t>
        </is>
      </c>
      <c r="G533" t="inlineStr">
        <is>
          <t>HAGFORS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46235</v>
      </c>
      <c r="F534" t="inlineStr">
        <is>
          <t>VÄRMLANDS LÄN</t>
        </is>
      </c>
      <c r="G534" t="inlineStr">
        <is>
          <t>HAGFORS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10236-2022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44622</v>
      </c>
      <c r="E535" s="1" t="n">
        <v>46235</v>
      </c>
      <c r="F535" t="inlineStr">
        <is>
          <t>VÄRMLANDS LÄN</t>
        </is>
      </c>
      <c r="G535" t="inlineStr">
        <is>
          <t>HAGFORS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46235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46050</v>
      </c>
      <c r="E537" s="1" t="n">
        <v>46235</v>
      </c>
      <c r="F537" t="inlineStr">
        <is>
          <t>VÄRMLANDS LÄN</t>
        </is>
      </c>
      <c r="G537" t="inlineStr">
        <is>
          <t>HAGFORS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46235</v>
      </c>
      <c r="F538" t="inlineStr">
        <is>
          <t>VÄRMLANDS LÄN</t>
        </is>
      </c>
      <c r="G538" t="inlineStr">
        <is>
          <t>HAGFORS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46235</v>
      </c>
      <c r="F539" t="inlineStr">
        <is>
          <t>VÄRMLANDS LÄN</t>
        </is>
      </c>
      <c r="G539" t="inlineStr">
        <is>
          <t>HAGFORS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10297-2025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45720</v>
      </c>
      <c r="E540" s="1" t="n">
        <v>46235</v>
      </c>
      <c r="F540" t="inlineStr">
        <is>
          <t>VÄRMLANDS LÄN</t>
        </is>
      </c>
      <c r="G540" t="inlineStr">
        <is>
          <t>HAGFORS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45629</v>
      </c>
      <c r="E541" s="1" t="n">
        <v>46235</v>
      </c>
      <c r="F541" t="inlineStr">
        <is>
          <t>VÄRMLANDS LÄN</t>
        </is>
      </c>
      <c r="G541" t="inlineStr">
        <is>
          <t>HAGFORS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46235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46235</v>
      </c>
      <c r="F543" t="inlineStr">
        <is>
          <t>VÄRMLANDS LÄN</t>
        </is>
      </c>
      <c r="G543" t="inlineStr">
        <is>
          <t>HAGFORS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26012-2026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46235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46235</v>
      </c>
      <c r="F545" t="inlineStr">
        <is>
          <t>VÄRMLANDS LÄN</t>
        </is>
      </c>
      <c r="G545" t="inlineStr">
        <is>
          <t>HAGFORS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45175</v>
      </c>
      <c r="E546" s="1" t="n">
        <v>46235</v>
      </c>
      <c r="F546" t="inlineStr">
        <is>
          <t>VÄRMLANDS LÄN</t>
        </is>
      </c>
      <c r="G546" t="inlineStr">
        <is>
          <t>HAGFORS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32147-2023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45107</v>
      </c>
      <c r="E547" s="1" t="n">
        <v>46235</v>
      </c>
      <c r="F547" t="inlineStr">
        <is>
          <t>VÄRMLANDS LÄN</t>
        </is>
      </c>
      <c r="G547" t="inlineStr">
        <is>
          <t>HAGFORS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31671-2026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46225</v>
      </c>
      <c r="E548" s="1" t="n">
        <v>46235</v>
      </c>
      <c r="F548" t="inlineStr">
        <is>
          <t>VÄRMLANDS LÄN</t>
        </is>
      </c>
      <c r="G548" t="inlineStr">
        <is>
          <t>HAGFORS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46226</v>
      </c>
      <c r="E549" s="1" t="n">
        <v>46235</v>
      </c>
      <c r="F549" t="inlineStr">
        <is>
          <t>VÄRMLANDS LÄN</t>
        </is>
      </c>
      <c r="G549" t="inlineStr">
        <is>
          <t>HAGFORS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46235</v>
      </c>
      <c r="F550" t="inlineStr">
        <is>
          <t>VÄRMLANDS LÄN</t>
        </is>
      </c>
      <c r="G550" t="inlineStr">
        <is>
          <t>HAGFORS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46235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46235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46226</v>
      </c>
      <c r="E553" s="1" t="n">
        <v>46235</v>
      </c>
      <c r="F553" t="inlineStr">
        <is>
          <t>VÄRMLANDS LÄN</t>
        </is>
      </c>
      <c r="G553" t="inlineStr">
        <is>
          <t>HAGFORS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46235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46235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46235</v>
      </c>
      <c r="F556" t="inlineStr">
        <is>
          <t>VÄRMLANDS LÄN</t>
        </is>
      </c>
      <c r="G556" t="inlineStr">
        <is>
          <t>HAGFORS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46235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46235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45547</v>
      </c>
      <c r="E559" s="1" t="n">
        <v>46235</v>
      </c>
      <c r="F559" t="inlineStr">
        <is>
          <t>VÄRMLANDS LÄN</t>
        </is>
      </c>
      <c r="G559" t="inlineStr">
        <is>
          <t>HAGFORS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45145</v>
      </c>
      <c r="E560" s="1" t="n">
        <v>46235</v>
      </c>
      <c r="F560" t="inlineStr">
        <is>
          <t>VÄRMLANDS LÄN</t>
        </is>
      </c>
      <c r="G560" t="inlineStr">
        <is>
          <t>HAGFORS</t>
        </is>
      </c>
      <c r="I560" t="n">
        <v>13.5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34636-2024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45526</v>
      </c>
      <c r="E561" s="1" t="n">
        <v>46235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57162-2024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46235</v>
      </c>
      <c r="F562" t="inlineStr">
        <is>
          <t>VÄRMLANDS LÄN</t>
        </is>
      </c>
      <c r="G562" t="inlineStr">
        <is>
          <t>HAGFORS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46235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9.5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46235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18.2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46235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20.5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46184</v>
      </c>
      <c r="E566" s="1" t="n">
        <v>46235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46235</v>
      </c>
      <c r="F567" t="inlineStr">
        <is>
          <t>VÄRMLANDS LÄN</t>
        </is>
      </c>
      <c r="G567" t="inlineStr">
        <is>
          <t>HAGFORS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46235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45518</v>
      </c>
      <c r="E569" s="1" t="n">
        <v>46235</v>
      </c>
      <c r="F569" t="inlineStr">
        <is>
          <t>VÄRMLANDS LÄN</t>
        </is>
      </c>
      <c r="G569" t="inlineStr">
        <is>
          <t>HAGFORS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46235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40692-2022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44824</v>
      </c>
      <c r="E571" s="1" t="n">
        <v>46235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46235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51346-2022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44869</v>
      </c>
      <c r="E573" s="1" t="n">
        <v>46235</v>
      </c>
      <c r="F573" t="inlineStr">
        <is>
          <t>VÄRMLANDS LÄN</t>
        </is>
      </c>
      <c r="G573" t="inlineStr">
        <is>
          <t>HAGFORS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46235</v>
      </c>
      <c r="F574" t="inlineStr">
        <is>
          <t>VÄRMLANDS LÄN</t>
        </is>
      </c>
      <c r="G574" t="inlineStr">
        <is>
          <t>HAGFORS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52083-2024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45608</v>
      </c>
      <c r="E575" s="1" t="n">
        <v>46235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46426-2024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45582</v>
      </c>
      <c r="E576" s="1" t="n">
        <v>46235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27394-2026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46189</v>
      </c>
      <c r="E577" s="1" t="n">
        <v>46235</v>
      </c>
      <c r="F577" t="inlineStr">
        <is>
          <t>VÄRMLANDS LÄN</t>
        </is>
      </c>
      <c r="G577" t="inlineStr">
        <is>
          <t>HAGFORS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46235</v>
      </c>
      <c r="F578" t="inlineStr">
        <is>
          <t>VÄRMLANDS LÄN</t>
        </is>
      </c>
      <c r="G578" t="inlineStr">
        <is>
          <t>HAGFORS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45638</v>
      </c>
      <c r="E579" s="1" t="n">
        <v>46235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6980-2022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44603</v>
      </c>
      <c r="E580" s="1" t="n">
        <v>46235</v>
      </c>
      <c r="F580" t="inlineStr">
        <is>
          <t>VÄRMLANDS LÄN</t>
        </is>
      </c>
      <c r="G580" t="inlineStr">
        <is>
          <t>HAGFORS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44596</v>
      </c>
      <c r="E581" s="1" t="n">
        <v>46235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46235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46235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50929-2023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46235</v>
      </c>
      <c r="F584" t="inlineStr">
        <is>
          <t>VÄRMLANDS LÄN</t>
        </is>
      </c>
      <c r="G584" t="inlineStr">
        <is>
          <t>HAGFORS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45510</v>
      </c>
      <c r="E585" s="1" t="n">
        <v>46235</v>
      </c>
      <c r="F585" t="inlineStr">
        <is>
          <t>VÄRMLANDS LÄN</t>
        </is>
      </c>
      <c r="G585" t="inlineStr">
        <is>
          <t>HAGFORS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41092-2024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45559</v>
      </c>
      <c r="E586" s="1" t="n">
        <v>46235</v>
      </c>
      <c r="F586" t="inlineStr">
        <is>
          <t>VÄRMLANDS LÄN</t>
        </is>
      </c>
      <c r="G586" t="inlineStr">
        <is>
          <t>HAGFORS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54744-2024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46235</v>
      </c>
      <c r="F587" t="inlineStr">
        <is>
          <t>VÄRMLANDS LÄN</t>
        </is>
      </c>
      <c r="G587" t="inlineStr">
        <is>
          <t>HAGFORS</t>
        </is>
      </c>
      <c r="H587" t="inlineStr">
        <is>
          <t>Kyrkan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27929-2026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46191</v>
      </c>
      <c r="E588" s="1" t="n">
        <v>46235</v>
      </c>
      <c r="F588" t="inlineStr">
        <is>
          <t>VÄRMLANDS LÄN</t>
        </is>
      </c>
      <c r="G588" t="inlineStr">
        <is>
          <t>HAGFORS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22031-2023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45069</v>
      </c>
      <c r="E589" s="1" t="n">
        <v>46235</v>
      </c>
      <c r="F589" t="inlineStr">
        <is>
          <t>VÄRMLANDS LÄN</t>
        </is>
      </c>
      <c r="G589" t="inlineStr">
        <is>
          <t>HAGFORS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46235</v>
      </c>
      <c r="F590" t="inlineStr">
        <is>
          <t>VÄRMLANDS LÄN</t>
        </is>
      </c>
      <c r="G590" t="inlineStr">
        <is>
          <t>HAGFORS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46235</v>
      </c>
      <c r="F591" t="inlineStr">
        <is>
          <t>VÄRMLANDS LÄN</t>
        </is>
      </c>
      <c r="G591" t="inlineStr">
        <is>
          <t>HAGFORS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45644</v>
      </c>
      <c r="E592" s="1" t="n">
        <v>46235</v>
      </c>
      <c r="F592" t="inlineStr">
        <is>
          <t>VÄRMLANDS LÄN</t>
        </is>
      </c>
      <c r="G592" t="inlineStr">
        <is>
          <t>HAGFORS</t>
        </is>
      </c>
      <c r="H592" t="inlineStr">
        <is>
          <t>Kyrkan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46191</v>
      </c>
      <c r="E593" s="1" t="n">
        <v>46235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45506</v>
      </c>
      <c r="E594" s="1" t="n">
        <v>46235</v>
      </c>
      <c r="F594" t="inlineStr">
        <is>
          <t>VÄRMLANDS LÄN</t>
        </is>
      </c>
      <c r="G594" t="inlineStr">
        <is>
          <t>HAGFORS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42593-2021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44428</v>
      </c>
      <c r="E595" s="1" t="n">
        <v>46235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46235</v>
      </c>
      <c r="F596" t="inlineStr">
        <is>
          <t>VÄRMLANDS LÄN</t>
        </is>
      </c>
      <c r="G596" t="inlineStr">
        <is>
          <t>HAGFORS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46233</v>
      </c>
      <c r="E597" s="1" t="n">
        <v>46235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60991-2024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45645</v>
      </c>
      <c r="E598" s="1" t="n">
        <v>46235</v>
      </c>
      <c r="F598" t="inlineStr">
        <is>
          <t>VÄRMLANDS LÄN</t>
        </is>
      </c>
      <c r="G598" t="inlineStr">
        <is>
          <t>HAGFORS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15886-2022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44664</v>
      </c>
      <c r="E599" s="1" t="n">
        <v>46235</v>
      </c>
      <c r="F599" t="inlineStr">
        <is>
          <t>VÄRMLANDS LÄN</t>
        </is>
      </c>
      <c r="G599" t="inlineStr">
        <is>
          <t>HAGFORS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46233</v>
      </c>
      <c r="E600" s="1" t="n">
        <v>46235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27855-2026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46191</v>
      </c>
      <c r="E601" s="1" t="n">
        <v>46235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46235</v>
      </c>
      <c r="F602" t="inlineStr">
        <is>
          <t>VÄRMLANDS LÄN</t>
        </is>
      </c>
      <c r="G602" t="inlineStr">
        <is>
          <t>HAGFORS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56888-2023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45244</v>
      </c>
      <c r="E603" s="1" t="n">
        <v>46235</v>
      </c>
      <c r="F603" t="inlineStr">
        <is>
          <t>VÄRMLANDS LÄN</t>
        </is>
      </c>
      <c r="G603" t="inlineStr">
        <is>
          <t>HAGFORS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45055</v>
      </c>
      <c r="E604" s="1" t="n">
        <v>46235</v>
      </c>
      <c r="F604" t="inlineStr">
        <is>
          <t>VÄRMLANDS LÄN</t>
        </is>
      </c>
      <c r="G604" t="inlineStr">
        <is>
          <t>HAGFORS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45763</v>
      </c>
      <c r="E605" s="1" t="n">
        <v>46235</v>
      </c>
      <c r="F605" t="inlineStr">
        <is>
          <t>VÄRMLANDS LÄN</t>
        </is>
      </c>
      <c r="G605" t="inlineStr">
        <is>
          <t>HAGFORS</t>
        </is>
      </c>
      <c r="H605" t="inlineStr">
        <is>
          <t>Kyrkan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9288-2025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46235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9.800000000000001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46235</v>
      </c>
      <c r="F607" t="inlineStr">
        <is>
          <t>VÄRMLANDS LÄN</t>
        </is>
      </c>
      <c r="G607" t="inlineStr">
        <is>
          <t>HAGFORS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54112-2023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45232</v>
      </c>
      <c r="E608" s="1" t="n">
        <v>46235</v>
      </c>
      <c r="F608" t="inlineStr">
        <is>
          <t>VÄRMLANDS LÄN</t>
        </is>
      </c>
      <c r="G608" t="inlineStr">
        <is>
          <t>HAGFORS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46235</v>
      </c>
      <c r="F609" t="inlineStr">
        <is>
          <t>VÄRMLANDS LÄN</t>
        </is>
      </c>
      <c r="G609" t="inlineStr">
        <is>
          <t>HAGFORS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9763-2025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45716</v>
      </c>
      <c r="E610" s="1" t="n">
        <v>46235</v>
      </c>
      <c r="F610" t="inlineStr">
        <is>
          <t>VÄRMLANDS LÄN</t>
        </is>
      </c>
      <c r="G610" t="inlineStr">
        <is>
          <t>HAGFORS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52924-2023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45226</v>
      </c>
      <c r="E611" s="1" t="n">
        <v>46235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13094-2024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46235</v>
      </c>
      <c r="F612" t="inlineStr">
        <is>
          <t>VÄRMLANDS LÄN</t>
        </is>
      </c>
      <c r="G612" t="inlineStr">
        <is>
          <t>HAGFORS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46235</v>
      </c>
      <c r="F613" t="inlineStr">
        <is>
          <t>VÄRMLANDS LÄN</t>
        </is>
      </c>
      <c r="G613" t="inlineStr">
        <is>
          <t>HAGFORS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46235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12534-2026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46235</v>
      </c>
      <c r="F615" t="inlineStr">
        <is>
          <t>VÄRMLANDS LÄN</t>
        </is>
      </c>
      <c r="G615" t="inlineStr">
        <is>
          <t>HAGFORS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44613</v>
      </c>
      <c r="E616" s="1" t="n">
        <v>46235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45679</v>
      </c>
      <c r="E617" s="1" t="n">
        <v>46235</v>
      </c>
      <c r="F617" t="inlineStr">
        <is>
          <t>VÄRMLANDS LÄN</t>
        </is>
      </c>
      <c r="G617" t="inlineStr">
        <is>
          <t>HAGFORS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35775-2024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45532</v>
      </c>
      <c r="E618" s="1" t="n">
        <v>46235</v>
      </c>
      <c r="F618" t="inlineStr">
        <is>
          <t>VÄRMLANDS LÄN</t>
        </is>
      </c>
      <c r="G618" t="inlineStr">
        <is>
          <t>HAGFORS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45238-2024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45575</v>
      </c>
      <c r="E619" s="1" t="n">
        <v>46235</v>
      </c>
      <c r="F619" t="inlineStr">
        <is>
          <t>VÄRMLANDS LÄN</t>
        </is>
      </c>
      <c r="G619" t="inlineStr">
        <is>
          <t>HAGFORS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5338-2025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45692</v>
      </c>
      <c r="E620" s="1" t="n">
        <v>46235</v>
      </c>
      <c r="F620" t="inlineStr">
        <is>
          <t>VÄRMLANDS LÄN</t>
        </is>
      </c>
      <c r="G620" t="inlineStr">
        <is>
          <t>HAGFORS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46235</v>
      </c>
      <c r="F621" t="inlineStr">
        <is>
          <t>VÄRMLANDS LÄN</t>
        </is>
      </c>
      <c r="G621" t="inlineStr">
        <is>
          <t>HAGFORS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46235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13411-2026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46235</v>
      </c>
      <c r="F623" t="inlineStr">
        <is>
          <t>VÄRMLANDS LÄN</t>
        </is>
      </c>
      <c r="G623" t="inlineStr">
        <is>
          <t>HAGFORS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46235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12434-2022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44638</v>
      </c>
      <c r="E625" s="1" t="n">
        <v>46235</v>
      </c>
      <c r="F625" t="inlineStr">
        <is>
          <t>VÄRMLANDS LÄN</t>
        </is>
      </c>
      <c r="G625" t="inlineStr">
        <is>
          <t>HAGFORS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32149-2023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45107</v>
      </c>
      <c r="E626" s="1" t="n">
        <v>46235</v>
      </c>
      <c r="F626" t="inlineStr">
        <is>
          <t>VÄRMLANDS LÄN</t>
        </is>
      </c>
      <c r="G626" t="inlineStr">
        <is>
          <t>HAGFORS</t>
        </is>
      </c>
      <c r="I626" t="n">
        <v>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46235</v>
      </c>
      <c r="F627" t="inlineStr">
        <is>
          <t>VÄRMLANDS LÄN</t>
        </is>
      </c>
      <c r="G627" t="inlineStr">
        <is>
          <t>HAGFORS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26777-2023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45093</v>
      </c>
      <c r="E628" s="1" t="n">
        <v>46235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56165-2024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45624</v>
      </c>
      <c r="E629" s="1" t="n">
        <v>46235</v>
      </c>
      <c r="F629" t="inlineStr">
        <is>
          <t>VÄRMLANDS LÄN</t>
        </is>
      </c>
      <c r="G629" t="inlineStr">
        <is>
          <t>HAGFORS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46235</v>
      </c>
      <c r="F630" t="inlineStr">
        <is>
          <t>VÄRMLANDS LÄN</t>
        </is>
      </c>
      <c r="G630" t="inlineStr">
        <is>
          <t>HAGFORS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36030-2023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45149</v>
      </c>
      <c r="E631" s="1" t="n">
        <v>46235</v>
      </c>
      <c r="F631" t="inlineStr">
        <is>
          <t>VÄRMLANDS LÄN</t>
        </is>
      </c>
      <c r="G631" t="inlineStr">
        <is>
          <t>HAGFORS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46235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45703</v>
      </c>
      <c r="E633" s="1" t="n">
        <v>46235</v>
      </c>
      <c r="F633" t="inlineStr">
        <is>
          <t>VÄRMLANDS LÄN</t>
        </is>
      </c>
      <c r="G633" t="inlineStr">
        <is>
          <t>HAGFORS</t>
        </is>
      </c>
      <c r="H633" t="inlineStr">
        <is>
          <t>Kyrkan</t>
        </is>
      </c>
      <c r="I633" t="n">
        <v>15.9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45148</v>
      </c>
      <c r="E634" s="1" t="n">
        <v>46235</v>
      </c>
      <c r="F634" t="inlineStr">
        <is>
          <t>VÄRMLANDS LÄN</t>
        </is>
      </c>
      <c r="G634" t="inlineStr">
        <is>
          <t>HAGFORS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46235</v>
      </c>
      <c r="F635" t="inlineStr">
        <is>
          <t>VÄRMLANDS LÄN</t>
        </is>
      </c>
      <c r="G635" t="inlineStr">
        <is>
          <t>HAGFORS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46098</v>
      </c>
      <c r="E636" s="1" t="n">
        <v>46235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46099</v>
      </c>
      <c r="E637" s="1" t="n">
        <v>46235</v>
      </c>
      <c r="F637" t="inlineStr">
        <is>
          <t>VÄRMLANDS LÄN</t>
        </is>
      </c>
      <c r="G637" t="inlineStr">
        <is>
          <t>HAGFORS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18699-2022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44687</v>
      </c>
      <c r="E638" s="1" t="n">
        <v>46235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13809-2026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46235</v>
      </c>
      <c r="F639" t="inlineStr">
        <is>
          <t>VÄRMLANDS LÄN</t>
        </is>
      </c>
      <c r="G639" t="inlineStr">
        <is>
          <t>HAGFORS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46101</v>
      </c>
      <c r="E640" s="1" t="n">
        <v>46235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3980-2025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46235</v>
      </c>
      <c r="F641" t="inlineStr">
        <is>
          <t>VÄRMLANDS LÄN</t>
        </is>
      </c>
      <c r="G641" t="inlineStr">
        <is>
          <t>HAGFORS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46235</v>
      </c>
      <c r="F642" t="inlineStr">
        <is>
          <t>VÄRMLANDS LÄN</t>
        </is>
      </c>
      <c r="G642" t="inlineStr">
        <is>
          <t>HAGFORS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46235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14832-2026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46235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19894-2024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45433</v>
      </c>
      <c r="E645" s="1" t="n">
        <v>46235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45335</v>
      </c>
      <c r="E646" s="1" t="n">
        <v>46235</v>
      </c>
      <c r="F646" t="inlineStr">
        <is>
          <t>VÄRMLANDS LÄN</t>
        </is>
      </c>
      <c r="G646" t="inlineStr">
        <is>
          <t>HAGFORS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4047-2024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45323</v>
      </c>
      <c r="E647" s="1" t="n">
        <v>46235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15213-2026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46235</v>
      </c>
      <c r="F648" t="inlineStr">
        <is>
          <t>VÄRMLANDS LÄN</t>
        </is>
      </c>
      <c r="G648" t="inlineStr">
        <is>
          <t>HAGFORS</t>
        </is>
      </c>
      <c r="H648" t="inlineStr">
        <is>
          <t>Kyrkan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46235</v>
      </c>
      <c r="F649" t="inlineStr">
        <is>
          <t>VÄRMLANDS LÄN</t>
        </is>
      </c>
      <c r="G649" t="inlineStr">
        <is>
          <t>HAGFORS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56808-2023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45244</v>
      </c>
      <c r="E650" s="1" t="n">
        <v>46235</v>
      </c>
      <c r="F650" t="inlineStr">
        <is>
          <t>VÄRMLANDS LÄN</t>
        </is>
      </c>
      <c r="G650" t="inlineStr">
        <is>
          <t>HAGFORS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46235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46235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46235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15577-2026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46106</v>
      </c>
      <c r="E654" s="1" t="n">
        <v>46235</v>
      </c>
      <c r="F654" t="inlineStr">
        <is>
          <t>VÄRMLANDS LÄN</t>
        </is>
      </c>
      <c r="G654" t="inlineStr">
        <is>
          <t>HAGFORS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15504-2026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46235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46235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45684</v>
      </c>
      <c r="E657" s="1" t="n">
        <v>46235</v>
      </c>
      <c r="F657" t="inlineStr">
        <is>
          <t>VÄRMLANDS LÄN</t>
        </is>
      </c>
      <c r="G657" t="inlineStr">
        <is>
          <t>HAGFORS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15491-2026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46235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46235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16157-2026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46235</v>
      </c>
      <c r="F660" t="inlineStr">
        <is>
          <t>VÄRMLANDS LÄN</t>
        </is>
      </c>
      <c r="G660" t="inlineStr">
        <is>
          <t>HAGFORS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16146-2026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46108</v>
      </c>
      <c r="E661" s="1" t="n">
        <v>46235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45534</v>
      </c>
      <c r="E662" s="1" t="n">
        <v>46235</v>
      </c>
      <c r="F662" t="inlineStr">
        <is>
          <t>VÄRMLANDS LÄN</t>
        </is>
      </c>
      <c r="G662" t="inlineStr">
        <is>
          <t>HAGFORS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42173-2024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45562</v>
      </c>
      <c r="E663" s="1" t="n">
        <v>46235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42178-2024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45562</v>
      </c>
      <c r="E664" s="1" t="n">
        <v>46235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42235-2024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45562</v>
      </c>
      <c r="E665" s="1" t="n">
        <v>46235</v>
      </c>
      <c r="F665" t="inlineStr">
        <is>
          <t>VÄRMLANDS LÄN</t>
        </is>
      </c>
      <c r="G665" t="inlineStr">
        <is>
          <t>HAGFORS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16003-2026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46108</v>
      </c>
      <c r="E666" s="1" t="n">
        <v>46235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40835-2023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45172</v>
      </c>
      <c r="E667" s="1" t="n">
        <v>46235</v>
      </c>
      <c r="F667" t="inlineStr">
        <is>
          <t>VÄRMLANDS LÄN</t>
        </is>
      </c>
      <c r="G667" t="inlineStr">
        <is>
          <t>HAGFORS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52224-2023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45224</v>
      </c>
      <c r="E668" s="1" t="n">
        <v>46235</v>
      </c>
      <c r="F668" t="inlineStr">
        <is>
          <t>VÄRMLANDS LÄN</t>
        </is>
      </c>
      <c r="G668" t="inlineStr">
        <is>
          <t>HAGFORS</t>
        </is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15587-2026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46106</v>
      </c>
      <c r="E669" s="1" t="n">
        <v>46235</v>
      </c>
      <c r="F669" t="inlineStr">
        <is>
          <t>VÄRMLANDS LÄN</t>
        </is>
      </c>
      <c r="G669" t="inlineStr">
        <is>
          <t>HAGFORS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16977-2026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46114</v>
      </c>
      <c r="E670" s="1" t="n">
        <v>46235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45715</v>
      </c>
      <c r="E671" s="1" t="n">
        <v>46235</v>
      </c>
      <c r="F671" t="inlineStr">
        <is>
          <t>VÄRMLANDS LÄN</t>
        </is>
      </c>
      <c r="G671" t="inlineStr">
        <is>
          <t>HAGFORS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18907-2025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45764</v>
      </c>
      <c r="E672" s="1" t="n">
        <v>46235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21067-2025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46235</v>
      </c>
      <c r="F673" t="inlineStr">
        <is>
          <t>VÄRMLANDS LÄN</t>
        </is>
      </c>
      <c r="G673" t="inlineStr">
        <is>
          <t>HAGFORS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46235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17843-2026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46235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45110</v>
      </c>
      <c r="E676" s="1" t="n">
        <v>46235</v>
      </c>
      <c r="F676" t="inlineStr">
        <is>
          <t>VÄRMLANDS LÄN</t>
        </is>
      </c>
      <c r="G676" t="inlineStr">
        <is>
          <t>HAGFORS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46235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47425-2024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45587</v>
      </c>
      <c r="E678" s="1" t="n">
        <v>46235</v>
      </c>
      <c r="F678" t="inlineStr">
        <is>
          <t>VÄRMLANDS LÄN</t>
        </is>
      </c>
      <c r="G678" t="inlineStr">
        <is>
          <t>HAGFORS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45783</v>
      </c>
      <c r="E679" s="1" t="n">
        <v>46235</v>
      </c>
      <c r="F679" t="inlineStr">
        <is>
          <t>VÄRMLANDS LÄN</t>
        </is>
      </c>
      <c r="G679" t="inlineStr">
        <is>
          <t>HAGFORS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24680-2024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45460</v>
      </c>
      <c r="E680" s="1" t="n">
        <v>46235</v>
      </c>
      <c r="F680" t="inlineStr">
        <is>
          <t>VÄRMLANDS LÄN</t>
        </is>
      </c>
      <c r="G680" t="inlineStr">
        <is>
          <t>HAGFORS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18217-2026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46126</v>
      </c>
      <c r="E681" s="1" t="n">
        <v>46235</v>
      </c>
      <c r="F681" t="inlineStr">
        <is>
          <t>VÄRMLANDS LÄN</t>
        </is>
      </c>
      <c r="G681" t="inlineStr">
        <is>
          <t>HAGFORS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18528-2026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46127</v>
      </c>
      <c r="E682" s="1" t="n">
        <v>46235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40332-2023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45169</v>
      </c>
      <c r="E683" s="1" t="n">
        <v>46235</v>
      </c>
      <c r="F683" t="inlineStr">
        <is>
          <t>VÄRMLANDS LÄN</t>
        </is>
      </c>
      <c r="G683" t="inlineStr">
        <is>
          <t>HAGFORS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18797-2026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46235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19056-2026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46132</v>
      </c>
      <c r="E685" s="1" t="n">
        <v>46235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21723-2025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45783</v>
      </c>
      <c r="E686" s="1" t="n">
        <v>46235</v>
      </c>
      <c r="F686" t="inlineStr">
        <is>
          <t>VÄRMLANDS LÄN</t>
        </is>
      </c>
      <c r="G686" t="inlineStr">
        <is>
          <t>HAGFORS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46129</v>
      </c>
      <c r="E687" s="1" t="n">
        <v>46235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18854-2026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46129</v>
      </c>
      <c r="E688" s="1" t="n">
        <v>46235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22231-2025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45785</v>
      </c>
      <c r="E689" s="1" t="n">
        <v>46235</v>
      </c>
      <c r="F689" t="inlineStr">
        <is>
          <t>VÄRMLANDS LÄN</t>
        </is>
      </c>
      <c r="G689" t="inlineStr">
        <is>
          <t>HAGFORS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61232-2024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45645</v>
      </c>
      <c r="E690" s="1" t="n">
        <v>46235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18895-2026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46129</v>
      </c>
      <c r="E691" s="1" t="n">
        <v>46235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46129</v>
      </c>
      <c r="E692" s="1" t="n">
        <v>46235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46133</v>
      </c>
      <c r="E693" s="1" t="n">
        <v>46235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64155-2023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46235</v>
      </c>
      <c r="F694" t="inlineStr">
        <is>
          <t>VÄRMLANDS LÄN</t>
        </is>
      </c>
      <c r="G694" t="inlineStr">
        <is>
          <t>HAGFORS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46235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19459-2026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46133</v>
      </c>
      <c r="E696" s="1" t="n">
        <v>46235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19307-2026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46133</v>
      </c>
      <c r="E697" s="1" t="n">
        <v>46235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19350-2026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46133</v>
      </c>
      <c r="E698" s="1" t="n">
        <v>46235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19530-2026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46134</v>
      </c>
      <c r="E699" s="1" t="n">
        <v>46235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19421-2026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46133</v>
      </c>
      <c r="E700" s="1" t="n">
        <v>46235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22461-2025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45786</v>
      </c>
      <c r="E701" s="1" t="n">
        <v>46235</v>
      </c>
      <c r="F701" t="inlineStr">
        <is>
          <t>VÄRMLANDS LÄN</t>
        </is>
      </c>
      <c r="G701" t="inlineStr">
        <is>
          <t>HAGFORS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17833-2022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44683</v>
      </c>
      <c r="E702" s="1" t="n">
        <v>46235</v>
      </c>
      <c r="F702" t="inlineStr">
        <is>
          <t>VÄRMLANDS LÄN</t>
        </is>
      </c>
      <c r="G702" t="inlineStr">
        <is>
          <t>HAGFORS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45741</v>
      </c>
      <c r="E703" s="1" t="n">
        <v>46235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19363-2026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46133</v>
      </c>
      <c r="E704" s="1" t="n">
        <v>46235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58437-2023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45250</v>
      </c>
      <c r="E705" s="1" t="n">
        <v>46235</v>
      </c>
      <c r="F705" t="inlineStr">
        <is>
          <t>VÄRMLANDS LÄN</t>
        </is>
      </c>
      <c r="G705" t="inlineStr">
        <is>
          <t>HAGFORS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11160-2025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45723</v>
      </c>
      <c r="E706" s="1" t="n">
        <v>46235</v>
      </c>
      <c r="F706" t="inlineStr">
        <is>
          <t>VÄRMLANDS LÄN</t>
        </is>
      </c>
      <c r="G706" t="inlineStr">
        <is>
          <t>HAGFORS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45725</v>
      </c>
      <c r="E707" s="1" t="n">
        <v>46235</v>
      </c>
      <c r="F707" t="inlineStr">
        <is>
          <t>VÄRMLANDS LÄN</t>
        </is>
      </c>
      <c r="G707" t="inlineStr">
        <is>
          <t>HAGFORS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28571-2025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45819</v>
      </c>
      <c r="E708" s="1" t="n">
        <v>46235</v>
      </c>
      <c r="F708" t="inlineStr">
        <is>
          <t>VÄRMLANDS LÄN</t>
        </is>
      </c>
      <c r="G708" t="inlineStr">
        <is>
          <t>HAGFORS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30710-2022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44763</v>
      </c>
      <c r="E709" s="1" t="n">
        <v>46235</v>
      </c>
      <c r="F709" t="inlineStr">
        <is>
          <t>VÄRMLANDS LÄN</t>
        </is>
      </c>
      <c r="G709" t="inlineStr">
        <is>
          <t>HAGFORS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45310</v>
      </c>
      <c r="E710" s="1" t="n">
        <v>46235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22917-2025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45790</v>
      </c>
      <c r="E711" s="1" t="n">
        <v>46235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49585-2023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46235</v>
      </c>
      <c r="F712" t="inlineStr">
        <is>
          <t>VÄRMLANDS LÄN</t>
        </is>
      </c>
      <c r="G712" t="inlineStr">
        <is>
          <t>HAGFORS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45087</v>
      </c>
      <c r="E713" s="1" t="n">
        <v>46235</v>
      </c>
      <c r="F713" t="inlineStr">
        <is>
          <t>VÄRMLANDS LÄN</t>
        </is>
      </c>
      <c r="G713" t="inlineStr">
        <is>
          <t>HAGFORS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45264</v>
      </c>
      <c r="E714" s="1" t="n">
        <v>46235</v>
      </c>
      <c r="F714" t="inlineStr">
        <is>
          <t>VÄRMLANDS LÄN</t>
        </is>
      </c>
      <c r="G714" t="inlineStr">
        <is>
          <t>HAGFORS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44595</v>
      </c>
      <c r="E715" s="1" t="n">
        <v>46235</v>
      </c>
      <c r="F715" t="inlineStr">
        <is>
          <t>VÄRMLANDS LÄN</t>
        </is>
      </c>
      <c r="G715" t="inlineStr">
        <is>
          <t>HAGFORS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32688-2025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45838</v>
      </c>
      <c r="E716" s="1" t="n">
        <v>46235</v>
      </c>
      <c r="F716" t="inlineStr">
        <is>
          <t>VÄRMLANDS LÄN</t>
        </is>
      </c>
      <c r="G716" t="inlineStr">
        <is>
          <t>HAGFORS</t>
        </is>
      </c>
      <c r="H716" t="inlineStr">
        <is>
          <t>Kyrkan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4028-2025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45684</v>
      </c>
      <c r="E717" s="1" t="n">
        <v>46235</v>
      </c>
      <c r="F717" t="inlineStr">
        <is>
          <t>VÄRMLANDS LÄN</t>
        </is>
      </c>
      <c r="G717" t="inlineStr">
        <is>
          <t>HAGFORS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30327-2022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44760</v>
      </c>
      <c r="E718" s="1" t="n">
        <v>46235</v>
      </c>
      <c r="F718" t="inlineStr">
        <is>
          <t>VÄRMLANDS LÄN</t>
        </is>
      </c>
      <c r="G718" t="inlineStr">
        <is>
          <t>HAGFORS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45097</v>
      </c>
      <c r="E719" s="1" t="n">
        <v>46235</v>
      </c>
      <c r="F719" t="inlineStr">
        <is>
          <t>VÄRMLANDS LÄN</t>
        </is>
      </c>
      <c r="G719" t="inlineStr">
        <is>
          <t>HAGFORS</t>
        </is>
      </c>
      <c r="H719" t="inlineStr">
        <is>
          <t>Kyrkan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22964-2025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45790</v>
      </c>
      <c r="E720" s="1" t="n">
        <v>46235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22799-2025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45789</v>
      </c>
      <c r="E721" s="1" t="n">
        <v>46235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54929-2024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45618</v>
      </c>
      <c r="E722" s="1" t="n">
        <v>46235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23268-2025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45791</v>
      </c>
      <c r="E723" s="1" t="n">
        <v>46235</v>
      </c>
      <c r="F723" t="inlineStr">
        <is>
          <t>VÄRMLANDS LÄN</t>
        </is>
      </c>
      <c r="G723" t="inlineStr">
        <is>
          <t>HAGFORS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23556-2025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45792</v>
      </c>
      <c r="E724" s="1" t="n">
        <v>46235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49753-2023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45212</v>
      </c>
      <c r="E725" s="1" t="n">
        <v>46235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23525-2025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45792</v>
      </c>
      <c r="E726" s="1" t="n">
        <v>46235</v>
      </c>
      <c r="F726" t="inlineStr">
        <is>
          <t>VÄRMLANDS LÄN</t>
        </is>
      </c>
      <c r="G726" t="inlineStr">
        <is>
          <t>HAGFORS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31660-2022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44776</v>
      </c>
      <c r="E727" s="1" t="n">
        <v>46235</v>
      </c>
      <c r="F727" t="inlineStr">
        <is>
          <t>VÄRMLANDS LÄN</t>
        </is>
      </c>
      <c r="G727" t="inlineStr">
        <is>
          <t>HAGFORS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45545</v>
      </c>
      <c r="E728" s="1" t="n">
        <v>46235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56466-2024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45625</v>
      </c>
      <c r="E729" s="1" t="n">
        <v>46235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2317-2025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45673</v>
      </c>
      <c r="E730" s="1" t="n">
        <v>46235</v>
      </c>
      <c r="F730" t="inlineStr">
        <is>
          <t>VÄRMLANDS LÄN</t>
        </is>
      </c>
      <c r="G730" t="inlineStr">
        <is>
          <t>HAGFORS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54008-2024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45615</v>
      </c>
      <c r="E731" s="1" t="n">
        <v>46235</v>
      </c>
      <c r="F731" t="inlineStr">
        <is>
          <t>VÄRMLANDS LÄN</t>
        </is>
      </c>
      <c r="G731" t="inlineStr">
        <is>
          <t>HAGFORS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45476</v>
      </c>
      <c r="E732" s="1" t="n">
        <v>46235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45623</v>
      </c>
      <c r="E733" s="1" t="n">
        <v>46235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45534</v>
      </c>
      <c r="E734" s="1" t="n">
        <v>46235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23674-2025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45793</v>
      </c>
      <c r="E735" s="1" t="n">
        <v>46235</v>
      </c>
      <c r="F735" t="inlineStr">
        <is>
          <t>VÄRMLANDS LÄN</t>
        </is>
      </c>
      <c r="G735" t="inlineStr">
        <is>
          <t>HAGFORS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31812-2024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45509</v>
      </c>
      <c r="E736" s="1" t="n">
        <v>46235</v>
      </c>
      <c r="F736" t="inlineStr">
        <is>
          <t>VÄRMLANDS LÄN</t>
        </is>
      </c>
      <c r="G736" t="inlineStr">
        <is>
          <t>HAGFORS</t>
        </is>
      </c>
      <c r="H736" t="inlineStr">
        <is>
          <t>Kommuner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15643-2024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45404</v>
      </c>
      <c r="E737" s="1" t="n">
        <v>46235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23712-2025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45793</v>
      </c>
      <c r="E738" s="1" t="n">
        <v>46235</v>
      </c>
      <c r="F738" t="inlineStr">
        <is>
          <t>VÄRMLANDS LÄN</t>
        </is>
      </c>
      <c r="G738" t="inlineStr">
        <is>
          <t>HAGFORS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42150-2024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46235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60178-2023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45258</v>
      </c>
      <c r="E740" s="1" t="n">
        <v>46235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24435-2025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45797</v>
      </c>
      <c r="E741" s="1" t="n">
        <v>46235</v>
      </c>
      <c r="F741" t="inlineStr">
        <is>
          <t>VÄRMLANDS LÄN</t>
        </is>
      </c>
      <c r="G741" t="inlineStr">
        <is>
          <t>HAGFORS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45754</v>
      </c>
      <c r="E742" s="1" t="n">
        <v>46235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24434-2025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45797</v>
      </c>
      <c r="E743" s="1" t="n">
        <v>46235</v>
      </c>
      <c r="F743" t="inlineStr">
        <is>
          <t>VÄRMLANDS LÄN</t>
        </is>
      </c>
      <c r="G743" t="inlineStr">
        <is>
          <t>HAGFORS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13524-2025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45736</v>
      </c>
      <c r="E744" s="1" t="n">
        <v>46235</v>
      </c>
      <c r="F744" t="inlineStr">
        <is>
          <t>VÄRMLANDS LÄN</t>
        </is>
      </c>
      <c r="G744" t="inlineStr">
        <is>
          <t>HAGFORS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24438-2025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45797</v>
      </c>
      <c r="E745" s="1" t="n">
        <v>46235</v>
      </c>
      <c r="F745" t="inlineStr">
        <is>
          <t>VÄRMLANDS LÄN</t>
        </is>
      </c>
      <c r="G745" t="inlineStr">
        <is>
          <t>HAGFORS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24895-2025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45799</v>
      </c>
      <c r="E746" s="1" t="n">
        <v>46235</v>
      </c>
      <c r="F746" t="inlineStr">
        <is>
          <t>VÄRMLANDS LÄN</t>
        </is>
      </c>
      <c r="G746" t="inlineStr">
        <is>
          <t>HAGFORS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24793-2025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46235</v>
      </c>
      <c r="F747" t="inlineStr">
        <is>
          <t>VÄRMLANDS LÄN</t>
        </is>
      </c>
      <c r="G747" t="inlineStr">
        <is>
          <t>HAGFORS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25031-2025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45799</v>
      </c>
      <c r="E748" s="1" t="n">
        <v>46235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33823-2025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46235</v>
      </c>
      <c r="F749" t="inlineStr">
        <is>
          <t>VÄRMLANDS LÄN</t>
        </is>
      </c>
      <c r="G749" t="inlineStr">
        <is>
          <t>HAGFORS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38474-2024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45546</v>
      </c>
      <c r="E750" s="1" t="n">
        <v>46235</v>
      </c>
      <c r="F750" t="inlineStr">
        <is>
          <t>VÄRMLANDS LÄN</t>
        </is>
      </c>
      <c r="G750" t="inlineStr">
        <is>
          <t>HAGFORS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26463-2025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45807</v>
      </c>
      <c r="E751" s="1" t="n">
        <v>46235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52383-2024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45608</v>
      </c>
      <c r="E752" s="1" t="n">
        <v>46235</v>
      </c>
      <c r="F752" t="inlineStr">
        <is>
          <t>VÄRMLANDS LÄN</t>
        </is>
      </c>
      <c r="G752" t="inlineStr">
        <is>
          <t>HAGFORS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16755-2025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45754</v>
      </c>
      <c r="E753" s="1" t="n">
        <v>46235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26617-2025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45810</v>
      </c>
      <c r="E754" s="1" t="n">
        <v>46235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27071-2025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45811</v>
      </c>
      <c r="E755" s="1" t="n">
        <v>46235</v>
      </c>
      <c r="F755" t="inlineStr">
        <is>
          <t>VÄRMLANDS LÄN</t>
        </is>
      </c>
      <c r="G755" t="inlineStr">
        <is>
          <t>HAGFORS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26980-2025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45811</v>
      </c>
      <c r="E756" s="1" t="n">
        <v>46235</v>
      </c>
      <c r="F756" t="inlineStr">
        <is>
          <t>VÄRMLANDS LÄN</t>
        </is>
      </c>
      <c r="G756" t="inlineStr">
        <is>
          <t>HAGFORS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46235</v>
      </c>
      <c r="F757" t="inlineStr">
        <is>
          <t>VÄRMLANDS LÄN</t>
        </is>
      </c>
      <c r="G757" t="inlineStr">
        <is>
          <t>HAGFORS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27319-2025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45812</v>
      </c>
      <c r="E758" s="1" t="n">
        <v>46235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27229-2025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45812</v>
      </c>
      <c r="E759" s="1" t="n">
        <v>46235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46235</v>
      </c>
      <c r="F760" t="inlineStr">
        <is>
          <t>VÄRMLANDS LÄN</t>
        </is>
      </c>
      <c r="G760" t="inlineStr">
        <is>
          <t>HAGFORS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45812</v>
      </c>
      <c r="E761" s="1" t="n">
        <v>46235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27195-2025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45812</v>
      </c>
      <c r="E762" s="1" t="n">
        <v>46235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46235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50922-2023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45211</v>
      </c>
      <c r="E764" s="1" t="n">
        <v>46235</v>
      </c>
      <c r="F764" t="inlineStr">
        <is>
          <t>VÄRMLANDS LÄN</t>
        </is>
      </c>
      <c r="G764" t="inlineStr">
        <is>
          <t>HAGFORS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45818</v>
      </c>
      <c r="E765" s="1" t="n">
        <v>46235</v>
      </c>
      <c r="F765" t="inlineStr">
        <is>
          <t>VÄRMLANDS LÄN</t>
        </is>
      </c>
      <c r="G765" t="inlineStr">
        <is>
          <t>HAGFORS</t>
        </is>
      </c>
      <c r="H765" t="inlineStr">
        <is>
          <t>Kyrkan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28437-2025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45819</v>
      </c>
      <c r="E766" s="1" t="n">
        <v>46235</v>
      </c>
      <c r="F766" t="inlineStr">
        <is>
          <t>VÄRMLANDS LÄN</t>
        </is>
      </c>
      <c r="G766" t="inlineStr">
        <is>
          <t>HAGFORS</t>
        </is>
      </c>
      <c r="H766" t="inlineStr">
        <is>
          <t>Kyrkan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45821</v>
      </c>
      <c r="E767" s="1" t="n">
        <v>46235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29115-2025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45821</v>
      </c>
      <c r="E768" s="1" t="n">
        <v>46235</v>
      </c>
      <c r="F768" t="inlineStr">
        <is>
          <t>VÄRMLANDS LÄN</t>
        </is>
      </c>
      <c r="G768" t="inlineStr">
        <is>
          <t>HAGFORS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29949-2025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45826</v>
      </c>
      <c r="E769" s="1" t="n">
        <v>46235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29958-2025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45826</v>
      </c>
      <c r="E770" s="1" t="n">
        <v>46235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6.8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30124-2025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45826</v>
      </c>
      <c r="E771" s="1" t="n">
        <v>46235</v>
      </c>
      <c r="F771" t="inlineStr">
        <is>
          <t>VÄRMLANDS LÄN</t>
        </is>
      </c>
      <c r="G771" t="inlineStr">
        <is>
          <t>HAGFORS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30778-2025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46235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32235-2025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45835</v>
      </c>
      <c r="E773" s="1" t="n">
        <v>46235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32174-2025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45835</v>
      </c>
      <c r="E774" s="1" t="n">
        <v>46235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45841</v>
      </c>
      <c r="E775" s="1" t="n">
        <v>46235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33440-2025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45841</v>
      </c>
      <c r="E776" s="1" t="n">
        <v>46235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33611-2025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45841</v>
      </c>
      <c r="E777" s="1" t="n">
        <v>46235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33454-2025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45841</v>
      </c>
      <c r="E778" s="1" t="n">
        <v>46235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34107-2025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45845</v>
      </c>
      <c r="E779" s="1" t="n">
        <v>46235</v>
      </c>
      <c r="F779" t="inlineStr">
        <is>
          <t>VÄRMLANDS LÄN</t>
        </is>
      </c>
      <c r="G779" t="inlineStr">
        <is>
          <t>HAGFORS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34133-2025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45845</v>
      </c>
      <c r="E780" s="1" t="n">
        <v>46235</v>
      </c>
      <c r="F780" t="inlineStr">
        <is>
          <t>VÄRMLANDS LÄN</t>
        </is>
      </c>
      <c r="G780" t="inlineStr">
        <is>
          <t>HAGFORS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34149-2025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45845</v>
      </c>
      <c r="E781" s="1" t="n">
        <v>46235</v>
      </c>
      <c r="F781" t="inlineStr">
        <is>
          <t>VÄRMLANDS LÄN</t>
        </is>
      </c>
      <c r="G781" t="inlineStr">
        <is>
          <t>HAGFORS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21954-2025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45784</v>
      </c>
      <c r="E782" s="1" t="n">
        <v>46235</v>
      </c>
      <c r="F782" t="inlineStr">
        <is>
          <t>VÄRMLANDS LÄN</t>
        </is>
      </c>
      <c r="G782" t="inlineStr">
        <is>
          <t>HAGFORS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19515-2025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46235</v>
      </c>
      <c r="F783" t="inlineStr">
        <is>
          <t>VÄRMLANDS LÄN</t>
        </is>
      </c>
      <c r="G783" t="inlineStr">
        <is>
          <t>HAGFORS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42801-2024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45565</v>
      </c>
      <c r="E784" s="1" t="n">
        <v>46235</v>
      </c>
      <c r="F784" t="inlineStr">
        <is>
          <t>VÄRMLANDS LÄN</t>
        </is>
      </c>
      <c r="G784" t="inlineStr">
        <is>
          <t>HAGFORS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35289-2025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45854</v>
      </c>
      <c r="E785" s="1" t="n">
        <v>46235</v>
      </c>
      <c r="F785" t="inlineStr">
        <is>
          <t>VÄRMLANDS LÄN</t>
        </is>
      </c>
      <c r="G785" t="inlineStr">
        <is>
          <t>HAGFORS</t>
        </is>
      </c>
      <c r="H785" t="inlineStr">
        <is>
          <t>Kyrkan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35312-2025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45854</v>
      </c>
      <c r="E786" s="1" t="n">
        <v>46235</v>
      </c>
      <c r="F786" t="inlineStr">
        <is>
          <t>VÄRMLANDS LÄN</t>
        </is>
      </c>
      <c r="G786" t="inlineStr">
        <is>
          <t>HAGFORS</t>
        </is>
      </c>
      <c r="H786" t="inlineStr">
        <is>
          <t>Kyrkan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35212-2025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45853</v>
      </c>
      <c r="E787" s="1" t="n">
        <v>46235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23813-2025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46235</v>
      </c>
      <c r="F788" t="inlineStr">
        <is>
          <t>VÄRMLANDS LÄN</t>
        </is>
      </c>
      <c r="G788" t="inlineStr">
        <is>
          <t>HAGFORS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32604-2025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45838</v>
      </c>
      <c r="E789" s="1" t="n">
        <v>46235</v>
      </c>
      <c r="F789" t="inlineStr">
        <is>
          <t>VÄRMLANDS LÄN</t>
        </is>
      </c>
      <c r="G789" t="inlineStr">
        <is>
          <t>HAGFORS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29269-2025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45824</v>
      </c>
      <c r="E790" s="1" t="n">
        <v>46235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37027-2025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45874</v>
      </c>
      <c r="E791" s="1" t="n">
        <v>46235</v>
      </c>
      <c r="F791" t="inlineStr">
        <is>
          <t>VÄRMLANDS LÄN</t>
        </is>
      </c>
      <c r="G791" t="inlineStr">
        <is>
          <t>HAGFORS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8830-2024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46235</v>
      </c>
      <c r="F792" t="inlineStr">
        <is>
          <t>VÄRMLANDS LÄN</t>
        </is>
      </c>
      <c r="G792" t="inlineStr">
        <is>
          <t>HAGFORS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43558-2024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45569</v>
      </c>
      <c r="E793" s="1" t="n">
        <v>46235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16153-2025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45750</v>
      </c>
      <c r="E794" s="1" t="n">
        <v>46235</v>
      </c>
      <c r="F794" t="inlineStr">
        <is>
          <t>VÄRMLANDS LÄN</t>
        </is>
      </c>
      <c r="G794" t="inlineStr">
        <is>
          <t>HAGFORS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46235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46235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937-2022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46235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931-2022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46235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49.5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262-2022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44578</v>
      </c>
      <c r="E799" s="1" t="n">
        <v>46235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78.90000000000001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907-2022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46235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913-2022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46235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898-2022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46235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900-2022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46235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914-2022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46235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4419-2023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46235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4420-2023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46235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4426-2023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46235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5512-2022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44834</v>
      </c>
      <c r="E808" s="1" t="n">
        <v>46235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4415-2023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46235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9.199999999999999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6970-2022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46235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4408-2023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46235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6968-2022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46235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19.3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4423-2023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46235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4418-2023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46235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651-2024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45356</v>
      </c>
      <c r="E815" s="1" t="n">
        <v>46235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4145-2023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46235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46235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89-2025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45316</v>
      </c>
      <c r="E818" s="1" t="n">
        <v>46235</v>
      </c>
      <c r="F818" t="inlineStr">
        <is>
          <t>VÄRMLANDS LÄN</t>
        </is>
      </c>
      <c r="G818" t="inlineStr">
        <is>
          <t>HAGFORS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6969-2022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46235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220-2025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45680</v>
      </c>
      <c r="E820" s="1" t="n">
        <v>46235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4150-2023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46235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4410-2023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46235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46235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46235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46235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46235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46235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46235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46235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46235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46235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46235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46235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46235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46235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2026-08-01T01:49:46Z</dcterms:created>
  <dcterms:modified xmlns:dcterms="http://purl.org/dc/terms/" xmlns:xsi="http://www.w3.org/2001/XMLSchema-instance" xsi:type="dcterms:W3CDTF">2026-08-01T01:49:46Z</dcterms:modified>
</cp:coreProperties>
</file>