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46242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46242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46242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46242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46242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46242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46242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46242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46242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46242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46242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46242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46242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46242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46242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46242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46242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46242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46242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46242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46242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46242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46242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46242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46242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46242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46242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46242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46242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46242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24885-2025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46242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HYPERLINK("https://klasma.github.io/Logging_1783/artfynd/A 24885-2025 artfynd.xlsx", "A 24885-2025")</f>
        <v/>
      </c>
      <c r="X32">
        <f>HYPERLINK("https://klasma.github.io/Logging_1783/kartor/A 24885-2025 karta.png", "A 24885-2025")</f>
        <v/>
      </c>
      <c r="Y32">
        <f>HYPERLINK("https://klasma.github.io/Logging_1783/kartor_geotiff/A 24885-2025 georefererad karta.tif", "A 24885-2025")</f>
        <v/>
      </c>
      <c r="AA32">
        <f>HYPERLINK("https://klasma.github.io/Logging_1783/klagomål/A 24885-2025 FSC-klagomål.docx", "A 24885-2025")</f>
        <v/>
      </c>
      <c r="AB32">
        <f>HYPERLINK("https://klasma.github.io/Logging_1783/klagomålsmail/A 24885-2025 FSC-klagomål mail.docx", "A 24885-2025")</f>
        <v/>
      </c>
      <c r="AC32">
        <f>HYPERLINK("https://klasma.github.io/Logging_1783/tillsyn/A 24885-2025 tillsynsbegäran.docx", "A 24885-2025")</f>
        <v/>
      </c>
      <c r="AD32">
        <f>HYPERLINK("https://klasma.github.io/Logging_1783/tillsynsmail/A 24885-2025 tillsynsbegäran mail.docx", "A 24885-2025")</f>
        <v/>
      </c>
    </row>
    <row r="33" ht="15" customHeight="1">
      <c r="A33" t="inlineStr">
        <is>
          <t>A 62954-2025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46009</v>
      </c>
      <c r="E33" s="1" t="n">
        <v>46242</v>
      </c>
      <c r="F33" t="inlineStr">
        <is>
          <t>VÄRMLANDS LÄN</t>
        </is>
      </c>
      <c r="G33" t="inlineStr">
        <is>
          <t>HAGFORS</t>
        </is>
      </c>
      <c r="I33" t="n">
        <v>9.1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Kråka</t>
        </is>
      </c>
      <c r="W33">
        <f>HYPERLINK("https://klasma.github.io/Logging_1783/artfynd/A 62954-2025 artfynd.xlsx", "A 62954-2025")</f>
        <v/>
      </c>
      <c r="X33">
        <f>HYPERLINK("https://klasma.github.io/Logging_1783/kartor/A 62954-2025 karta.png", "A 62954-2025")</f>
        <v/>
      </c>
      <c r="Y33">
        <f>HYPERLINK("https://klasma.github.io/Logging_1783/kartor_geotiff/A 62954-2025 georefererad karta.tif", "A 62954-2025")</f>
        <v/>
      </c>
      <c r="AA33">
        <f>HYPERLINK("https://klasma.github.io/Logging_1783/klagomål/A 62954-2025 FSC-klagomål.docx", "A 62954-2025")</f>
        <v/>
      </c>
      <c r="AB33">
        <f>HYPERLINK("https://klasma.github.io/Logging_1783/klagomålsmail/A 62954-2025 FSC-klagomål mail.docx", "A 62954-2025")</f>
        <v/>
      </c>
      <c r="AC33">
        <f>HYPERLINK("https://klasma.github.io/Logging_1783/tillsyn/A 62954-2025 tillsynsbegäran.docx", "A 62954-2025")</f>
        <v/>
      </c>
      <c r="AD33">
        <f>HYPERLINK("https://klasma.github.io/Logging_1783/tillsynsmail/A 62954-2025 tillsynsbegäran mail.docx", "A 62954-2025")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46242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Hökuggla</t>
        </is>
      </c>
      <c r="W34">
        <f>HYPERLINK("https://klasma.github.io/Logging_1783/artfynd/A 37152-2023 artfynd.xlsx", "A 37152-2023")</f>
        <v/>
      </c>
      <c r="X34">
        <f>HYPERLINK("https://klasma.github.io/Logging_1783/kartor/A 37152-2023 karta.png", "A 37152-2023")</f>
        <v/>
      </c>
      <c r="Y34">
        <f>HYPERLINK("https://klasma.github.io/Logging_1783/kartor_geotiff/A 37152-2023 georefererad karta.tif", "A 37152-2023")</f>
        <v/>
      </c>
      <c r="AA34">
        <f>HYPERLINK("https://klasma.github.io/Logging_1783/klagomål/A 37152-2023 FSC-klagomål.docx", "A 37152-2023")</f>
        <v/>
      </c>
      <c r="AB34">
        <f>HYPERLINK("https://klasma.github.io/Logging_1783/klagomålsmail/A 37152-2023 FSC-klagomål mail.docx", "A 37152-2023")</f>
        <v/>
      </c>
      <c r="AC34">
        <f>HYPERLINK("https://klasma.github.io/Logging_1783/tillsyn/A 37152-2023 tillsynsbegäran.docx", "A 37152-2023")</f>
        <v/>
      </c>
      <c r="AD34">
        <f>HYPERLINK("https://klasma.github.io/Logging_1783/tillsynsmail/A 37152-2023 tillsynsbegäran mail.docx", "A 37152-2023")</f>
        <v/>
      </c>
      <c r="AE34">
        <f>HYPERLINK("https://klasma.github.io/Logging_1783/fåglar/A 37152-2023 prioriterade fågelarter.docx", "A 37152-2023")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46242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46242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8254-2026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46242</v>
      </c>
      <c r="F37" t="inlineStr">
        <is>
          <t>VÄRMLANDS LÄN</t>
        </is>
      </c>
      <c r="G37" t="inlineStr">
        <is>
          <t>HAGFORS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HYPERLINK("https://klasma.github.io/Logging_1783/artfynd/A 8254-2026 artfynd.xlsx", "A 8254-2026")</f>
        <v/>
      </c>
      <c r="X37">
        <f>HYPERLINK("https://klasma.github.io/Logging_1783/kartor/A 8254-2026 karta.png", "A 8254-2026")</f>
        <v/>
      </c>
      <c r="Y37">
        <f>HYPERLINK("https://klasma.github.io/Logging_1783/kartor_geotiff/A 8254-2026 georefererad karta.tif", "A 8254-2026")</f>
        <v/>
      </c>
      <c r="AA37">
        <f>HYPERLINK("https://klasma.github.io/Logging_1783/klagomål/A 8254-2026 FSC-klagomål.docx", "A 8254-2026")</f>
        <v/>
      </c>
      <c r="AB37">
        <f>HYPERLINK("https://klasma.github.io/Logging_1783/klagomålsmail/A 8254-2026 FSC-klagomål mail.docx", "A 8254-2026")</f>
        <v/>
      </c>
      <c r="AC37">
        <f>HYPERLINK("https://klasma.github.io/Logging_1783/tillsyn/A 8254-2026 tillsynsbegäran.docx", "A 8254-2026")</f>
        <v/>
      </c>
      <c r="AD37">
        <f>HYPERLINK("https://klasma.github.io/Logging_1783/tillsynsmail/A 8254-2026 tillsynsbegäran mail.docx", "A 8254-2026")</f>
        <v/>
      </c>
    </row>
    <row r="38" ht="15" customHeight="1">
      <c r="A38" t="inlineStr">
        <is>
          <t>A 51194-2022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44868</v>
      </c>
      <c r="E38" s="1" t="n">
        <v>46242</v>
      </c>
      <c r="F38" t="inlineStr">
        <is>
          <t>VÄRMLANDS LÄN</t>
        </is>
      </c>
      <c r="G38" t="inlineStr">
        <is>
          <t>HAGFORS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HYPERLINK("https://klasma.github.io/Logging_1783/artfynd/A 51194-2022 artfynd.xlsx", "A 51194-2022")</f>
        <v/>
      </c>
      <c r="X38">
        <f>HYPERLINK("https://klasma.github.io/Logging_1783/kartor/A 51194-2022 karta.png", "A 51194-2022")</f>
        <v/>
      </c>
      <c r="Y38">
        <f>HYPERLINK("https://klasma.github.io/Logging_1783/kartor_geotiff/A 51194-2022 georefererad karta.tif", "A 51194-2022")</f>
        <v/>
      </c>
      <c r="AA38">
        <f>HYPERLINK("https://klasma.github.io/Logging_1783/klagomål/A 51194-2022 FSC-klagomål.docx", "A 51194-2022")</f>
        <v/>
      </c>
      <c r="AB38">
        <f>HYPERLINK("https://klasma.github.io/Logging_1783/klagomålsmail/A 51194-2022 FSC-klagomål mail.docx", "A 51194-2022")</f>
        <v/>
      </c>
      <c r="AC38">
        <f>HYPERLINK("https://klasma.github.io/Logging_1783/tillsyn/A 51194-2022 tillsynsbegäran.docx", "A 51194-2022")</f>
        <v/>
      </c>
      <c r="AD38">
        <f>HYPERLINK("https://klasma.github.io/Logging_1783/tillsynsmail/A 51194-2022 tillsynsbegäran mail.docx", "A 51194-2022")</f>
        <v/>
      </c>
    </row>
    <row r="39" ht="15" customHeight="1">
      <c r="A39" t="inlineStr">
        <is>
          <t>A 12445-2026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46242</v>
      </c>
      <c r="F39" t="inlineStr">
        <is>
          <t>VÄRMLANDS LÄN</t>
        </is>
      </c>
      <c r="G39" t="inlineStr">
        <is>
          <t>HAGFORS</t>
        </is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HYPERLINK("https://klasma.github.io/Logging_1783/artfynd/A 12445-2026 artfynd.xlsx", "A 12445-2026")</f>
        <v/>
      </c>
      <c r="X39">
        <f>HYPERLINK("https://klasma.github.io/Logging_1783/kartor/A 12445-2026 karta.png", "A 12445-2026")</f>
        <v/>
      </c>
      <c r="Y39">
        <f>HYPERLINK("https://klasma.github.io/Logging_1783/kartor_geotiff/A 12445-2026 georefererad karta.tif", "A 12445-2026")</f>
        <v/>
      </c>
      <c r="AA39">
        <f>HYPERLINK("https://klasma.github.io/Logging_1783/klagomål/A 12445-2026 FSC-klagomål.docx", "A 12445-2026")</f>
        <v/>
      </c>
      <c r="AB39">
        <f>HYPERLINK("https://klasma.github.io/Logging_1783/klagomålsmail/A 12445-2026 FSC-klagomål mail.docx", "A 12445-2026")</f>
        <v/>
      </c>
      <c r="AC39">
        <f>HYPERLINK("https://klasma.github.io/Logging_1783/tillsyn/A 12445-2026 tillsynsbegäran.docx", "A 12445-2026")</f>
        <v/>
      </c>
      <c r="AD39">
        <f>HYPERLINK("https://klasma.github.io/Logging_1783/tillsynsmail/A 12445-2026 tillsynsbegäran mail.docx", "A 12445-2026")</f>
        <v/>
      </c>
      <c r="AE39">
        <f>HYPERLINK("https://klasma.github.io/Logging_1783/fåglar/A 12445-2026 prioriterade fågelarter.docx", "A 12445-2026")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46242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44095-2023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46242</v>
      </c>
      <c r="F41" t="inlineStr">
        <is>
          <t>VÄRMLANDS LÄN</t>
        </is>
      </c>
      <c r="G41" t="inlineStr">
        <is>
          <t>HAGFORS</t>
        </is>
      </c>
      <c r="I41" t="n">
        <v>3.6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44095-2023 artfynd.xlsx", "A 44095-2023")</f>
        <v/>
      </c>
      <c r="X41">
        <f>HYPERLINK("https://klasma.github.io/Logging_1783/kartor/A 44095-2023 karta.png", "A 44095-2023")</f>
        <v/>
      </c>
      <c r="Y41">
        <f>HYPERLINK("https://klasma.github.io/Logging_1783/kartor_geotiff/A 44095-2023 georefererad karta.tif", "A 44095-2023")</f>
        <v/>
      </c>
      <c r="AA41">
        <f>HYPERLINK("https://klasma.github.io/Logging_1783/klagomål/A 44095-2023 FSC-klagomål.docx", "A 44095-2023")</f>
        <v/>
      </c>
      <c r="AB41">
        <f>HYPERLINK("https://klasma.github.io/Logging_1783/klagomålsmail/A 44095-2023 FSC-klagomål mail.docx", "A 44095-2023")</f>
        <v/>
      </c>
      <c r="AC41">
        <f>HYPERLINK("https://klasma.github.io/Logging_1783/tillsyn/A 44095-2023 tillsynsbegäran.docx", "A 44095-2023")</f>
        <v/>
      </c>
      <c r="AD41">
        <f>HYPERLINK("https://klasma.github.io/Logging_1783/tillsynsmail/A 44095-2023 tillsynsbegäran mail.docx", "A 44095-2023")</f>
        <v/>
      </c>
    </row>
    <row r="42" ht="15" customHeight="1">
      <c r="A42" t="inlineStr">
        <is>
          <t>A 54700-2025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45966</v>
      </c>
      <c r="E42" s="1" t="n">
        <v>46242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6.6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HYPERLINK("https://klasma.github.io/Logging_1783/artfynd/A 54700-2025 artfynd.xlsx", "A 54700-2025")</f>
        <v/>
      </c>
      <c r="X42">
        <f>HYPERLINK("https://klasma.github.io/Logging_1783/kartor/A 54700-2025 karta.png", "A 54700-2025")</f>
        <v/>
      </c>
      <c r="Y42">
        <f>HYPERLINK("https://klasma.github.io/Logging_1783/kartor_geotiff/A 54700-2025 georefererad karta.tif", "A 54700-2025")</f>
        <v/>
      </c>
      <c r="AA42">
        <f>HYPERLINK("https://klasma.github.io/Logging_1783/klagomål/A 54700-2025 FSC-klagomål.docx", "A 54700-2025")</f>
        <v/>
      </c>
      <c r="AB42">
        <f>HYPERLINK("https://klasma.github.io/Logging_1783/klagomålsmail/A 54700-2025 FSC-klagomål mail.docx", "A 54700-2025")</f>
        <v/>
      </c>
      <c r="AC42">
        <f>HYPERLINK("https://klasma.github.io/Logging_1783/tillsyn/A 54700-2025 tillsynsbegäran.docx", "A 54700-2025")</f>
        <v/>
      </c>
      <c r="AD42">
        <f>HYPERLINK("https://klasma.github.io/Logging_1783/tillsynsmail/A 54700-2025 tillsynsbegäran mail.docx", "A 54700-2025")</f>
        <v/>
      </c>
      <c r="AE42">
        <f>HYPERLINK("https://klasma.github.io/Logging_1783/fåglar/A 54700-2025 prioriterade fågelarter.docx", "A 54700-2025")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46242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46242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46242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34158-2025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45845</v>
      </c>
      <c r="E46" s="1" t="n">
        <v>46242</v>
      </c>
      <c r="F46" t="inlineStr">
        <is>
          <t>VÄRMLANDS LÄN</t>
        </is>
      </c>
      <c r="G46" t="inlineStr">
        <is>
          <t>HAGFORS</t>
        </is>
      </c>
      <c r="I46" t="n">
        <v>5.8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Korallblylav</t>
        </is>
      </c>
      <c r="W46">
        <f>HYPERLINK("https://klasma.github.io/Logging_1783/artfynd/A 34158-2025 artfynd.xlsx", "A 34158-2025")</f>
        <v/>
      </c>
      <c r="X46">
        <f>HYPERLINK("https://klasma.github.io/Logging_1783/kartor/A 34158-2025 karta.png", "A 34158-2025")</f>
        <v/>
      </c>
      <c r="Y46">
        <f>HYPERLINK("https://klasma.github.io/Logging_1783/kartor_geotiff/A 34158-2025 georefererad karta.tif", "A 34158-2025")</f>
        <v/>
      </c>
      <c r="AA46">
        <f>HYPERLINK("https://klasma.github.io/Logging_1783/klagomål/A 34158-2025 FSC-klagomål.docx", "A 34158-2025")</f>
        <v/>
      </c>
      <c r="AB46">
        <f>HYPERLINK("https://klasma.github.io/Logging_1783/klagomålsmail/A 34158-2025 FSC-klagomål mail.docx", "A 34158-2025")</f>
        <v/>
      </c>
      <c r="AC46">
        <f>HYPERLINK("https://klasma.github.io/Logging_1783/tillsyn/A 34158-2025 tillsynsbegäran.docx", "A 34158-2025")</f>
        <v/>
      </c>
      <c r="AD46">
        <f>HYPERLINK("https://klasma.github.io/Logging_1783/tillsynsmail/A 34158-2025 tillsynsbegäran mail.docx", "A 34158-2025")</f>
        <v/>
      </c>
    </row>
    <row r="47" ht="15" customHeight="1">
      <c r="A47" t="inlineStr">
        <is>
          <t>A 33848-2025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45842</v>
      </c>
      <c r="E47" s="1" t="n">
        <v>46242</v>
      </c>
      <c r="F47" t="inlineStr">
        <is>
          <t>VÄRMLANDS LÄN</t>
        </is>
      </c>
      <c r="G47" t="inlineStr">
        <is>
          <t>HAGFORS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33848-2025 artfynd.xlsx", "A 33848-2025")</f>
        <v/>
      </c>
      <c r="X47">
        <f>HYPERLINK("https://klasma.github.io/Logging_1783/kartor/A 33848-2025 karta.png", "A 33848-2025")</f>
        <v/>
      </c>
      <c r="Y47">
        <f>HYPERLINK("https://klasma.github.io/Logging_1783/kartor_geotiff/A 33848-2025 georefererad karta.tif", "A 33848-2025")</f>
        <v/>
      </c>
      <c r="AA47">
        <f>HYPERLINK("https://klasma.github.io/Logging_1783/klagomål/A 33848-2025 FSC-klagomål.docx", "A 33848-2025")</f>
        <v/>
      </c>
      <c r="AB47">
        <f>HYPERLINK("https://klasma.github.io/Logging_1783/klagomålsmail/A 33848-2025 FSC-klagomål mail.docx", "A 33848-2025")</f>
        <v/>
      </c>
      <c r="AC47">
        <f>HYPERLINK("https://klasma.github.io/Logging_1783/tillsyn/A 33848-2025 tillsynsbegäran.docx", "A 33848-2025")</f>
        <v/>
      </c>
      <c r="AD47">
        <f>HYPERLINK("https://klasma.github.io/Logging_1783/tillsynsmail/A 33848-2025 tillsynsbegäran mail.docx", "A 33848-2025")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46242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20119-2025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46242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4.1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20119-2025 artfynd.xlsx", "A 20119-2025")</f>
        <v/>
      </c>
      <c r="X49">
        <f>HYPERLINK("https://klasma.github.io/Logging_1783/kartor/A 20119-2025 karta.png", "A 20119-2025")</f>
        <v/>
      </c>
      <c r="Y49">
        <f>HYPERLINK("https://klasma.github.io/Logging_1783/kartor_geotiff/A 20119-2025 georefererad karta.tif", "A 20119-2025")</f>
        <v/>
      </c>
      <c r="AA49">
        <f>HYPERLINK("https://klasma.github.io/Logging_1783/klagomål/A 20119-2025 FSC-klagomål.docx", "A 20119-2025")</f>
        <v/>
      </c>
      <c r="AB49">
        <f>HYPERLINK("https://klasma.github.io/Logging_1783/klagomålsmail/A 20119-2025 FSC-klagomål mail.docx", "A 20119-2025")</f>
        <v/>
      </c>
      <c r="AC49">
        <f>HYPERLINK("https://klasma.github.io/Logging_1783/tillsyn/A 20119-2025 tillsynsbegäran.docx", "A 20119-2025")</f>
        <v/>
      </c>
      <c r="AD49">
        <f>HYPERLINK("https://klasma.github.io/Logging_1783/tillsynsmail/A 20119-2025 tillsynsbegäran mail.docx", "A 20119-2025")</f>
        <v/>
      </c>
      <c r="AE49">
        <f>HYPERLINK("https://klasma.github.io/Logging_1783/fåglar/A 20119-2025 prioriterade fågelarter.docx", "A 20119-2025")</f>
        <v/>
      </c>
    </row>
    <row r="50" ht="15" customHeight="1">
      <c r="A50" t="inlineStr">
        <is>
          <t>A 29432-2026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46203</v>
      </c>
      <c r="E50" s="1" t="n">
        <v>46242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3.1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Vedtrappmossa</t>
        </is>
      </c>
      <c r="W50">
        <f>HYPERLINK("https://klasma.github.io/Logging_1783/artfynd/A 29432-2026 artfynd.xlsx", "A 29432-2026")</f>
        <v/>
      </c>
      <c r="X50">
        <f>HYPERLINK("https://klasma.github.io/Logging_1783/kartor/A 29432-2026 karta.png", "A 29432-2026")</f>
        <v/>
      </c>
      <c r="Y50">
        <f>HYPERLINK("https://klasma.github.io/Logging_1783/kartor_geotiff/A 29432-2026 georefererad karta.tif", "A 29432-2026")</f>
        <v/>
      </c>
      <c r="AA50">
        <f>HYPERLINK("https://klasma.github.io/Logging_1783/klagomål/A 29432-2026 FSC-klagomål.docx", "A 29432-2026")</f>
        <v/>
      </c>
      <c r="AB50">
        <f>HYPERLINK("https://klasma.github.io/Logging_1783/klagomålsmail/A 29432-2026 FSC-klagomål mail.docx", "A 29432-2026")</f>
        <v/>
      </c>
      <c r="AC50">
        <f>HYPERLINK("https://klasma.github.io/Logging_1783/tillsyn/A 29432-2026 tillsynsbegäran.docx", "A 29432-2026")</f>
        <v/>
      </c>
      <c r="AD50">
        <f>HYPERLINK("https://klasma.github.io/Logging_1783/tillsynsmail/A 29432-2026 tillsynsbegäran mail.docx", "A 29432-2026")</f>
        <v/>
      </c>
    </row>
    <row r="51" ht="15" customHeight="1">
      <c r="A51" t="inlineStr">
        <is>
          <t>A 30524-2022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44762</v>
      </c>
      <c r="E51" s="1" t="n">
        <v>46242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Kolflarnlav</t>
        </is>
      </c>
      <c r="W51">
        <f>HYPERLINK("https://klasma.github.io/Logging_1783/artfynd/A 30524-2022 artfynd.xlsx", "A 30524-2022")</f>
        <v/>
      </c>
      <c r="X51">
        <f>HYPERLINK("https://klasma.github.io/Logging_1783/kartor/A 30524-2022 karta.png", "A 30524-2022")</f>
        <v/>
      </c>
      <c r="Y51">
        <f>HYPERLINK("https://klasma.github.io/Logging_1783/kartor_geotiff/A 30524-2022 georefererad karta.tif", "A 30524-2022")</f>
        <v/>
      </c>
      <c r="AA51">
        <f>HYPERLINK("https://klasma.github.io/Logging_1783/klagomål/A 30524-2022 FSC-klagomål.docx", "A 30524-2022")</f>
        <v/>
      </c>
      <c r="AB51">
        <f>HYPERLINK("https://klasma.github.io/Logging_1783/klagomålsmail/A 30524-2022 FSC-klagomål mail.docx", "A 30524-2022")</f>
        <v/>
      </c>
      <c r="AC51">
        <f>HYPERLINK("https://klasma.github.io/Logging_1783/tillsyn/A 30524-2022 tillsynsbegäran.docx", "A 30524-2022")</f>
        <v/>
      </c>
      <c r="AD51">
        <f>HYPERLINK("https://klasma.github.io/Logging_1783/tillsynsmail/A 30524-2022 tillsynsbegäran mail.docx", "A 30524-2022")</f>
        <v/>
      </c>
    </row>
    <row r="52" ht="15" customHeight="1">
      <c r="A52" t="inlineStr">
        <is>
          <t>A 24659-2026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46242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24659-2026 artfynd.xlsx", "A 24659-2026")</f>
        <v/>
      </c>
      <c r="X52">
        <f>HYPERLINK("https://klasma.github.io/Logging_1783/kartor/A 24659-2026 karta.png", "A 24659-2026")</f>
        <v/>
      </c>
      <c r="Y52">
        <f>HYPERLINK("https://klasma.github.io/Logging_1783/kartor_geotiff/A 24659-2026 georefererad karta.tif", "A 24659-2026")</f>
        <v/>
      </c>
      <c r="AA52">
        <f>HYPERLINK("https://klasma.github.io/Logging_1783/klagomål/A 24659-2026 FSC-klagomål.docx", "A 24659-2026")</f>
        <v/>
      </c>
      <c r="AB52">
        <f>HYPERLINK("https://klasma.github.io/Logging_1783/klagomålsmail/A 24659-2026 FSC-klagomål mail.docx", "A 24659-2026")</f>
        <v/>
      </c>
      <c r="AC52">
        <f>HYPERLINK("https://klasma.github.io/Logging_1783/tillsyn/A 24659-2026 tillsynsbegäran.docx", "A 24659-2026")</f>
        <v/>
      </c>
      <c r="AD52">
        <f>HYPERLINK("https://klasma.github.io/Logging_1783/tillsynsmail/A 24659-2026 tillsynsbegäran mail.docx", "A 24659-2026")</f>
        <v/>
      </c>
    </row>
    <row r="53" ht="15" customHeight="1">
      <c r="A53" t="inlineStr">
        <is>
          <t>A 24716-2026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46242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24716-2026 artfynd.xlsx", "A 24716-2026")</f>
        <v/>
      </c>
      <c r="X53">
        <f>HYPERLINK("https://klasma.github.io/Logging_1783/kartor/A 24716-2026 karta.png", "A 24716-2026")</f>
        <v/>
      </c>
      <c r="Y53">
        <f>HYPERLINK("https://klasma.github.io/Logging_1783/kartor_geotiff/A 24716-2026 georefererad karta.tif", "A 24716-2026")</f>
        <v/>
      </c>
      <c r="AA53">
        <f>HYPERLINK("https://klasma.github.io/Logging_1783/klagomål/A 24716-2026 FSC-klagomål.docx", "A 24716-2026")</f>
        <v/>
      </c>
      <c r="AB53">
        <f>HYPERLINK("https://klasma.github.io/Logging_1783/klagomålsmail/A 24716-2026 FSC-klagomål mail.docx", "A 24716-2026")</f>
        <v/>
      </c>
      <c r="AC53">
        <f>HYPERLINK("https://klasma.github.io/Logging_1783/tillsyn/A 24716-2026 tillsynsbegäran.docx", "A 24716-2026")</f>
        <v/>
      </c>
      <c r="AD53">
        <f>HYPERLINK("https://klasma.github.io/Logging_1783/tillsynsmail/A 24716-2026 tillsynsbegäran mail.docx", "A 24716-2026")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46242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31742-2026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46227</v>
      </c>
      <c r="E55" s="1" t="n">
        <v>46242</v>
      </c>
      <c r="F55" t="inlineStr">
        <is>
          <t>VÄRMLANDS LÄN</t>
        </is>
      </c>
      <c r="G55" t="inlineStr">
        <is>
          <t>HAGFORS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Motaggsvamp</t>
        </is>
      </c>
      <c r="W55">
        <f>HYPERLINK("https://klasma.github.io/Logging_1783/artfynd/A 31742-2026 artfynd.xlsx", "A 31742-2026")</f>
        <v/>
      </c>
      <c r="X55">
        <f>HYPERLINK("https://klasma.github.io/Logging_1783/kartor/A 31742-2026 karta.png", "A 31742-2026")</f>
        <v/>
      </c>
      <c r="Y55">
        <f>HYPERLINK("https://klasma.github.io/Logging_1783/kartor_geotiff/A 31742-2026 georefererad karta.tif", "A 31742-2026")</f>
        <v/>
      </c>
      <c r="AA55">
        <f>HYPERLINK("https://klasma.github.io/Logging_1783/klagomål/A 31742-2026 FSC-klagomål.docx", "A 31742-2026")</f>
        <v/>
      </c>
      <c r="AB55">
        <f>HYPERLINK("https://klasma.github.io/Logging_1783/klagomålsmail/A 31742-2026 FSC-klagomål mail.docx", "A 31742-2026")</f>
        <v/>
      </c>
      <c r="AC55">
        <f>HYPERLINK("https://klasma.github.io/Logging_1783/tillsyn/A 31742-2026 tillsynsbegäran.docx", "A 31742-2026")</f>
        <v/>
      </c>
      <c r="AD55">
        <f>HYPERLINK("https://klasma.github.io/Logging_1783/tillsynsmail/A 31742-2026 tillsynsbegäran mail.docx", "A 31742-2026")</f>
        <v/>
      </c>
    </row>
    <row r="56" ht="15" customHeight="1">
      <c r="A56" t="inlineStr">
        <is>
          <t>A 38267-2024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46242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4.3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HYPERLINK("https://klasma.github.io/Logging_1783/artfynd/A 38267-2024 artfynd.xlsx", "A 38267-2024")</f>
        <v/>
      </c>
      <c r="X56">
        <f>HYPERLINK("https://klasma.github.io/Logging_1783/kartor/A 38267-2024 karta.png", "A 38267-2024")</f>
        <v/>
      </c>
      <c r="Y56">
        <f>HYPERLINK("https://klasma.github.io/Logging_1783/kartor_geotiff/A 38267-2024 georefererad karta.tif", "A 38267-2024")</f>
        <v/>
      </c>
      <c r="AA56">
        <f>HYPERLINK("https://klasma.github.io/Logging_1783/klagomål/A 38267-2024 FSC-klagomål.docx", "A 38267-2024")</f>
        <v/>
      </c>
      <c r="AB56">
        <f>HYPERLINK("https://klasma.github.io/Logging_1783/klagomålsmail/A 38267-2024 FSC-klagomål mail.docx", "A 38267-2024")</f>
        <v/>
      </c>
      <c r="AC56">
        <f>HYPERLINK("https://klasma.github.io/Logging_1783/tillsyn/A 38267-2024 tillsynsbegäran.docx", "A 38267-2024")</f>
        <v/>
      </c>
      <c r="AD56">
        <f>HYPERLINK("https://klasma.github.io/Logging_1783/tillsynsmail/A 38267-2024 tillsynsbegäran mail.docx", "A 38267-2024")</f>
        <v/>
      </c>
    </row>
    <row r="57" ht="15" customHeight="1">
      <c r="A57" t="inlineStr">
        <is>
          <t>A 56083-2022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46242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19.1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HYPERLINK("https://klasma.github.io/Logging_1783/artfynd/A 56083-2022 artfynd.xlsx", "A 56083-2022")</f>
        <v/>
      </c>
      <c r="X57">
        <f>HYPERLINK("https://klasma.github.io/Logging_1783/kartor/A 56083-2022 karta.png", "A 56083-2022")</f>
        <v/>
      </c>
      <c r="Y57">
        <f>HYPERLINK("https://klasma.github.io/Logging_1783/kartor_geotiff/A 56083-2022 georefererad karta.tif", "A 56083-2022")</f>
        <v/>
      </c>
      <c r="AA57">
        <f>HYPERLINK("https://klasma.github.io/Logging_1783/klagomål/A 56083-2022 FSC-klagomål.docx", "A 56083-2022")</f>
        <v/>
      </c>
      <c r="AB57">
        <f>HYPERLINK("https://klasma.github.io/Logging_1783/klagomålsmail/A 56083-2022 FSC-klagomål mail.docx", "A 56083-2022")</f>
        <v/>
      </c>
      <c r="AC57">
        <f>HYPERLINK("https://klasma.github.io/Logging_1783/tillsyn/A 56083-2022 tillsynsbegäran.docx", "A 56083-2022")</f>
        <v/>
      </c>
      <c r="AD57">
        <f>HYPERLINK("https://klasma.github.io/Logging_1783/tillsynsmail/A 56083-2022 tillsynsbegäran mail.docx", "A 56083-2022")</f>
        <v/>
      </c>
    </row>
    <row r="58" ht="15" customHeight="1">
      <c r="A58" t="inlineStr">
        <is>
          <t>A 42446-2024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46242</v>
      </c>
      <c r="F58" t="inlineStr">
        <is>
          <t>VÄRMLANDS LÄN</t>
        </is>
      </c>
      <c r="G58" t="inlineStr">
        <is>
          <t>HAGFORS</t>
        </is>
      </c>
      <c r="I58" t="n">
        <v>2.4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Strutbräken</t>
        </is>
      </c>
      <c r="W58">
        <f>HYPERLINK("https://klasma.github.io/Logging_1783/artfynd/A 42446-2024 artfynd.xlsx", "A 42446-2024")</f>
        <v/>
      </c>
      <c r="X58">
        <f>HYPERLINK("https://klasma.github.io/Logging_1783/kartor/A 42446-2024 karta.png", "A 42446-2024")</f>
        <v/>
      </c>
      <c r="Y58">
        <f>HYPERLINK("https://klasma.github.io/Logging_1783/kartor_geotiff/A 42446-2024 georefererad karta.tif", "A 42446-2024")</f>
        <v/>
      </c>
      <c r="AA58">
        <f>HYPERLINK("https://klasma.github.io/Logging_1783/klagomål/A 42446-2024 FSC-klagomål.docx", "A 42446-2024")</f>
        <v/>
      </c>
      <c r="AB58">
        <f>HYPERLINK("https://klasma.github.io/Logging_1783/klagomålsmail/A 42446-2024 FSC-klagomål mail.docx", "A 42446-2024")</f>
        <v/>
      </c>
      <c r="AC58">
        <f>HYPERLINK("https://klasma.github.io/Logging_1783/tillsyn/A 42446-2024 tillsynsbegäran.docx", "A 42446-2024")</f>
        <v/>
      </c>
      <c r="AD58">
        <f>HYPERLINK("https://klasma.github.io/Logging_1783/tillsynsmail/A 42446-2024 tillsynsbegäran mail.docx", "A 42446-2024")</f>
        <v/>
      </c>
    </row>
    <row r="59" ht="15" customHeight="1">
      <c r="A59" t="inlineStr">
        <is>
          <t>A 32592-2026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46240</v>
      </c>
      <c r="E59" s="1" t="n">
        <v>46242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HYPERLINK("https://klasma.github.io/Logging_1783/artfynd/A 32592-2026 artfynd.xlsx", "A 32592-2026")</f>
        <v/>
      </c>
      <c r="X59">
        <f>HYPERLINK("https://klasma.github.io/Logging_1783/kartor/A 32592-2026 karta.png", "A 32592-2026")</f>
        <v/>
      </c>
      <c r="Y59">
        <f>HYPERLINK("https://klasma.github.io/Logging_1783/kartor_geotiff/A 32592-2026 georefererad karta.tif", "A 32592-2026")</f>
        <v/>
      </c>
      <c r="AA59">
        <f>HYPERLINK("https://klasma.github.io/Logging_1783/klagomål/A 32592-2026 FSC-klagomål.docx", "A 32592-2026")</f>
        <v/>
      </c>
      <c r="AB59">
        <f>HYPERLINK("https://klasma.github.io/Logging_1783/klagomålsmail/A 32592-2026 FSC-klagomål mail.docx", "A 32592-2026")</f>
        <v/>
      </c>
      <c r="AC59">
        <f>HYPERLINK("https://klasma.github.io/Logging_1783/tillsyn/A 32592-2026 tillsynsbegäran.docx", "A 32592-2026")</f>
        <v/>
      </c>
      <c r="AD59">
        <f>HYPERLINK("https://klasma.github.io/Logging_1783/tillsynsmail/A 32592-2026 tillsynsbegäran mail.docx", "A 32592-2026")</f>
        <v/>
      </c>
    </row>
    <row r="60" ht="15" customHeight="1">
      <c r="A60" t="inlineStr">
        <is>
          <t>A 6986-2022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46242</v>
      </c>
      <c r="F60" t="inlineStr">
        <is>
          <t>VÄRMLANDS LÄN</t>
        </is>
      </c>
      <c r="G60" t="inlineStr">
        <is>
          <t>HAGFORS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HYPERLINK("https://klasma.github.io/Logging_1783/artfynd/A 6986-2022 artfynd.xlsx", "A 6986-2022")</f>
        <v/>
      </c>
      <c r="X60">
        <f>HYPERLINK("https://klasma.github.io/Logging_1783/kartor/A 6986-2022 karta.png", "A 6986-2022")</f>
        <v/>
      </c>
      <c r="Y60">
        <f>HYPERLINK("https://klasma.github.io/Logging_1783/kartor_geotiff/A 6986-2022 georefererad karta.tif", "A 6986-2022")</f>
        <v/>
      </c>
      <c r="AA60">
        <f>HYPERLINK("https://klasma.github.io/Logging_1783/klagomål/A 6986-2022 FSC-klagomål.docx", "A 6986-2022")</f>
        <v/>
      </c>
      <c r="AB60">
        <f>HYPERLINK("https://klasma.github.io/Logging_1783/klagomålsmail/A 6986-2022 FSC-klagomål mail.docx", "A 6986-2022")</f>
        <v/>
      </c>
      <c r="AC60">
        <f>HYPERLINK("https://klasma.github.io/Logging_1783/tillsyn/A 6986-2022 tillsynsbegäran.docx", "A 6986-2022")</f>
        <v/>
      </c>
      <c r="AD60">
        <f>HYPERLINK("https://klasma.github.io/Logging_1783/tillsynsmail/A 6986-2022 tillsynsbegäran mail.docx", "A 6986-2022")</f>
        <v/>
      </c>
    </row>
    <row r="61" ht="15" customHeight="1">
      <c r="A61" t="inlineStr">
        <is>
          <t>A 22484-2025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45786</v>
      </c>
      <c r="E61" s="1" t="n">
        <v>46242</v>
      </c>
      <c r="F61" t="inlineStr">
        <is>
          <t>VÄRMLANDS LÄN</t>
        </is>
      </c>
      <c r="G61" t="inlineStr">
        <is>
          <t>HAGFORS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Rödlånke</t>
        </is>
      </c>
      <c r="W61">
        <f>HYPERLINK("https://klasma.github.io/Logging_1783/artfynd/A 22484-2025 artfynd.xlsx", "A 22484-2025")</f>
        <v/>
      </c>
      <c r="X61">
        <f>HYPERLINK("https://klasma.github.io/Logging_1783/kartor/A 22484-2025 karta.png", "A 22484-2025")</f>
        <v/>
      </c>
      <c r="Y61">
        <f>HYPERLINK("https://klasma.github.io/Logging_1783/kartor_geotiff/A 22484-2025 georefererad karta.tif", "A 22484-2025")</f>
        <v/>
      </c>
      <c r="AA61">
        <f>HYPERLINK("https://klasma.github.io/Logging_1783/klagomål/A 22484-2025 FSC-klagomål.docx", "A 22484-2025")</f>
        <v/>
      </c>
      <c r="AB61">
        <f>HYPERLINK("https://klasma.github.io/Logging_1783/klagomålsmail/A 22484-2025 FSC-klagomål mail.docx", "A 22484-2025")</f>
        <v/>
      </c>
      <c r="AC61">
        <f>HYPERLINK("https://klasma.github.io/Logging_1783/tillsyn/A 22484-2025 tillsynsbegäran.docx", "A 22484-2025")</f>
        <v/>
      </c>
      <c r="AD61">
        <f>HYPERLINK("https://klasma.github.io/Logging_1783/tillsynsmail/A 22484-2025 tillsynsbegäran mail.docx", "A 22484-2025")</f>
        <v/>
      </c>
    </row>
    <row r="62" ht="15" customHeight="1">
      <c r="A62" t="inlineStr">
        <is>
          <t>S 412-2024</t>
        </is>
      </c>
      <c r="B62" t="inlineStr">
        <is>
          <t>samrådsanmälan</t>
        </is>
      </c>
      <c r="C62" t="inlineStr">
        <is>
          <t>Skogsgödsling</t>
        </is>
      </c>
      <c r="D62" s="1" t="n">
        <v>45335</v>
      </c>
      <c r="E62" s="1" t="n">
        <v>46242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344.9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HYPERLINK("https://klasma.github.io/Logging_1783/artfynd/S 412-2024 artfynd.xlsx", "S 412-2024")</f>
        <v/>
      </c>
      <c r="X62">
        <f>HYPERLINK("https://klasma.github.io/Logging_1783/kartor/S 412-2024 karta.png", "S 412-2024")</f>
        <v/>
      </c>
      <c r="Y62">
        <f>HYPERLINK("https://klasma.github.io/Logging_1783/kartor_geotiff/S 412-2024 georefererad karta.tif", "S 412-2024")</f>
        <v/>
      </c>
      <c r="AA62">
        <f>HYPERLINK("https://klasma.github.io/Logging_1783/klagomål/S 412-2024 FSC-klagomål.docx", "S 412-2024")</f>
        <v/>
      </c>
      <c r="AB62">
        <f>HYPERLINK("https://klasma.github.io/Logging_1783/klagomålsmail/S 412-2024 FSC-klagomål mail.docx", "S 412-2024")</f>
        <v/>
      </c>
      <c r="AC62">
        <f>HYPERLINK("https://klasma.github.io/Logging_1783/tillsyn/S 412-2024 tillsynsbegäran.docx", "S 412-2024")</f>
        <v/>
      </c>
      <c r="AD62">
        <f>HYPERLINK("https://klasma.github.io/Logging_1783/tillsynsmail/S 412-2024 tillsynsbegäran mail.docx", "S 412-2024")</f>
        <v/>
      </c>
      <c r="AE62">
        <f>HYPERLINK("https://klasma.github.io/Logging_1783/fåglar/S 412-2024 prioriterade fågelarter.docx", "S 412-2024")</f>
        <v/>
      </c>
    </row>
    <row r="63" ht="15" customHeight="1">
      <c r="A63" t="inlineStr">
        <is>
          <t>S 4427-2023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45266</v>
      </c>
      <c r="E63" s="1" t="n">
        <v>46242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33.3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Fjällig jordtunga</t>
        </is>
      </c>
      <c r="W63">
        <f>HYPERLINK("https://klasma.github.io/Logging_1783/artfynd/S 4427-2023 artfynd.xlsx", "S 4427-2023")</f>
        <v/>
      </c>
      <c r="X63">
        <f>HYPERLINK("https://klasma.github.io/Logging_1783/kartor/S 4427-2023 karta.png", "S 4427-2023")</f>
        <v/>
      </c>
      <c r="Y63">
        <f>HYPERLINK("https://klasma.github.io/Logging_1783/kartor_geotiff/S 4427-2023 georefererad karta.tif", "S 4427-2023")</f>
        <v/>
      </c>
      <c r="AA63">
        <f>HYPERLINK("https://klasma.github.io/Logging_1783/klagomål/S 4427-2023 FSC-klagomål.docx", "S 4427-2023")</f>
        <v/>
      </c>
      <c r="AB63">
        <f>HYPERLINK("https://klasma.github.io/Logging_1783/klagomålsmail/S 4427-2023 FSC-klagomål mail.docx", "S 4427-2023")</f>
        <v/>
      </c>
      <c r="AC63">
        <f>HYPERLINK("https://klasma.github.io/Logging_1783/tillsyn/S 4427-2023 tillsynsbegäran.docx", "S 4427-2023")</f>
        <v/>
      </c>
      <c r="AD63">
        <f>HYPERLINK("https://klasma.github.io/Logging_1783/tillsynsmail/S 4427-2023 tillsynsbegäran mail.docx", "S 4427-2023")</f>
        <v/>
      </c>
    </row>
    <row r="64" ht="15" customHeight="1">
      <c r="A64" t="inlineStr">
        <is>
          <t>S 61-2026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46013</v>
      </c>
      <c r="E64" s="1" t="n">
        <v>46242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421.5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HYPERLINK("https://klasma.github.io/Logging_1783/artfynd/S 61-2026 artfynd.xlsx", "S 61-2026")</f>
        <v/>
      </c>
      <c r="X64">
        <f>HYPERLINK("https://klasma.github.io/Logging_1783/kartor/S 61-2026 karta.png", "S 61-2026")</f>
        <v/>
      </c>
      <c r="Y64">
        <f>HYPERLINK("https://klasma.github.io/Logging_1783/kartor_geotiff/S 61-2026 georefererad karta.tif", "S 61-2026")</f>
        <v/>
      </c>
      <c r="AA64">
        <f>HYPERLINK("https://klasma.github.io/Logging_1783/klagomål/S 61-2026 FSC-klagomål.docx", "S 61-2026")</f>
        <v/>
      </c>
      <c r="AB64">
        <f>HYPERLINK("https://klasma.github.io/Logging_1783/klagomålsmail/S 61-2026 FSC-klagomål mail.docx", "S 61-2026")</f>
        <v/>
      </c>
      <c r="AC64">
        <f>HYPERLINK("https://klasma.github.io/Logging_1783/tillsyn/S 61-2026 tillsynsbegäran.docx", "S 61-2026")</f>
        <v/>
      </c>
      <c r="AD64">
        <f>HYPERLINK("https://klasma.github.io/Logging_1783/tillsynsmail/S 61-2026 tillsynsbegäran mail.docx", "S 61-2026")</f>
        <v/>
      </c>
    </row>
    <row r="65" ht="15" customHeight="1">
      <c r="A65" t="inlineStr">
        <is>
          <t>A 42739-2022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44832</v>
      </c>
      <c r="E65" s="1" t="n">
        <v>46242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44417</v>
      </c>
      <c r="E66" s="1" t="n">
        <v>46242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46242</v>
      </c>
      <c r="F67" t="inlineStr">
        <is>
          <t>VÄRMLANDS LÄN</t>
        </is>
      </c>
      <c r="G67" t="inlineStr">
        <is>
          <t>HAGFORS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46242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46242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46242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46242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46242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46242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46242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46242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46242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46242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46242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46242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46242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46242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46242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46242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46242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46242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46242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46242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46242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46242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44432</v>
      </c>
      <c r="E90" s="1" t="n">
        <v>46242</v>
      </c>
      <c r="F90" t="inlineStr">
        <is>
          <t>VÄRMLANDS LÄN</t>
        </is>
      </c>
      <c r="G90" t="inlineStr">
        <is>
          <t>HAGFORS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46242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46242</v>
      </c>
      <c r="F92" t="inlineStr">
        <is>
          <t>VÄRMLANDS LÄN</t>
        </is>
      </c>
      <c r="G92" t="inlineStr">
        <is>
          <t>HAGFORS</t>
        </is>
      </c>
      <c r="H92" t="inlineStr">
        <is>
          <t>Bergvik skog väst AB</t>
        </is>
      </c>
      <c r="I92" t="n">
        <v>28.9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44613</v>
      </c>
      <c r="E93" s="1" t="n">
        <v>46242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46242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46242</v>
      </c>
      <c r="F95" t="inlineStr">
        <is>
          <t>VÄRMLANDS LÄN</t>
        </is>
      </c>
      <c r="G95" t="inlineStr">
        <is>
          <t>HAGFORS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44763</v>
      </c>
      <c r="E96" s="1" t="n">
        <v>46242</v>
      </c>
      <c r="F96" t="inlineStr">
        <is>
          <t>VÄRMLANDS LÄN</t>
        </is>
      </c>
      <c r="G96" t="inlineStr">
        <is>
          <t>HAGFORS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46242</v>
      </c>
      <c r="F97" t="inlineStr">
        <is>
          <t>VÄRMLANDS LÄN</t>
        </is>
      </c>
      <c r="G97" t="inlineStr">
        <is>
          <t>HAGFORS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44799</v>
      </c>
      <c r="E98" s="1" t="n">
        <v>46242</v>
      </c>
      <c r="F98" t="inlineStr">
        <is>
          <t>VÄRMLANDS LÄN</t>
        </is>
      </c>
      <c r="G98" t="inlineStr">
        <is>
          <t>HAGFORS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46242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46242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46242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46242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44545</v>
      </c>
      <c r="E103" s="1" t="n">
        <v>46242</v>
      </c>
      <c r="F103" t="inlineStr">
        <is>
          <t>VÄRMLANDS LÄN</t>
        </is>
      </c>
      <c r="G103" t="inlineStr">
        <is>
          <t>HAGFORS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46242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46242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46242</v>
      </c>
      <c r="F106" t="inlineStr">
        <is>
          <t>VÄRMLANDS LÄN</t>
        </is>
      </c>
      <c r="G106" t="inlineStr">
        <is>
          <t>HAGFORS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44836</v>
      </c>
      <c r="E107" s="1" t="n">
        <v>46242</v>
      </c>
      <c r="F107" t="inlineStr">
        <is>
          <t>VÄRMLANDS LÄN</t>
        </is>
      </c>
      <c r="G107" t="inlineStr">
        <is>
          <t>HAGFORS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46242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46242</v>
      </c>
      <c r="F109" t="inlineStr">
        <is>
          <t>VÄRMLANDS LÄN</t>
        </is>
      </c>
      <c r="G109" t="inlineStr">
        <is>
          <t>HAGFORS</t>
        </is>
      </c>
      <c r="H109" t="inlineStr">
        <is>
          <t>Kommuner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46242</v>
      </c>
      <c r="F110" t="inlineStr">
        <is>
          <t>VÄRMLANDS LÄN</t>
        </is>
      </c>
      <c r="G110" t="inlineStr">
        <is>
          <t>HAGFORS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44858</v>
      </c>
      <c r="E111" s="1" t="n">
        <v>46242</v>
      </c>
      <c r="F111" t="inlineStr">
        <is>
          <t>VÄRMLANDS LÄN</t>
        </is>
      </c>
      <c r="G111" t="inlineStr">
        <is>
          <t>HAGFORS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44594</v>
      </c>
      <c r="E112" s="1" t="n">
        <v>46242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46242</v>
      </c>
      <c r="F113" t="inlineStr">
        <is>
          <t>VÄRMLANDS LÄN</t>
        </is>
      </c>
      <c r="G113" t="inlineStr">
        <is>
          <t>HAGFORS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46242</v>
      </c>
      <c r="F114" t="inlineStr">
        <is>
          <t>VÄRMLANDS LÄN</t>
        </is>
      </c>
      <c r="G114" t="inlineStr">
        <is>
          <t>HAGFORS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17402-2022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44678</v>
      </c>
      <c r="E115" s="1" t="n">
        <v>46242</v>
      </c>
      <c r="F115" t="inlineStr">
        <is>
          <t>VÄRMLANDS LÄN</t>
        </is>
      </c>
      <c r="G115" t="inlineStr">
        <is>
          <t>HAGFORS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65565-2021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46242</v>
      </c>
      <c r="F116" t="inlineStr">
        <is>
          <t>VÄRMLANDS LÄN</t>
        </is>
      </c>
      <c r="G116" t="inlineStr">
        <is>
          <t>HAGFORS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46242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46242</v>
      </c>
      <c r="F118" t="inlineStr">
        <is>
          <t>VÄRMLANDS LÄN</t>
        </is>
      </c>
      <c r="G118" t="inlineStr">
        <is>
          <t>HAGFORS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46242</v>
      </c>
      <c r="F119" t="inlineStr">
        <is>
          <t>VÄRMLANDS LÄN</t>
        </is>
      </c>
      <c r="G119" t="inlineStr">
        <is>
          <t>HAGFORS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46242</v>
      </c>
      <c r="F120" t="inlineStr">
        <is>
          <t>VÄRMLANDS LÄN</t>
        </is>
      </c>
      <c r="G120" t="inlineStr">
        <is>
          <t>HAGFORS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46242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61232-2024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45645</v>
      </c>
      <c r="E122" s="1" t="n">
        <v>46242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49585-2023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46242</v>
      </c>
      <c r="F123" t="inlineStr">
        <is>
          <t>VÄRMLANDS LÄN</t>
        </is>
      </c>
      <c r="G123" t="inlineStr">
        <is>
          <t>HAGFORS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46242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45489</v>
      </c>
      <c r="E125" s="1" t="n">
        <v>46242</v>
      </c>
      <c r="F125" t="inlineStr">
        <is>
          <t>VÄRMLANDS LÄN</t>
        </is>
      </c>
      <c r="G125" t="inlineStr">
        <is>
          <t>HAGFORS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46242</v>
      </c>
      <c r="F126" t="inlineStr">
        <is>
          <t>VÄRMLANDS LÄN</t>
        </is>
      </c>
      <c r="G126" t="inlineStr">
        <is>
          <t>HAGFORS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44839</v>
      </c>
      <c r="E127" s="1" t="n">
        <v>46242</v>
      </c>
      <c r="F127" t="inlineStr">
        <is>
          <t>VÄRMLANDS LÄN</t>
        </is>
      </c>
      <c r="G127" t="inlineStr">
        <is>
          <t>HAGFORS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45678</v>
      </c>
      <c r="E128" s="1" t="n">
        <v>46242</v>
      </c>
      <c r="F128" t="inlineStr">
        <is>
          <t>VÄRMLANDS LÄN</t>
        </is>
      </c>
      <c r="G128" t="inlineStr">
        <is>
          <t>HAGFORS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46242</v>
      </c>
      <c r="F129" t="inlineStr">
        <is>
          <t>VÄRMLANDS LÄN</t>
        </is>
      </c>
      <c r="G129" t="inlineStr">
        <is>
          <t>HAGFORS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44869</v>
      </c>
      <c r="E130" s="1" t="n">
        <v>46242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45335</v>
      </c>
      <c r="E131" s="1" t="n">
        <v>46242</v>
      </c>
      <c r="F131" t="inlineStr">
        <is>
          <t>VÄRMLANDS LÄN</t>
        </is>
      </c>
      <c r="G131" t="inlineStr">
        <is>
          <t>HAGFORS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45356</v>
      </c>
      <c r="E132" s="1" t="n">
        <v>46242</v>
      </c>
      <c r="F132" t="inlineStr">
        <is>
          <t>VÄRMLANDS LÄN</t>
        </is>
      </c>
      <c r="G132" t="inlineStr">
        <is>
          <t>HAGFORS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45608</v>
      </c>
      <c r="E133" s="1" t="n">
        <v>46242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44125-2021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44434</v>
      </c>
      <c r="E134" s="1" t="n">
        <v>46242</v>
      </c>
      <c r="F134" t="inlineStr">
        <is>
          <t>VÄRMLANDS LÄN</t>
        </is>
      </c>
      <c r="G134" t="inlineStr">
        <is>
          <t>HAGFORS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46242</v>
      </c>
      <c r="F135" t="inlineStr">
        <is>
          <t>VÄRMLANDS LÄN</t>
        </is>
      </c>
      <c r="G135" t="inlineStr">
        <is>
          <t>HAGFORS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45621</v>
      </c>
      <c r="E136" s="1" t="n">
        <v>46242</v>
      </c>
      <c r="F136" t="inlineStr">
        <is>
          <t>VÄRMLANDS LÄN</t>
        </is>
      </c>
      <c r="G136" t="inlineStr">
        <is>
          <t>HAGFORS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45218-2021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44439</v>
      </c>
      <c r="E137" s="1" t="n">
        <v>46242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49.5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46242</v>
      </c>
      <c r="F138" t="inlineStr">
        <is>
          <t>VÄRMLANDS LÄN</t>
        </is>
      </c>
      <c r="G138" t="inlineStr">
        <is>
          <t>HAGFORS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17750-2023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45037</v>
      </c>
      <c r="E139" s="1" t="n">
        <v>46242</v>
      </c>
      <c r="F139" t="inlineStr">
        <is>
          <t>VÄRMLANDS LÄN</t>
        </is>
      </c>
      <c r="G139" t="inlineStr">
        <is>
          <t>HAGFORS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46242</v>
      </c>
      <c r="F140" t="inlineStr">
        <is>
          <t>VÄRMLANDS LÄN</t>
        </is>
      </c>
      <c r="G140" t="inlineStr">
        <is>
          <t>HAGFORS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56893-2023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46242</v>
      </c>
      <c r="F141" t="inlineStr">
        <is>
          <t>VÄRMLANDS LÄN</t>
        </is>
      </c>
      <c r="G141" t="inlineStr">
        <is>
          <t>HAGFORS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58210-2022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44901</v>
      </c>
      <c r="E142" s="1" t="n">
        <v>46242</v>
      </c>
      <c r="F142" t="inlineStr">
        <is>
          <t>VÄRMLANDS LÄN</t>
        </is>
      </c>
      <c r="G142" t="inlineStr">
        <is>
          <t>HAGFORS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45232</v>
      </c>
      <c r="E143" s="1" t="n">
        <v>46242</v>
      </c>
      <c r="F143" t="inlineStr">
        <is>
          <t>VÄRMLANDS LÄN</t>
        </is>
      </c>
      <c r="G143" t="inlineStr">
        <is>
          <t>HAGFORS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45414</v>
      </c>
      <c r="E144" s="1" t="n">
        <v>46242</v>
      </c>
      <c r="F144" t="inlineStr">
        <is>
          <t>VÄRMLANDS LÄN</t>
        </is>
      </c>
      <c r="G144" t="inlineStr">
        <is>
          <t>HAGFORS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45419</v>
      </c>
      <c r="E145" s="1" t="n">
        <v>46242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46242</v>
      </c>
      <c r="F146" t="inlineStr">
        <is>
          <t>VÄRMLANDS LÄN</t>
        </is>
      </c>
      <c r="G146" t="inlineStr">
        <is>
          <t>HAGFORS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46242</v>
      </c>
      <c r="F147" t="inlineStr">
        <is>
          <t>VÄRMLANDS LÄN</t>
        </is>
      </c>
      <c r="G147" t="inlineStr">
        <is>
          <t>HAGFORS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45653</v>
      </c>
      <c r="E148" s="1" t="n">
        <v>46242</v>
      </c>
      <c r="F148" t="inlineStr">
        <is>
          <t>VÄRMLANDS LÄN</t>
        </is>
      </c>
      <c r="G148" t="inlineStr">
        <is>
          <t>HAGFORS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35668-2023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45147</v>
      </c>
      <c r="E149" s="1" t="n">
        <v>46242</v>
      </c>
      <c r="F149" t="inlineStr">
        <is>
          <t>VÄRMLANDS LÄN</t>
        </is>
      </c>
      <c r="G149" t="inlineStr">
        <is>
          <t>HAGFORS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60221-2023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45258</v>
      </c>
      <c r="E150" s="1" t="n">
        <v>46242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44834</v>
      </c>
      <c r="E151" s="1" t="n">
        <v>46242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45051</v>
      </c>
      <c r="E152" s="1" t="n">
        <v>46242</v>
      </c>
      <c r="F152" t="inlineStr">
        <is>
          <t>VÄRMLANDS LÄN</t>
        </is>
      </c>
      <c r="G152" t="inlineStr">
        <is>
          <t>HAGFORS</t>
        </is>
      </c>
      <c r="H152" t="inlineStr">
        <is>
          <t>Kommuner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45659</v>
      </c>
      <c r="E153" s="1" t="n">
        <v>46242</v>
      </c>
      <c r="F153" t="inlineStr">
        <is>
          <t>VÄRMLANDS LÄN</t>
        </is>
      </c>
      <c r="G153" t="inlineStr">
        <is>
          <t>HAGFORS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44887</v>
      </c>
      <c r="E154" s="1" t="n">
        <v>46242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45435</v>
      </c>
      <c r="E155" s="1" t="n">
        <v>46242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46242</v>
      </c>
      <c r="F156" t="inlineStr">
        <is>
          <t>VÄRMLANDS LÄN</t>
        </is>
      </c>
      <c r="G156" t="inlineStr">
        <is>
          <t>HAGFORS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45250</v>
      </c>
      <c r="E157" s="1" t="n">
        <v>46242</v>
      </c>
      <c r="F157" t="inlineStr">
        <is>
          <t>VÄRMLANDS LÄN</t>
        </is>
      </c>
      <c r="G157" t="inlineStr">
        <is>
          <t>HAGFORS</t>
        </is>
      </c>
      <c r="H157" t="inlineStr">
        <is>
          <t>Kommuner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44649</v>
      </c>
      <c r="E158" s="1" t="n">
        <v>46242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46242</v>
      </c>
      <c r="F159" t="inlineStr">
        <is>
          <t>VÄRMLANDS LÄN</t>
        </is>
      </c>
      <c r="G159" t="inlineStr">
        <is>
          <t>HAGFORS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60582-2024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45644</v>
      </c>
      <c r="E160" s="1" t="n">
        <v>46242</v>
      </c>
      <c r="F160" t="inlineStr">
        <is>
          <t>VÄRMLANDS LÄN</t>
        </is>
      </c>
      <c r="G160" t="inlineStr">
        <is>
          <t>HAGFORS</t>
        </is>
      </c>
      <c r="H160" t="inlineStr">
        <is>
          <t>Kyrkan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44770</v>
      </c>
      <c r="E161" s="1" t="n">
        <v>46242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46242</v>
      </c>
      <c r="F162" t="inlineStr">
        <is>
          <t>VÄRMLANDS LÄN</t>
        </is>
      </c>
      <c r="G162" t="inlineStr">
        <is>
          <t>HAGFORS</t>
        </is>
      </c>
      <c r="H162" t="inlineStr">
        <is>
          <t>Kommuner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44938</v>
      </c>
      <c r="E163" s="1" t="n">
        <v>46242</v>
      </c>
      <c r="F163" t="inlineStr">
        <is>
          <t>VÄRMLANDS LÄN</t>
        </is>
      </c>
      <c r="G163" t="inlineStr">
        <is>
          <t>HAGFORS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46242</v>
      </c>
      <c r="F164" t="inlineStr">
        <is>
          <t>VÄRMLANDS LÄN</t>
        </is>
      </c>
      <c r="G164" t="inlineStr">
        <is>
          <t>HAGFORS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38555-2023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46242</v>
      </c>
      <c r="F165" t="inlineStr">
        <is>
          <t>VÄRMLANDS LÄN</t>
        </is>
      </c>
      <c r="G165" t="inlineStr">
        <is>
          <t>HAGFORS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46242</v>
      </c>
      <c r="F166" t="inlineStr">
        <is>
          <t>VÄRMLANDS LÄN</t>
        </is>
      </c>
      <c r="G166" t="inlineStr">
        <is>
          <t>HAGFORS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20113-2023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45055</v>
      </c>
      <c r="E167" s="1" t="n">
        <v>46242</v>
      </c>
      <c r="F167" t="inlineStr">
        <is>
          <t>VÄRMLANDS LÄN</t>
        </is>
      </c>
      <c r="G167" t="inlineStr">
        <is>
          <t>HAGFORS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46242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46242</v>
      </c>
      <c r="F169" t="inlineStr">
        <is>
          <t>VÄRMLANDS LÄN</t>
        </is>
      </c>
      <c r="G169" t="inlineStr">
        <is>
          <t>HAGFORS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46242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46242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20.2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61140-2023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45261</v>
      </c>
      <c r="E172" s="1" t="n">
        <v>46242</v>
      </c>
      <c r="F172" t="inlineStr">
        <is>
          <t>VÄRMLANDS LÄN</t>
        </is>
      </c>
      <c r="G172" t="inlineStr">
        <is>
          <t>HAGFORS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46242</v>
      </c>
      <c r="F173" t="inlineStr">
        <is>
          <t>VÄRMLANDS LÄN</t>
        </is>
      </c>
      <c r="G173" t="inlineStr">
        <is>
          <t>HAGFORS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24947-2024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45461</v>
      </c>
      <c r="E174" s="1" t="n">
        <v>46242</v>
      </c>
      <c r="F174" t="inlineStr">
        <is>
          <t>VÄRMLANDS LÄN</t>
        </is>
      </c>
      <c r="G174" t="inlineStr">
        <is>
          <t>HAGFORS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45385</v>
      </c>
      <c r="E175" s="1" t="n">
        <v>46242</v>
      </c>
      <c r="F175" t="inlineStr">
        <is>
          <t>VÄRMLANDS LÄN</t>
        </is>
      </c>
      <c r="G175" t="inlineStr">
        <is>
          <t>HAGFORS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975-2026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46030</v>
      </c>
      <c r="E176" s="1" t="n">
        <v>46242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46242</v>
      </c>
      <c r="F177" t="inlineStr">
        <is>
          <t>VÄRMLANDS LÄN</t>
        </is>
      </c>
      <c r="G177" t="inlineStr">
        <is>
          <t>HAGFORS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46242</v>
      </c>
      <c r="F178" t="inlineStr">
        <is>
          <t>VÄRMLANDS LÄN</t>
        </is>
      </c>
      <c r="G178" t="inlineStr">
        <is>
          <t>HAGFORS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62497-2022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44924</v>
      </c>
      <c r="E179" s="1" t="n">
        <v>46242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46242</v>
      </c>
      <c r="F180" t="inlineStr">
        <is>
          <t>VÄRMLANDS LÄN</t>
        </is>
      </c>
      <c r="G180" t="inlineStr">
        <is>
          <t>HAGFORS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21867-2024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45443</v>
      </c>
      <c r="E181" s="1" t="n">
        <v>46242</v>
      </c>
      <c r="F181" t="inlineStr">
        <is>
          <t>VÄRMLANDS LÄN</t>
        </is>
      </c>
      <c r="G181" t="inlineStr">
        <is>
          <t>HAGFORS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46242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16.8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45475</v>
      </c>
      <c r="E183" s="1" t="n">
        <v>46242</v>
      </c>
      <c r="F183" t="inlineStr">
        <is>
          <t>VÄRMLANDS LÄN</t>
        </is>
      </c>
      <c r="G183" t="inlineStr">
        <is>
          <t>HAGFORS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26463-2025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45807</v>
      </c>
      <c r="E184" s="1" t="n">
        <v>46242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46242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38474-2024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45546</v>
      </c>
      <c r="E186" s="1" t="n">
        <v>46242</v>
      </c>
      <c r="F186" t="inlineStr">
        <is>
          <t>VÄRMLANDS LÄN</t>
        </is>
      </c>
      <c r="G186" t="inlineStr">
        <is>
          <t>HAGFORS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46242</v>
      </c>
      <c r="F187" t="inlineStr">
        <is>
          <t>VÄRMLANDS LÄN</t>
        </is>
      </c>
      <c r="G187" t="inlineStr">
        <is>
          <t>HAGFORS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45608</v>
      </c>
      <c r="E188" s="1" t="n">
        <v>46242</v>
      </c>
      <c r="F188" t="inlineStr">
        <is>
          <t>VÄRMLANDS LÄN</t>
        </is>
      </c>
      <c r="G188" t="inlineStr">
        <is>
          <t>HAGFORS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26617-2025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45810</v>
      </c>
      <c r="E189" s="1" t="n">
        <v>46242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46242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46242</v>
      </c>
      <c r="F191" t="inlineStr">
        <is>
          <t>VÄRMLANDS LÄN</t>
        </is>
      </c>
      <c r="G191" t="inlineStr">
        <is>
          <t>HAGFORS</t>
        </is>
      </c>
      <c r="H191" t="inlineStr">
        <is>
          <t>Kyrkan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46242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46242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46242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46242</v>
      </c>
      <c r="F195" t="inlineStr">
        <is>
          <t>VÄRMLANDS LÄN</t>
        </is>
      </c>
      <c r="G195" t="inlineStr">
        <is>
          <t>HAGFORS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46242</v>
      </c>
      <c r="F196" t="inlineStr">
        <is>
          <t>VÄRMLANDS LÄN</t>
        </is>
      </c>
      <c r="G196" t="inlineStr">
        <is>
          <t>HAGFORS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44566</v>
      </c>
      <c r="E197" s="1" t="n">
        <v>46242</v>
      </c>
      <c r="F197" t="inlineStr">
        <is>
          <t>VÄRMLANDS LÄN</t>
        </is>
      </c>
      <c r="G197" t="inlineStr">
        <is>
          <t>HAGFORS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46242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57379-2022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44896</v>
      </c>
      <c r="E199" s="1" t="n">
        <v>46242</v>
      </c>
      <c r="F199" t="inlineStr">
        <is>
          <t>VÄRMLANDS LÄN</t>
        </is>
      </c>
      <c r="G199" t="inlineStr">
        <is>
          <t>HAGFORS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46242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44906-2024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46242</v>
      </c>
      <c r="F201" t="inlineStr">
        <is>
          <t>VÄRMLANDS LÄN</t>
        </is>
      </c>
      <c r="G201" t="inlineStr">
        <is>
          <t>HAGFORS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58437-2023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46242</v>
      </c>
      <c r="F202" t="inlineStr">
        <is>
          <t>VÄRMLANDS LÄN</t>
        </is>
      </c>
      <c r="G202" t="inlineStr">
        <is>
          <t>HAGFORS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40843-2021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44421</v>
      </c>
      <c r="E203" s="1" t="n">
        <v>46242</v>
      </c>
      <c r="F203" t="inlineStr">
        <is>
          <t>VÄRMLANDS LÄN</t>
        </is>
      </c>
      <c r="G203" t="inlineStr">
        <is>
          <t>HAGFORS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46242</v>
      </c>
      <c r="F204" t="inlineStr">
        <is>
          <t>VÄRMLANDS LÄN</t>
        </is>
      </c>
      <c r="G204" t="inlineStr">
        <is>
          <t>HAGFORS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46242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4618-2026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46242</v>
      </c>
      <c r="F206" t="inlineStr">
        <is>
          <t>VÄRMLANDS LÄN</t>
        </is>
      </c>
      <c r="G206" t="inlineStr">
        <is>
          <t>HAGFORS</t>
        </is>
      </c>
      <c r="I206" t="n">
        <v>13.1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52224-2023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45224</v>
      </c>
      <c r="E207" s="1" t="n">
        <v>46242</v>
      </c>
      <c r="F207" t="inlineStr">
        <is>
          <t>VÄRMLANDS LÄN</t>
        </is>
      </c>
      <c r="G207" t="inlineStr">
        <is>
          <t>HAGFORS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46242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46049</v>
      </c>
      <c r="E209" s="1" t="n">
        <v>46242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46242</v>
      </c>
      <c r="F210" t="inlineStr">
        <is>
          <t>VÄRMLANDS LÄN</t>
        </is>
      </c>
      <c r="G210" t="inlineStr">
        <is>
          <t>HAGFORS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46242</v>
      </c>
      <c r="F211" t="inlineStr">
        <is>
          <t>VÄRMLANDS LÄN</t>
        </is>
      </c>
      <c r="G211" t="inlineStr">
        <is>
          <t>HAGFORS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45147</v>
      </c>
      <c r="E212" s="1" t="n">
        <v>46242</v>
      </c>
      <c r="F212" t="inlineStr">
        <is>
          <t>VÄRMLANDS LÄN</t>
        </is>
      </c>
      <c r="G212" t="inlineStr">
        <is>
          <t>HAGFORS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46050</v>
      </c>
      <c r="E213" s="1" t="n">
        <v>46242</v>
      </c>
      <c r="F213" t="inlineStr">
        <is>
          <t>VÄRMLANDS LÄN</t>
        </is>
      </c>
      <c r="G213" t="inlineStr">
        <is>
          <t>HAGFORS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46242</v>
      </c>
      <c r="F214" t="inlineStr">
        <is>
          <t>VÄRMLANDS LÄN</t>
        </is>
      </c>
      <c r="G214" t="inlineStr">
        <is>
          <t>HAGFORS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46242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46242</v>
      </c>
      <c r="F216" t="inlineStr">
        <is>
          <t>VÄRMLANDS LÄN</t>
        </is>
      </c>
      <c r="G216" t="inlineStr">
        <is>
          <t>HAGFORS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46242</v>
      </c>
      <c r="F217" t="inlineStr">
        <is>
          <t>VÄRMLANDS LÄN</t>
        </is>
      </c>
      <c r="G217" t="inlineStr">
        <is>
          <t>HAGFORS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44817</v>
      </c>
      <c r="E218" s="1" t="n">
        <v>46242</v>
      </c>
      <c r="F218" t="inlineStr">
        <is>
          <t>VÄRMLANDS LÄN</t>
        </is>
      </c>
      <c r="G218" t="inlineStr">
        <is>
          <t>HAGFORS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46050</v>
      </c>
      <c r="E219" s="1" t="n">
        <v>46242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46242</v>
      </c>
      <c r="F220" t="inlineStr">
        <is>
          <t>VÄRMLANDS LÄN</t>
        </is>
      </c>
      <c r="G220" t="inlineStr">
        <is>
          <t>HAGFORS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46242</v>
      </c>
      <c r="F221" t="inlineStr">
        <is>
          <t>VÄRMLANDS LÄN</t>
        </is>
      </c>
      <c r="G221" t="inlineStr">
        <is>
          <t>HAGFORS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46242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41739-2025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45902</v>
      </c>
      <c r="E223" s="1" t="n">
        <v>46242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45902</v>
      </c>
      <c r="E224" s="1" t="n">
        <v>46242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46242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46242</v>
      </c>
      <c r="F226" t="inlineStr">
        <is>
          <t>VÄRMLANDS LÄN</t>
        </is>
      </c>
      <c r="G226" t="inlineStr">
        <is>
          <t>HAGFORS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46242</v>
      </c>
      <c r="F227" t="inlineStr">
        <is>
          <t>VÄRMLANDS LÄN</t>
        </is>
      </c>
      <c r="G227" t="inlineStr">
        <is>
          <t>HAGFORS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46242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45812</v>
      </c>
      <c r="E229" s="1" t="n">
        <v>46242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46242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46242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45433</v>
      </c>
      <c r="E232" s="1" t="n">
        <v>46242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46242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46242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46242</v>
      </c>
      <c r="F235" t="inlineStr">
        <is>
          <t>VÄRMLANDS LÄN</t>
        </is>
      </c>
      <c r="G235" t="inlineStr">
        <is>
          <t>HAGFORS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46242</v>
      </c>
      <c r="F236" t="inlineStr">
        <is>
          <t>VÄRMLANDS LÄN</t>
        </is>
      </c>
      <c r="G236" t="inlineStr">
        <is>
          <t>HAGFORS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45824</v>
      </c>
      <c r="E237" s="1" t="n">
        <v>46242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26777-2023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46242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45673</v>
      </c>
      <c r="E239" s="1" t="n">
        <v>46242</v>
      </c>
      <c r="F239" t="inlineStr">
        <is>
          <t>VÄRMLANDS LÄN</t>
        </is>
      </c>
      <c r="G239" t="inlineStr">
        <is>
          <t>HAGFORS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27319-2025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46242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46242</v>
      </c>
      <c r="F241" t="inlineStr">
        <is>
          <t>VÄRMLANDS LÄN</t>
        </is>
      </c>
      <c r="G241" t="inlineStr">
        <is>
          <t>HAGFORS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46242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46242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46242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33969-2022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44790</v>
      </c>
      <c r="E245" s="1" t="n">
        <v>46242</v>
      </c>
      <c r="F245" t="inlineStr">
        <is>
          <t>VÄRMLANDS LÄN</t>
        </is>
      </c>
      <c r="G245" t="inlineStr">
        <is>
          <t>HAGFORS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46242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7.6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31660-2022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44776</v>
      </c>
      <c r="E247" s="1" t="n">
        <v>46242</v>
      </c>
      <c r="F247" t="inlineStr">
        <is>
          <t>VÄRMLANDS LÄN</t>
        </is>
      </c>
      <c r="G247" t="inlineStr">
        <is>
          <t>HAGFORS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45790</v>
      </c>
      <c r="E248" s="1" t="n">
        <v>46242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45106</v>
      </c>
      <c r="E249" s="1" t="n">
        <v>46242</v>
      </c>
      <c r="F249" t="inlineStr">
        <is>
          <t>VÄRMLANDS LÄN</t>
        </is>
      </c>
      <c r="G249" t="inlineStr">
        <is>
          <t>HAGFORS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59092-2022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44904</v>
      </c>
      <c r="E250" s="1" t="n">
        <v>46242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8555-2026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46065</v>
      </c>
      <c r="E251" s="1" t="n">
        <v>46242</v>
      </c>
      <c r="F251" t="inlineStr">
        <is>
          <t>VÄRMLANDS LÄN</t>
        </is>
      </c>
      <c r="G251" t="inlineStr">
        <is>
          <t>HAGFORS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45918</v>
      </c>
      <c r="E252" s="1" t="n">
        <v>46242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45211</v>
      </c>
      <c r="E253" s="1" t="n">
        <v>46242</v>
      </c>
      <c r="F253" t="inlineStr">
        <is>
          <t>VÄRMLANDS LÄN</t>
        </is>
      </c>
      <c r="G253" t="inlineStr">
        <is>
          <t>HAGFORS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46242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64155-2023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45279</v>
      </c>
      <c r="E255" s="1" t="n">
        <v>46242</v>
      </c>
      <c r="F255" t="inlineStr">
        <is>
          <t>VÄRMLANDS LÄN</t>
        </is>
      </c>
      <c r="G255" t="inlineStr">
        <is>
          <t>HAGFORS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46242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46242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46242</v>
      </c>
      <c r="F258" t="inlineStr">
        <is>
          <t>VÄRMLANDS LÄN</t>
        </is>
      </c>
      <c r="G258" t="inlineStr">
        <is>
          <t>HAGFORS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46242</v>
      </c>
      <c r="F259" t="inlineStr">
        <is>
          <t>VÄRMLANDS LÄN</t>
        </is>
      </c>
      <c r="G259" t="inlineStr">
        <is>
          <t>HAGFORS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46072</v>
      </c>
      <c r="E260" s="1" t="n">
        <v>46242</v>
      </c>
      <c r="F260" t="inlineStr">
        <is>
          <t>VÄRMLANDS LÄN</t>
        </is>
      </c>
      <c r="G260" t="inlineStr">
        <is>
          <t>HAGFORS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46242</v>
      </c>
      <c r="F261" t="inlineStr">
        <is>
          <t>VÄRMLANDS LÄN</t>
        </is>
      </c>
      <c r="G261" t="inlineStr">
        <is>
          <t>HAGFORS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46242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46242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46242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8.199999999999999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46242</v>
      </c>
      <c r="F265" t="inlineStr">
        <is>
          <t>VÄRMLANDS LÄN</t>
        </is>
      </c>
      <c r="G265" t="inlineStr">
        <is>
          <t>HAGFORS</t>
        </is>
      </c>
      <c r="H265" t="inlineStr">
        <is>
          <t>Kyrkan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46242</v>
      </c>
      <c r="F266" t="inlineStr">
        <is>
          <t>VÄRMLANDS LÄN</t>
        </is>
      </c>
      <c r="G266" t="inlineStr">
        <is>
          <t>HAGFORS</t>
        </is>
      </c>
      <c r="H266" t="inlineStr">
        <is>
          <t>Kyrkan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46076</v>
      </c>
      <c r="E267" s="1" t="n">
        <v>46242</v>
      </c>
      <c r="F267" t="inlineStr">
        <is>
          <t>VÄRMLANDS LÄN</t>
        </is>
      </c>
      <c r="G267" t="inlineStr">
        <is>
          <t>HAGFORS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45928</v>
      </c>
      <c r="E268" s="1" t="n">
        <v>46242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45927</v>
      </c>
      <c r="E269" s="1" t="n">
        <v>46242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11104-2022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44628</v>
      </c>
      <c r="E270" s="1" t="n">
        <v>46242</v>
      </c>
      <c r="F270" t="inlineStr">
        <is>
          <t>VÄRMLANDS LÄN</t>
        </is>
      </c>
      <c r="G270" t="inlineStr">
        <is>
          <t>HAGFORS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46832-2025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45927</v>
      </c>
      <c r="E271" s="1" t="n">
        <v>46242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45107</v>
      </c>
      <c r="E272" s="1" t="n">
        <v>46242</v>
      </c>
      <c r="F272" t="inlineStr">
        <is>
          <t>VÄRMLANDS LÄN</t>
        </is>
      </c>
      <c r="G272" t="inlineStr">
        <is>
          <t>HAGFORS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16824-2023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45033</v>
      </c>
      <c r="E273" s="1" t="n">
        <v>46242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46242</v>
      </c>
      <c r="F274" t="inlineStr">
        <is>
          <t>VÄRMLANDS LÄN</t>
        </is>
      </c>
      <c r="G274" t="inlineStr">
        <is>
          <t>HAGFORS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45201</v>
      </c>
      <c r="E275" s="1" t="n">
        <v>46242</v>
      </c>
      <c r="F275" t="inlineStr">
        <is>
          <t>VÄRMLANDS LÄN</t>
        </is>
      </c>
      <c r="G275" t="inlineStr">
        <is>
          <t>HAGFORS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45930</v>
      </c>
      <c r="E276" s="1" t="n">
        <v>46242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22.1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46242</v>
      </c>
      <c r="F277" t="inlineStr">
        <is>
          <t>VÄRMLANDS LÄN</t>
        </is>
      </c>
      <c r="G277" t="inlineStr">
        <is>
          <t>HAGFORS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46242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46242</v>
      </c>
      <c r="F279" t="inlineStr">
        <is>
          <t>VÄRMLANDS LÄN</t>
        </is>
      </c>
      <c r="G279" t="inlineStr">
        <is>
          <t>HAGFORS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29149-2025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45821</v>
      </c>
      <c r="E280" s="1" t="n">
        <v>46242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29115-2025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45821</v>
      </c>
      <c r="E281" s="1" t="n">
        <v>46242</v>
      </c>
      <c r="F281" t="inlineStr">
        <is>
          <t>VÄRMLANDS LÄN</t>
        </is>
      </c>
      <c r="G281" t="inlineStr">
        <is>
          <t>HAGFORS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45310</v>
      </c>
      <c r="E282" s="1" t="n">
        <v>46242</v>
      </c>
      <c r="F282" t="inlineStr">
        <is>
          <t>VÄRMLANDS LÄN</t>
        </is>
      </c>
      <c r="G282" t="inlineStr">
        <is>
          <t>HAGFORS</t>
        </is>
      </c>
      <c r="H282" t="inlineStr">
        <is>
          <t>Kyrkan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48042-2025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45932</v>
      </c>
      <c r="E283" s="1" t="n">
        <v>46242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46242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46242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9.699999999999999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46242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46090</v>
      </c>
      <c r="E287" s="1" t="n">
        <v>46242</v>
      </c>
      <c r="F287" t="inlineStr">
        <is>
          <t>VÄRMLANDS LÄN</t>
        </is>
      </c>
      <c r="G287" t="inlineStr">
        <is>
          <t>HAGFORS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46242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46242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12295-2026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46087</v>
      </c>
      <c r="E290" s="1" t="n">
        <v>46242</v>
      </c>
      <c r="F290" t="inlineStr">
        <is>
          <t>VÄRMLANDS LÄN</t>
        </is>
      </c>
      <c r="G290" t="inlineStr">
        <is>
          <t>HAGFORS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49146-2025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46242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48809-2025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46242</v>
      </c>
      <c r="F292" t="inlineStr">
        <is>
          <t>VÄRMLANDS LÄN</t>
        </is>
      </c>
      <c r="G292" t="inlineStr">
        <is>
          <t>HAGFORS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46091</v>
      </c>
      <c r="E293" s="1" t="n">
        <v>46242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46242</v>
      </c>
      <c r="F294" t="inlineStr">
        <is>
          <t>VÄRMLANDS LÄN</t>
        </is>
      </c>
      <c r="G294" t="inlineStr">
        <is>
          <t>HAGFORS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28654-2023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46242</v>
      </c>
      <c r="F295" t="inlineStr">
        <is>
          <t>VÄRMLANDS LÄN</t>
        </is>
      </c>
      <c r="G295" t="inlineStr">
        <is>
          <t>HAGFORS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46242</v>
      </c>
      <c r="F296" t="inlineStr">
        <is>
          <t>VÄRMLANDS LÄN</t>
        </is>
      </c>
      <c r="G296" t="inlineStr">
        <is>
          <t>HAGFORS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13338-2026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46242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56466-2024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45625</v>
      </c>
      <c r="E298" s="1" t="n">
        <v>46242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46242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13419-2026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46242</v>
      </c>
      <c r="F300" t="inlineStr">
        <is>
          <t>VÄRMLANDS LÄN</t>
        </is>
      </c>
      <c r="G300" t="inlineStr">
        <is>
          <t>HAGFORS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49967-2025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45941</v>
      </c>
      <c r="E301" s="1" t="n">
        <v>46242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13411-2026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46242</v>
      </c>
      <c r="F302" t="inlineStr">
        <is>
          <t>VÄRMLANDS LÄN</t>
        </is>
      </c>
      <c r="G302" t="inlineStr">
        <is>
          <t>HAGFORS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46242</v>
      </c>
      <c r="F303" t="inlineStr">
        <is>
          <t>VÄRMLANDS LÄN</t>
        </is>
      </c>
      <c r="G303" t="inlineStr">
        <is>
          <t>HAGFORS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45716</v>
      </c>
      <c r="E304" s="1" t="n">
        <v>46242</v>
      </c>
      <c r="F304" t="inlineStr">
        <is>
          <t>VÄRMLANDS LÄN</t>
        </is>
      </c>
      <c r="G304" t="inlineStr">
        <is>
          <t>HAGFORS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46242</v>
      </c>
      <c r="F305" t="inlineStr">
        <is>
          <t>VÄRMLANDS LÄN</t>
        </is>
      </c>
      <c r="G305" t="inlineStr">
        <is>
          <t>HAGFORS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46242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30180-2022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44757</v>
      </c>
      <c r="E307" s="1" t="n">
        <v>46242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45264</v>
      </c>
      <c r="E308" s="1" t="n">
        <v>46242</v>
      </c>
      <c r="F308" t="inlineStr">
        <is>
          <t>VÄRMLANDS LÄN</t>
        </is>
      </c>
      <c r="G308" t="inlineStr">
        <is>
          <t>HAGFORS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46098</v>
      </c>
      <c r="E309" s="1" t="n">
        <v>46242</v>
      </c>
      <c r="F309" t="inlineStr">
        <is>
          <t>VÄRMLANDS LÄN</t>
        </is>
      </c>
      <c r="G309" t="inlineStr">
        <is>
          <t>HAGFORS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45323</v>
      </c>
      <c r="E310" s="1" t="n">
        <v>46242</v>
      </c>
      <c r="F310" t="inlineStr">
        <is>
          <t>VÄRMLANDS LÄN</t>
        </is>
      </c>
      <c r="G310" t="inlineStr">
        <is>
          <t>HAGFORS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46242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45947</v>
      </c>
      <c r="E312" s="1" t="n">
        <v>46242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46242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15.9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46242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9.300000000000001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46242</v>
      </c>
      <c r="F315" t="inlineStr">
        <is>
          <t>VÄRMLANDS LÄN</t>
        </is>
      </c>
      <c r="G315" t="inlineStr">
        <is>
          <t>HAGFORS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46242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46242</v>
      </c>
      <c r="F317" t="inlineStr">
        <is>
          <t>VÄRMLANDS LÄN</t>
        </is>
      </c>
      <c r="G317" t="inlineStr">
        <is>
          <t>HAGFORS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46242</v>
      </c>
      <c r="F318" t="inlineStr">
        <is>
          <t>VÄRMLANDS LÄN</t>
        </is>
      </c>
      <c r="G318" t="inlineStr">
        <is>
          <t>HAGFORS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45951</v>
      </c>
      <c r="E319" s="1" t="n">
        <v>46242</v>
      </c>
      <c r="F319" t="inlineStr">
        <is>
          <t>VÄRMLANDS LÄN</t>
        </is>
      </c>
      <c r="G319" t="inlineStr">
        <is>
          <t>HAGFORS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46242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51273-2025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45949</v>
      </c>
      <c r="E321" s="1" t="n">
        <v>46242</v>
      </c>
      <c r="F321" t="inlineStr">
        <is>
          <t>VÄRMLANDS LÄN</t>
        </is>
      </c>
      <c r="G321" t="inlineStr">
        <is>
          <t>HAGFORS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14288-2026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46242</v>
      </c>
      <c r="F322" t="inlineStr">
        <is>
          <t>VÄRMLANDS LÄN</t>
        </is>
      </c>
      <c r="G322" t="inlineStr">
        <is>
          <t>HAGFORS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44687</v>
      </c>
      <c r="E323" s="1" t="n">
        <v>46242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20.2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14832-2026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46242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17.2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14667-2026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46101</v>
      </c>
      <c r="E325" s="1" t="n">
        <v>46242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45148</v>
      </c>
      <c r="E326" s="1" t="n">
        <v>46242</v>
      </c>
      <c r="F326" t="inlineStr">
        <is>
          <t>VÄRMLANDS LÄN</t>
        </is>
      </c>
      <c r="G326" t="inlineStr">
        <is>
          <t>HAGFORS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46242</v>
      </c>
      <c r="F327" t="inlineStr">
        <is>
          <t>VÄRMLANDS LÄN</t>
        </is>
      </c>
      <c r="G327" t="inlineStr">
        <is>
          <t>HAGFORS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46242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46242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46106</v>
      </c>
      <c r="E330" s="1" t="n">
        <v>46242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45390</v>
      </c>
      <c r="E331" s="1" t="n">
        <v>46242</v>
      </c>
      <c r="F331" t="inlineStr">
        <is>
          <t>VÄRMLANDS LÄN</t>
        </is>
      </c>
      <c r="G331" t="inlineStr">
        <is>
          <t>HAGFORS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46242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15491-2026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46242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46242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46242</v>
      </c>
      <c r="F335" t="inlineStr">
        <is>
          <t>VÄRMLANDS LÄN</t>
        </is>
      </c>
      <c r="G335" t="inlineStr">
        <is>
          <t>HAGFORS</t>
        </is>
      </c>
      <c r="H335" t="inlineStr">
        <is>
          <t>Kyrkan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45149</v>
      </c>
      <c r="E336" s="1" t="n">
        <v>46242</v>
      </c>
      <c r="F336" t="inlineStr">
        <is>
          <t>VÄRMLANDS LÄN</t>
        </is>
      </c>
      <c r="G336" t="inlineStr">
        <is>
          <t>HAGFORS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46242</v>
      </c>
      <c r="F337" t="inlineStr">
        <is>
          <t>VÄRMLANDS LÄN</t>
        </is>
      </c>
      <c r="G337" t="inlineStr">
        <is>
          <t>HAGFORS</t>
        </is>
      </c>
      <c r="I337" t="n">
        <v>13.5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46242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46242</v>
      </c>
      <c r="F339" t="inlineStr">
        <is>
          <t>VÄRMLANDS LÄN</t>
        </is>
      </c>
      <c r="G339" t="inlineStr">
        <is>
          <t>HAGFORS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38132-2022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44812</v>
      </c>
      <c r="E340" s="1" t="n">
        <v>46242</v>
      </c>
      <c r="F340" t="inlineStr">
        <is>
          <t>VÄRMLANDS LÄN</t>
        </is>
      </c>
      <c r="G340" t="inlineStr">
        <is>
          <t>HAGFORS</t>
        </is>
      </c>
      <c r="H340" t="inlineStr">
        <is>
          <t>Kyrkan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52479-2025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45954</v>
      </c>
      <c r="E341" s="1" t="n">
        <v>46242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46242</v>
      </c>
      <c r="F342" t="inlineStr">
        <is>
          <t>VÄRMLANDS LÄN</t>
        </is>
      </c>
      <c r="G342" t="inlineStr">
        <is>
          <t>HAGFORS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46108</v>
      </c>
      <c r="E343" s="1" t="n">
        <v>46242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46242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9.800000000000001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46242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39396-2023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45166</v>
      </c>
      <c r="E346" s="1" t="n">
        <v>46242</v>
      </c>
      <c r="F346" t="inlineStr">
        <is>
          <t>VÄRMLANDS LÄN</t>
        </is>
      </c>
      <c r="G346" t="inlineStr">
        <is>
          <t>HAGFORS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45510</v>
      </c>
      <c r="E347" s="1" t="n">
        <v>46242</v>
      </c>
      <c r="F347" t="inlineStr">
        <is>
          <t>VÄRMLANDS LÄN</t>
        </is>
      </c>
      <c r="G347" t="inlineStr">
        <is>
          <t>HAGFORS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46242</v>
      </c>
      <c r="F348" t="inlineStr">
        <is>
          <t>VÄRMLANDS LÄN</t>
        </is>
      </c>
      <c r="G348" t="inlineStr">
        <is>
          <t>HAGFORS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46242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45961</v>
      </c>
      <c r="E350" s="1" t="n">
        <v>46242</v>
      </c>
      <c r="F350" t="inlineStr">
        <is>
          <t>VÄRMLANDS LÄN</t>
        </is>
      </c>
      <c r="G350" t="inlineStr">
        <is>
          <t>HAGFORS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53620-2025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46242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15538-2024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45401</v>
      </c>
      <c r="E352" s="1" t="n">
        <v>46242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46242</v>
      </c>
      <c r="F353" t="inlineStr">
        <is>
          <t>VÄRMLANDS LÄN</t>
        </is>
      </c>
      <c r="G353" t="inlineStr">
        <is>
          <t>HAGFORS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45425</v>
      </c>
      <c r="E354" s="1" t="n">
        <v>46242</v>
      </c>
      <c r="F354" t="inlineStr">
        <is>
          <t>VÄRMLANDS LÄN</t>
        </is>
      </c>
      <c r="G354" t="inlineStr">
        <is>
          <t>HAGFORS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53574-2025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46242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46242</v>
      </c>
      <c r="F356" t="inlineStr">
        <is>
          <t>VÄRMLANDS LÄN</t>
        </is>
      </c>
      <c r="G356" t="inlineStr">
        <is>
          <t>HAGFORS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60974-2024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46242</v>
      </c>
      <c r="F357" t="inlineStr">
        <is>
          <t>VÄRMLANDS LÄN</t>
        </is>
      </c>
      <c r="G357" t="inlineStr">
        <is>
          <t>HAGFORS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62546-2022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44924</v>
      </c>
      <c r="E358" s="1" t="n">
        <v>46242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45699</v>
      </c>
      <c r="E359" s="1" t="n">
        <v>46242</v>
      </c>
      <c r="F359" t="inlineStr">
        <is>
          <t>VÄRMLANDS LÄN</t>
        </is>
      </c>
      <c r="G359" t="inlineStr">
        <is>
          <t>HAGFORS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44951</v>
      </c>
      <c r="E360" s="1" t="n">
        <v>46242</v>
      </c>
      <c r="F360" t="inlineStr">
        <is>
          <t>VÄRMLANDS LÄN</t>
        </is>
      </c>
      <c r="G360" t="inlineStr">
        <is>
          <t>HAGFORS</t>
        </is>
      </c>
      <c r="H360" t="inlineStr">
        <is>
          <t>Kyrkan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46122</v>
      </c>
      <c r="E361" s="1" t="n">
        <v>46242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45772</v>
      </c>
      <c r="E362" s="1" t="n">
        <v>46242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45966</v>
      </c>
      <c r="E363" s="1" t="n">
        <v>46242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54684-2025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46242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17843-2026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46122</v>
      </c>
      <c r="E365" s="1" t="n">
        <v>46242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45967</v>
      </c>
      <c r="E366" s="1" t="n">
        <v>46242</v>
      </c>
      <c r="F366" t="inlineStr">
        <is>
          <t>VÄRMLANDS LÄN</t>
        </is>
      </c>
      <c r="G366" t="inlineStr">
        <is>
          <t>HAGFORS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46242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46242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55480-2025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46242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55190-2025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45968</v>
      </c>
      <c r="E370" s="1" t="n">
        <v>46242</v>
      </c>
      <c r="F370" t="inlineStr">
        <is>
          <t>VÄRMLANDS LÄN</t>
        </is>
      </c>
      <c r="G370" t="inlineStr">
        <is>
          <t>HAGFORS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18217-2026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46242</v>
      </c>
      <c r="F371" t="inlineStr">
        <is>
          <t>VÄRMLANDS LÄN</t>
        </is>
      </c>
      <c r="G371" t="inlineStr">
        <is>
          <t>HAGFORS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46242</v>
      </c>
      <c r="F372" t="inlineStr">
        <is>
          <t>VÄRMLANDS LÄN</t>
        </is>
      </c>
      <c r="G372" t="inlineStr">
        <is>
          <t>HAGFORS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61818-2023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45266</v>
      </c>
      <c r="E373" s="1" t="n">
        <v>46242</v>
      </c>
      <c r="F373" t="inlineStr">
        <is>
          <t>VÄRMLANDS LÄN</t>
        </is>
      </c>
      <c r="G373" t="inlineStr">
        <is>
          <t>HAGFORS</t>
        </is>
      </c>
      <c r="I373" t="n">
        <v>8.6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18895-2026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46129</v>
      </c>
      <c r="E374" s="1" t="n">
        <v>46242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45684</v>
      </c>
      <c r="E375" s="1" t="n">
        <v>46242</v>
      </c>
      <c r="F375" t="inlineStr">
        <is>
          <t>VÄRMLANDS LÄN</t>
        </is>
      </c>
      <c r="G375" t="inlineStr">
        <is>
          <t>HAGFORS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12434-2022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44638</v>
      </c>
      <c r="E376" s="1" t="n">
        <v>46242</v>
      </c>
      <c r="F376" t="inlineStr">
        <is>
          <t>VÄRMLANDS LÄN</t>
        </is>
      </c>
      <c r="G376" t="inlineStr">
        <is>
          <t>HAGFORS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46127</v>
      </c>
      <c r="E377" s="1" t="n">
        <v>46242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14.1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18901-2026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46129</v>
      </c>
      <c r="E378" s="1" t="n">
        <v>46242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46242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56411-2025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46242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40692-2022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44824</v>
      </c>
      <c r="E381" s="1" t="n">
        <v>46242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18797-2026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46128</v>
      </c>
      <c r="E382" s="1" t="n">
        <v>46242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45975</v>
      </c>
      <c r="E383" s="1" t="n">
        <v>46242</v>
      </c>
      <c r="F383" t="inlineStr">
        <is>
          <t>VÄRMLANDS LÄN</t>
        </is>
      </c>
      <c r="G383" t="inlineStr">
        <is>
          <t>HAGFORS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46242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46242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46242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46133</v>
      </c>
      <c r="E387" s="1" t="n">
        <v>46242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46133</v>
      </c>
      <c r="E388" s="1" t="n">
        <v>46242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57198-2025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46242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46242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47021-2023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45201</v>
      </c>
      <c r="E391" s="1" t="n">
        <v>46242</v>
      </c>
      <c r="F391" t="inlineStr">
        <is>
          <t>VÄRMLANDS LÄN</t>
        </is>
      </c>
      <c r="G391" t="inlineStr">
        <is>
          <t>HAGFORS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19421-2026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46133</v>
      </c>
      <c r="E392" s="1" t="n">
        <v>46242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46134</v>
      </c>
      <c r="E393" s="1" t="n">
        <v>46242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71447-2021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44540</v>
      </c>
      <c r="E394" s="1" t="n">
        <v>46242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57462-2025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46242</v>
      </c>
      <c r="F395" t="inlineStr">
        <is>
          <t>VÄRMLANDS LÄN</t>
        </is>
      </c>
      <c r="G395" t="inlineStr">
        <is>
          <t>HAGFORS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57460-2025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45980</v>
      </c>
      <c r="E396" s="1" t="n">
        <v>46242</v>
      </c>
      <c r="F396" t="inlineStr">
        <is>
          <t>VÄRMLANDS LÄN</t>
        </is>
      </c>
      <c r="G396" t="inlineStr">
        <is>
          <t>HAGFORS</t>
        </is>
      </c>
      <c r="H396" t="inlineStr">
        <is>
          <t>Kyrkan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46242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57814-2025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45981</v>
      </c>
      <c r="E398" s="1" t="n">
        <v>46242</v>
      </c>
      <c r="F398" t="inlineStr">
        <is>
          <t>VÄRMLANDS LÄN</t>
        </is>
      </c>
      <c r="G398" t="inlineStr">
        <is>
          <t>HAGFORS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19459-2026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46242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46242</v>
      </c>
      <c r="F400" t="inlineStr">
        <is>
          <t>VÄRMLANDS LÄN</t>
        </is>
      </c>
      <c r="G400" t="inlineStr">
        <is>
          <t>HAGFORS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46242</v>
      </c>
      <c r="F401" t="inlineStr">
        <is>
          <t>VÄRMLANDS LÄN</t>
        </is>
      </c>
      <c r="G401" t="inlineStr">
        <is>
          <t>HAGFORS</t>
        </is>
      </c>
      <c r="H401" t="inlineStr">
        <is>
          <t>Kyrkan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46139</v>
      </c>
      <c r="E402" s="1" t="n">
        <v>46242</v>
      </c>
      <c r="F402" t="inlineStr">
        <is>
          <t>VÄRMLANDS LÄN</t>
        </is>
      </c>
      <c r="G402" t="inlineStr">
        <is>
          <t>HAGFORS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32627-2023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46242</v>
      </c>
      <c r="F403" t="inlineStr">
        <is>
          <t>VÄRMLANDS LÄN</t>
        </is>
      </c>
      <c r="G403" t="inlineStr">
        <is>
          <t>HAGFORS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46020</v>
      </c>
      <c r="E404" s="1" t="n">
        <v>46242</v>
      </c>
      <c r="F404" t="inlineStr">
        <is>
          <t>VÄRMLANDS LÄN</t>
        </is>
      </c>
      <c r="G404" t="inlineStr">
        <is>
          <t>HAGFORS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45684</v>
      </c>
      <c r="E405" s="1" t="n">
        <v>46242</v>
      </c>
      <c r="F405" t="inlineStr">
        <is>
          <t>VÄRMLANDS LÄN</t>
        </is>
      </c>
      <c r="G405" t="inlineStr">
        <is>
          <t>HAGFORS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59047-2025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45988</v>
      </c>
      <c r="E406" s="1" t="n">
        <v>46242</v>
      </c>
      <c r="F406" t="inlineStr">
        <is>
          <t>VÄRMLANDS LÄN</t>
        </is>
      </c>
      <c r="G406" t="inlineStr">
        <is>
          <t>HAGFORS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12778-2025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45733</v>
      </c>
      <c r="E407" s="1" t="n">
        <v>46242</v>
      </c>
      <c r="F407" t="inlineStr">
        <is>
          <t>VÄRMLANDS LÄN</t>
        </is>
      </c>
      <c r="G407" t="inlineStr">
        <is>
          <t>HAGFORS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45840</v>
      </c>
      <c r="E408" s="1" t="n">
        <v>46242</v>
      </c>
      <c r="F408" t="inlineStr">
        <is>
          <t>VÄRMLANDS LÄN</t>
        </is>
      </c>
      <c r="G408" t="inlineStr">
        <is>
          <t>HAGFORS</t>
        </is>
      </c>
      <c r="I408" t="n">
        <v>18.2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31812-2024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45509</v>
      </c>
      <c r="E409" s="1" t="n">
        <v>46242</v>
      </c>
      <c r="F409" t="inlineStr">
        <is>
          <t>VÄRMLANDS LÄN</t>
        </is>
      </c>
      <c r="G409" t="inlineStr">
        <is>
          <t>HAGFORS</t>
        </is>
      </c>
      <c r="H409" t="inlineStr">
        <is>
          <t>Kommuner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55758-2024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45623</v>
      </c>
      <c r="E410" s="1" t="n">
        <v>46242</v>
      </c>
      <c r="F410" t="inlineStr">
        <is>
          <t>VÄRMLANDS LÄN</t>
        </is>
      </c>
      <c r="G410" t="inlineStr">
        <is>
          <t>HAGFORS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44937</v>
      </c>
      <c r="E411" s="1" t="n">
        <v>46242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26628-2024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45469</v>
      </c>
      <c r="E412" s="1" t="n">
        <v>46242</v>
      </c>
      <c r="F412" t="inlineStr">
        <is>
          <t>VÄRMLANDS LÄN</t>
        </is>
      </c>
      <c r="G412" t="inlineStr">
        <is>
          <t>HAGFORS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25349-2023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45087</v>
      </c>
      <c r="E413" s="1" t="n">
        <v>46242</v>
      </c>
      <c r="F413" t="inlineStr">
        <is>
          <t>VÄRMLANDS LÄN</t>
        </is>
      </c>
      <c r="G413" t="inlineStr">
        <is>
          <t>HAGFORS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45527</v>
      </c>
      <c r="E414" s="1" t="n">
        <v>46242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59642-2025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46242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18.8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45484</v>
      </c>
      <c r="E416" s="1" t="n">
        <v>46242</v>
      </c>
      <c r="F416" t="inlineStr">
        <is>
          <t>VÄRMLANDS LÄN</t>
        </is>
      </c>
      <c r="G416" t="inlineStr">
        <is>
          <t>HAGFORS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19993-2026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46136</v>
      </c>
      <c r="E417" s="1" t="n">
        <v>46242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8.4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22346-2025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45786</v>
      </c>
      <c r="E418" s="1" t="n">
        <v>46242</v>
      </c>
      <c r="F418" t="inlineStr">
        <is>
          <t>VÄRMLANDS LÄN</t>
        </is>
      </c>
      <c r="G418" t="inlineStr">
        <is>
          <t>HAGFORS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45791</v>
      </c>
      <c r="E419" s="1" t="n">
        <v>46242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60606-2025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45996</v>
      </c>
      <c r="E420" s="1" t="n">
        <v>46242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45838</v>
      </c>
      <c r="E421" s="1" t="n">
        <v>46242</v>
      </c>
      <c r="F421" t="inlineStr">
        <is>
          <t>VÄRMLANDS LÄN</t>
        </is>
      </c>
      <c r="G421" t="inlineStr">
        <is>
          <t>HAGFORS</t>
        </is>
      </c>
      <c r="H421" t="inlineStr">
        <is>
          <t>Kyrkan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60841-2025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46242</v>
      </c>
      <c r="F422" t="inlineStr">
        <is>
          <t>VÄRMLANDS LÄN</t>
        </is>
      </c>
      <c r="G422" t="inlineStr">
        <is>
          <t>HAGFORS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60648-2025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45996</v>
      </c>
      <c r="E423" s="1" t="n">
        <v>46242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45819</v>
      </c>
      <c r="E424" s="1" t="n">
        <v>46242</v>
      </c>
      <c r="F424" t="inlineStr">
        <is>
          <t>VÄRMLANDS LÄN</t>
        </is>
      </c>
      <c r="G424" t="inlineStr">
        <is>
          <t>HAGFORS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45796</v>
      </c>
      <c r="E425" s="1" t="n">
        <v>46242</v>
      </c>
      <c r="F425" t="inlineStr">
        <is>
          <t>VÄRMLANDS LÄN</t>
        </is>
      </c>
      <c r="G425" t="inlineStr">
        <is>
          <t>HAGFORS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44938</v>
      </c>
      <c r="E426" s="1" t="n">
        <v>46242</v>
      </c>
      <c r="F426" t="inlineStr">
        <is>
          <t>VÄRMLANDS LÄN</t>
        </is>
      </c>
      <c r="G426" t="inlineStr">
        <is>
          <t>HAGFORS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45106</v>
      </c>
      <c r="E427" s="1" t="n">
        <v>46242</v>
      </c>
      <c r="F427" t="inlineStr">
        <is>
          <t>VÄRMLANDS LÄN</t>
        </is>
      </c>
      <c r="G427" t="inlineStr">
        <is>
          <t>HAGFORS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23047-2024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45450</v>
      </c>
      <c r="E428" s="1" t="n">
        <v>46242</v>
      </c>
      <c r="F428" t="inlineStr">
        <is>
          <t>VÄRMLANDS LÄN</t>
        </is>
      </c>
      <c r="G428" t="inlineStr">
        <is>
          <t>HAGFORS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21724-2025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45783</v>
      </c>
      <c r="E429" s="1" t="n">
        <v>46242</v>
      </c>
      <c r="F429" t="inlineStr">
        <is>
          <t>VÄRMLANDS LÄN</t>
        </is>
      </c>
      <c r="G429" t="inlineStr">
        <is>
          <t>HAGFORS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45839</v>
      </c>
      <c r="E430" s="1" t="n">
        <v>46242</v>
      </c>
      <c r="F430" t="inlineStr">
        <is>
          <t>VÄRMLANDS LÄN</t>
        </is>
      </c>
      <c r="G430" t="inlineStr">
        <is>
          <t>HAGFORS</t>
        </is>
      </c>
      <c r="H430" t="inlineStr">
        <is>
          <t>Kyrkan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11126-2024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45371</v>
      </c>
      <c r="E431" s="1" t="n">
        <v>46242</v>
      </c>
      <c r="F431" t="inlineStr">
        <is>
          <t>VÄRMLANDS LÄN</t>
        </is>
      </c>
      <c r="G431" t="inlineStr">
        <is>
          <t>HAGFORS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61843-2025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46003</v>
      </c>
      <c r="E432" s="1" t="n">
        <v>46242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61850-2025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46003</v>
      </c>
      <c r="E433" s="1" t="n">
        <v>46242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61718-2025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46002</v>
      </c>
      <c r="E434" s="1" t="n">
        <v>46242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36764-2025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45873</v>
      </c>
      <c r="E435" s="1" t="n">
        <v>46242</v>
      </c>
      <c r="F435" t="inlineStr">
        <is>
          <t>VÄRMLANDS LÄN</t>
        </is>
      </c>
      <c r="G435" t="inlineStr">
        <is>
          <t>HAGFORS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46002</v>
      </c>
      <c r="E436" s="1" t="n">
        <v>46242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46003</v>
      </c>
      <c r="E437" s="1" t="n">
        <v>46242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61910-2025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46003</v>
      </c>
      <c r="E438" s="1" t="n">
        <v>46242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45713</v>
      </c>
      <c r="E439" s="1" t="n">
        <v>46242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62542-2025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46007</v>
      </c>
      <c r="E440" s="1" t="n">
        <v>46242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26615-2024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45469</v>
      </c>
      <c r="E441" s="1" t="n">
        <v>46242</v>
      </c>
      <c r="F441" t="inlineStr">
        <is>
          <t>VÄRMLANDS LÄN</t>
        </is>
      </c>
      <c r="G441" t="inlineStr">
        <is>
          <t>HAGFORS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46006</v>
      </c>
      <c r="E442" s="1" t="n">
        <v>46242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53192-2022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44876</v>
      </c>
      <c r="E443" s="1" t="n">
        <v>46242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24638-2023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45084</v>
      </c>
      <c r="E444" s="1" t="n">
        <v>46242</v>
      </c>
      <c r="F444" t="inlineStr">
        <is>
          <t>VÄRMLANDS LÄN</t>
        </is>
      </c>
      <c r="G444" t="inlineStr">
        <is>
          <t>HAGFORS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62168-2025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46006</v>
      </c>
      <c r="E445" s="1" t="n">
        <v>46242</v>
      </c>
      <c r="F445" t="inlineStr">
        <is>
          <t>VÄRMLANDS LÄN</t>
        </is>
      </c>
      <c r="G445" t="inlineStr">
        <is>
          <t>HAGFORS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62099-2025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46006</v>
      </c>
      <c r="E446" s="1" t="n">
        <v>46242</v>
      </c>
      <c r="F446" t="inlineStr">
        <is>
          <t>VÄRMLANDS LÄN</t>
        </is>
      </c>
      <c r="G446" t="inlineStr">
        <is>
          <t>HAGFORS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62125-2025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46242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61902-2021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44502</v>
      </c>
      <c r="E448" s="1" t="n">
        <v>46242</v>
      </c>
      <c r="F448" t="inlineStr">
        <is>
          <t>VÄRMLANDS LÄN</t>
        </is>
      </c>
      <c r="G448" t="inlineStr">
        <is>
          <t>HAGFORS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45006</v>
      </c>
      <c r="E449" s="1" t="n">
        <v>46242</v>
      </c>
      <c r="F449" t="inlineStr">
        <is>
          <t>VÄRMLANDS LÄN</t>
        </is>
      </c>
      <c r="G449" t="inlineStr">
        <is>
          <t>HAGFORS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46242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62632-2025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46008</v>
      </c>
      <c r="E451" s="1" t="n">
        <v>46242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62749-2025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46008</v>
      </c>
      <c r="E452" s="1" t="n">
        <v>46242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4745-2024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45328</v>
      </c>
      <c r="E453" s="1" t="n">
        <v>46242</v>
      </c>
      <c r="F453" t="inlineStr">
        <is>
          <t>VÄRMLANDS LÄN</t>
        </is>
      </c>
      <c r="G453" t="inlineStr">
        <is>
          <t>HAGFORS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63301-2025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46242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63361-2025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46242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42235-2024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45562</v>
      </c>
      <c r="E456" s="1" t="n">
        <v>46242</v>
      </c>
      <c r="F456" t="inlineStr">
        <is>
          <t>VÄRMLANDS LÄN</t>
        </is>
      </c>
      <c r="G456" t="inlineStr">
        <is>
          <t>HAGFORS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34572-2025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45847</v>
      </c>
      <c r="E457" s="1" t="n">
        <v>46242</v>
      </c>
      <c r="F457" t="inlineStr">
        <is>
          <t>VÄRMLANDS LÄN</t>
        </is>
      </c>
      <c r="G457" t="inlineStr">
        <is>
          <t>HAGFORS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45036</v>
      </c>
      <c r="E458" s="1" t="n">
        <v>46242</v>
      </c>
      <c r="F458" t="inlineStr">
        <is>
          <t>VÄRMLANDS LÄN</t>
        </is>
      </c>
      <c r="G458" t="inlineStr">
        <is>
          <t>HAGFORS</t>
        </is>
      </c>
      <c r="H458" t="inlineStr">
        <is>
          <t>Kommuner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68252-2021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44526</v>
      </c>
      <c r="E459" s="1" t="n">
        <v>46242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45841</v>
      </c>
      <c r="E460" s="1" t="n">
        <v>46242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63285-2025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46242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45638</v>
      </c>
      <c r="E462" s="1" t="n">
        <v>46242</v>
      </c>
      <c r="F462" t="inlineStr">
        <is>
          <t>VÄRMLANDS LÄN</t>
        </is>
      </c>
      <c r="G462" t="inlineStr">
        <is>
          <t>HAGFORS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54929-2024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45618</v>
      </c>
      <c r="E463" s="1" t="n">
        <v>46242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44613</v>
      </c>
      <c r="E464" s="1" t="n">
        <v>46242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27410-2023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45097</v>
      </c>
      <c r="E465" s="1" t="n">
        <v>46242</v>
      </c>
      <c r="F465" t="inlineStr">
        <is>
          <t>VÄRMLANDS LÄN</t>
        </is>
      </c>
      <c r="G465" t="inlineStr">
        <is>
          <t>HAGFORS</t>
        </is>
      </c>
      <c r="H465" t="inlineStr">
        <is>
          <t>Kyrkan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19391-2025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45769</v>
      </c>
      <c r="E466" s="1" t="n">
        <v>46242</v>
      </c>
      <c r="F466" t="inlineStr">
        <is>
          <t>VÄRMLANDS LÄN</t>
        </is>
      </c>
      <c r="G466" t="inlineStr">
        <is>
          <t>HAGFORS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61169-2024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45645</v>
      </c>
      <c r="E467" s="1" t="n">
        <v>46242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33440-2025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45841</v>
      </c>
      <c r="E468" s="1" t="n">
        <v>46242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20756-2026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46141</v>
      </c>
      <c r="E469" s="1" t="n">
        <v>46242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40601-2021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44420</v>
      </c>
      <c r="E470" s="1" t="n">
        <v>46242</v>
      </c>
      <c r="F470" t="inlineStr">
        <is>
          <t>VÄRMLANDS LÄN</t>
        </is>
      </c>
      <c r="G470" t="inlineStr">
        <is>
          <t>HAGFORS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20594-2026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46140</v>
      </c>
      <c r="E471" s="1" t="n">
        <v>46242</v>
      </c>
      <c r="F471" t="inlineStr">
        <is>
          <t>VÄRMLANDS LÄN</t>
        </is>
      </c>
      <c r="G471" t="inlineStr">
        <is>
          <t>HAGFORS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20706-2026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46242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63834-2025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46020</v>
      </c>
      <c r="E473" s="1" t="n">
        <v>46242</v>
      </c>
      <c r="F473" t="inlineStr">
        <is>
          <t>VÄRMLANDS LÄN</t>
        </is>
      </c>
      <c r="G473" t="inlineStr">
        <is>
          <t>HAGFORS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63831-2025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46020</v>
      </c>
      <c r="E474" s="1" t="n">
        <v>46242</v>
      </c>
      <c r="F474" t="inlineStr">
        <is>
          <t>VÄRMLANDS LÄN</t>
        </is>
      </c>
      <c r="G474" t="inlineStr">
        <is>
          <t>HAGFORS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63764-2025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46018</v>
      </c>
      <c r="E475" s="1" t="n">
        <v>46242</v>
      </c>
      <c r="F475" t="inlineStr">
        <is>
          <t>VÄRMLANDS LÄN</t>
        </is>
      </c>
      <c r="G475" t="inlineStr">
        <is>
          <t>HAGFORS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63765-2025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46018</v>
      </c>
      <c r="E476" s="1" t="n">
        <v>46242</v>
      </c>
      <c r="F476" t="inlineStr">
        <is>
          <t>VÄRMLANDS LÄN</t>
        </is>
      </c>
      <c r="G476" t="inlineStr">
        <is>
          <t>HAGFORS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45461</v>
      </c>
      <c r="E477" s="1" t="n">
        <v>46242</v>
      </c>
      <c r="F477" t="inlineStr">
        <is>
          <t>VÄRMLANDS LÄN</t>
        </is>
      </c>
      <c r="G477" t="inlineStr">
        <is>
          <t>HAGFORS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33454-2025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45841</v>
      </c>
      <c r="E478" s="1" t="n">
        <v>46242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46020</v>
      </c>
      <c r="E479" s="1" t="n">
        <v>46242</v>
      </c>
      <c r="F479" t="inlineStr">
        <is>
          <t>VÄRMLANDS LÄN</t>
        </is>
      </c>
      <c r="G479" t="inlineStr">
        <is>
          <t>HAGFORS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60390-2025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46242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20759-2026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46242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61265-2022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44915</v>
      </c>
      <c r="E482" s="1" t="n">
        <v>46242</v>
      </c>
      <c r="F482" t="inlineStr">
        <is>
          <t>VÄRMLANDS LÄN</t>
        </is>
      </c>
      <c r="G482" t="inlineStr">
        <is>
          <t>HAGFORS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20564-2026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46242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36293-2023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45152</v>
      </c>
      <c r="E484" s="1" t="n">
        <v>46242</v>
      </c>
      <c r="F484" t="inlineStr">
        <is>
          <t>VÄRMLANDS LÄN</t>
        </is>
      </c>
      <c r="G484" t="inlineStr">
        <is>
          <t>HAGFORS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31618-2025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45833</v>
      </c>
      <c r="E485" s="1" t="n">
        <v>46242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34107-2025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45845</v>
      </c>
      <c r="E486" s="1" t="n">
        <v>46242</v>
      </c>
      <c r="F486" t="inlineStr">
        <is>
          <t>VÄRMLANDS LÄN</t>
        </is>
      </c>
      <c r="G486" t="inlineStr">
        <is>
          <t>HAGFORS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45845</v>
      </c>
      <c r="E487" s="1" t="n">
        <v>46242</v>
      </c>
      <c r="F487" t="inlineStr">
        <is>
          <t>VÄRMLANDS LÄN</t>
        </is>
      </c>
      <c r="G487" t="inlineStr">
        <is>
          <t>HAGFORS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46242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20752-2026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46141</v>
      </c>
      <c r="E489" s="1" t="n">
        <v>46242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45845</v>
      </c>
      <c r="E490" s="1" t="n">
        <v>46242</v>
      </c>
      <c r="F490" t="inlineStr">
        <is>
          <t>VÄRMLANDS LÄN</t>
        </is>
      </c>
      <c r="G490" t="inlineStr">
        <is>
          <t>HAGFORS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45684</v>
      </c>
      <c r="E491" s="1" t="n">
        <v>46242</v>
      </c>
      <c r="F491" t="inlineStr">
        <is>
          <t>VÄRMLANDS LÄN</t>
        </is>
      </c>
      <c r="G491" t="inlineStr">
        <is>
          <t>HAGFORS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20444-2024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45435</v>
      </c>
      <c r="E492" s="1" t="n">
        <v>46242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45148</v>
      </c>
      <c r="E493" s="1" t="n">
        <v>46242</v>
      </c>
      <c r="F493" t="inlineStr">
        <is>
          <t>VÄRMLANDS LÄN</t>
        </is>
      </c>
      <c r="G493" t="inlineStr">
        <is>
          <t>HAGFORS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7087-2026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46058</v>
      </c>
      <c r="E494" s="1" t="n">
        <v>46242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46242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20729-2026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46141</v>
      </c>
      <c r="E496" s="1" t="n">
        <v>46242</v>
      </c>
      <c r="F496" t="inlineStr">
        <is>
          <t>VÄRMLANDS LÄN</t>
        </is>
      </c>
      <c r="G496" t="inlineStr">
        <is>
          <t>HAGFORS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59048-2022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44903</v>
      </c>
      <c r="E497" s="1" t="n">
        <v>46242</v>
      </c>
      <c r="F497" t="inlineStr">
        <is>
          <t>VÄRMLANDS LÄN</t>
        </is>
      </c>
      <c r="G497" t="inlineStr">
        <is>
          <t>HAGFORS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20880-2026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46142</v>
      </c>
      <c r="E498" s="1" t="n">
        <v>46242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20870-2026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46242</v>
      </c>
      <c r="F499" t="inlineStr">
        <is>
          <t>VÄRMLANDS LÄN</t>
        </is>
      </c>
      <c r="G499" t="inlineStr">
        <is>
          <t>HAGFORS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46242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19515-2025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45770</v>
      </c>
      <c r="E501" s="1" t="n">
        <v>46242</v>
      </c>
      <c r="F501" t="inlineStr">
        <is>
          <t>VÄRMLANDS LÄN</t>
        </is>
      </c>
      <c r="G501" t="inlineStr">
        <is>
          <t>HAGFORS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42801-2024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45565</v>
      </c>
      <c r="E502" s="1" t="n">
        <v>46242</v>
      </c>
      <c r="F502" t="inlineStr">
        <is>
          <t>VÄRMLANDS LÄN</t>
        </is>
      </c>
      <c r="G502" t="inlineStr">
        <is>
          <t>HAGFORS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45057</v>
      </c>
      <c r="E503" s="1" t="n">
        <v>46242</v>
      </c>
      <c r="F503" t="inlineStr">
        <is>
          <t>VÄRMLANDS LÄN</t>
        </is>
      </c>
      <c r="G503" t="inlineStr">
        <is>
          <t>HAGFORS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21954-2025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46242</v>
      </c>
      <c r="F504" t="inlineStr">
        <is>
          <t>VÄRMLANDS LÄN</t>
        </is>
      </c>
      <c r="G504" t="inlineStr">
        <is>
          <t>HAGFORS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17884-2025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45758</v>
      </c>
      <c r="E505" s="1" t="n">
        <v>46242</v>
      </c>
      <c r="F505" t="inlineStr">
        <is>
          <t>VÄRMLANDS LÄN</t>
        </is>
      </c>
      <c r="G505" t="inlineStr">
        <is>
          <t>HAGFORS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19554-2024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45429</v>
      </c>
      <c r="E506" s="1" t="n">
        <v>46242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46146</v>
      </c>
      <c r="E507" s="1" t="n">
        <v>46242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30710-2022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44763</v>
      </c>
      <c r="E508" s="1" t="n">
        <v>46242</v>
      </c>
      <c r="F508" t="inlineStr">
        <is>
          <t>VÄRMLANDS LÄN</t>
        </is>
      </c>
      <c r="G508" t="inlineStr">
        <is>
          <t>HAGFORS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21728-2026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46242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52830-2023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45226</v>
      </c>
      <c r="E510" s="1" t="n">
        <v>46242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28087-2024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45476</v>
      </c>
      <c r="E511" s="1" t="n">
        <v>46242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45854</v>
      </c>
      <c r="E512" s="1" t="n">
        <v>46242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18213-2024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45420</v>
      </c>
      <c r="E513" s="1" t="n">
        <v>46242</v>
      </c>
      <c r="F513" t="inlineStr">
        <is>
          <t>VÄRMLANDS LÄN</t>
        </is>
      </c>
      <c r="G513" t="inlineStr">
        <is>
          <t>HAGFORS</t>
        </is>
      </c>
      <c r="I513" t="n">
        <v>11.5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35289-2025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45854</v>
      </c>
      <c r="E514" s="1" t="n">
        <v>46242</v>
      </c>
      <c r="F514" t="inlineStr">
        <is>
          <t>VÄRMLANDS LÄN</t>
        </is>
      </c>
      <c r="G514" t="inlineStr">
        <is>
          <t>HAGFORS</t>
        </is>
      </c>
      <c r="H514" t="inlineStr">
        <is>
          <t>Kyrkan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46242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23813-2025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45793</v>
      </c>
      <c r="E516" s="1" t="n">
        <v>46242</v>
      </c>
      <c r="F516" t="inlineStr">
        <is>
          <t>VÄRMLANDS LÄN</t>
        </is>
      </c>
      <c r="G516" t="inlineStr">
        <is>
          <t>HAGFORS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21762-2026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46150</v>
      </c>
      <c r="E517" s="1" t="n">
        <v>46242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10382-2025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45720</v>
      </c>
      <c r="E518" s="1" t="n">
        <v>46242</v>
      </c>
      <c r="F518" t="inlineStr">
        <is>
          <t>VÄRMLANDS LÄN</t>
        </is>
      </c>
      <c r="G518" t="inlineStr">
        <is>
          <t>HAGFORS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21776-2026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46150</v>
      </c>
      <c r="E519" s="1" t="n">
        <v>46242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6437-2024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45338</v>
      </c>
      <c r="E520" s="1" t="n">
        <v>46242</v>
      </c>
      <c r="F520" t="inlineStr">
        <is>
          <t>VÄRMLANDS LÄN</t>
        </is>
      </c>
      <c r="G520" t="inlineStr">
        <is>
          <t>HAGFORS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8129-2024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45351</v>
      </c>
      <c r="E521" s="1" t="n">
        <v>46242</v>
      </c>
      <c r="F521" t="inlineStr">
        <is>
          <t>VÄRMLANDS LÄN</t>
        </is>
      </c>
      <c r="G521" t="inlineStr">
        <is>
          <t>HAGFORS</t>
        </is>
      </c>
      <c r="H521" t="inlineStr">
        <is>
          <t>Kyrkan</t>
        </is>
      </c>
      <c r="I521" t="n">
        <v>10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9795-2023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44984</v>
      </c>
      <c r="E522" s="1" t="n">
        <v>46242</v>
      </c>
      <c r="F522" t="inlineStr">
        <is>
          <t>VÄRMLANDS LÄN</t>
        </is>
      </c>
      <c r="G522" t="inlineStr">
        <is>
          <t>HAGFORS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46242</v>
      </c>
      <c r="F523" t="inlineStr">
        <is>
          <t>VÄRMLANDS LÄN</t>
        </is>
      </c>
      <c r="G523" t="inlineStr">
        <is>
          <t>HAGFORS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22516-2026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46242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46155</v>
      </c>
      <c r="E525" s="1" t="n">
        <v>46242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22572-2026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46242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22667-2026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46155</v>
      </c>
      <c r="E527" s="1" t="n">
        <v>46242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22648-2026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46155</v>
      </c>
      <c r="E528" s="1" t="n">
        <v>46242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35994-2024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45533</v>
      </c>
      <c r="E529" s="1" t="n">
        <v>46242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65065-2023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45287</v>
      </c>
      <c r="E530" s="1" t="n">
        <v>46242</v>
      </c>
      <c r="F530" t="inlineStr">
        <is>
          <t>VÄRMLANDS LÄN</t>
        </is>
      </c>
      <c r="G530" t="inlineStr">
        <is>
          <t>HAGFORS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46155</v>
      </c>
      <c r="E531" s="1" t="n">
        <v>46242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42593-2021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44428</v>
      </c>
      <c r="E532" s="1" t="n">
        <v>46242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53443-2024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45614</v>
      </c>
      <c r="E533" s="1" t="n">
        <v>46242</v>
      </c>
      <c r="F533" t="inlineStr">
        <is>
          <t>VÄRMLANDS LÄN</t>
        </is>
      </c>
      <c r="G533" t="inlineStr">
        <is>
          <t>HAGFORS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29430-2026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46242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52923-2023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45226</v>
      </c>
      <c r="E535" s="1" t="n">
        <v>46242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46242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22911-2026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46160</v>
      </c>
      <c r="E537" s="1" t="n">
        <v>46242</v>
      </c>
      <c r="F537" t="inlineStr">
        <is>
          <t>VÄRMLANDS LÄN</t>
        </is>
      </c>
      <c r="G537" t="inlineStr">
        <is>
          <t>HAGFORS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46029</v>
      </c>
      <c r="E538" s="1" t="n">
        <v>46242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8.800000000000001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19072-2025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45765</v>
      </c>
      <c r="E539" s="1" t="n">
        <v>46242</v>
      </c>
      <c r="F539" t="inlineStr">
        <is>
          <t>VÄRMLANDS LÄN</t>
        </is>
      </c>
      <c r="G539" t="inlineStr">
        <is>
          <t>HAGFORS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46200</v>
      </c>
      <c r="E540" s="1" t="n">
        <v>46242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46200</v>
      </c>
      <c r="E541" s="1" t="n">
        <v>46242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45838</v>
      </c>
      <c r="E542" s="1" t="n">
        <v>46242</v>
      </c>
      <c r="F542" t="inlineStr">
        <is>
          <t>VÄRMLANDS LÄN</t>
        </is>
      </c>
      <c r="G542" t="inlineStr">
        <is>
          <t>HAGFORS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46242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46242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9.6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51915-2023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45223</v>
      </c>
      <c r="E545" s="1" t="n">
        <v>46242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46242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56165-2024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45624</v>
      </c>
      <c r="E547" s="1" t="n">
        <v>46242</v>
      </c>
      <c r="F547" t="inlineStr">
        <is>
          <t>VÄRMLANDS LÄN</t>
        </is>
      </c>
      <c r="G547" t="inlineStr">
        <is>
          <t>HAGFORS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23016-2026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46242</v>
      </c>
      <c r="F548" t="inlineStr">
        <is>
          <t>VÄRMLANDS LÄN</t>
        </is>
      </c>
      <c r="G548" t="inlineStr">
        <is>
          <t>HAGFORS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23129-2026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46161</v>
      </c>
      <c r="E549" s="1" t="n">
        <v>46242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22925-2026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46160</v>
      </c>
      <c r="E550" s="1" t="n">
        <v>46242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45741</v>
      </c>
      <c r="E551" s="1" t="n">
        <v>46242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27826-2024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45475</v>
      </c>
      <c r="E552" s="1" t="n">
        <v>46242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27827-2024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45475</v>
      </c>
      <c r="E553" s="1" t="n">
        <v>46242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36206-2024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45534</v>
      </c>
      <c r="E554" s="1" t="n">
        <v>46242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36228-2024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45534</v>
      </c>
      <c r="E555" s="1" t="n">
        <v>46242</v>
      </c>
      <c r="F555" t="inlineStr">
        <is>
          <t>VÄRMLANDS LÄN</t>
        </is>
      </c>
      <c r="G555" t="inlineStr">
        <is>
          <t>HAGFORS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22917-2026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46160</v>
      </c>
      <c r="E556" s="1" t="n">
        <v>46242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44582</v>
      </c>
      <c r="E557" s="1" t="n">
        <v>46242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31087-2024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45502</v>
      </c>
      <c r="E558" s="1" t="n">
        <v>46242</v>
      </c>
      <c r="F558" t="inlineStr">
        <is>
          <t>VÄRMLANDS LÄN</t>
        </is>
      </c>
      <c r="G558" t="inlineStr">
        <is>
          <t>HAGFORS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20103-2024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45434</v>
      </c>
      <c r="E559" s="1" t="n">
        <v>46242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45725</v>
      </c>
      <c r="E560" s="1" t="n">
        <v>46242</v>
      </c>
      <c r="F560" t="inlineStr">
        <is>
          <t>VÄRMLANDS LÄN</t>
        </is>
      </c>
      <c r="G560" t="inlineStr">
        <is>
          <t>HAGFORS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23549-2026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46163</v>
      </c>
      <c r="E561" s="1" t="n">
        <v>46242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45824</v>
      </c>
      <c r="E562" s="1" t="n">
        <v>46242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15270-2024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45400</v>
      </c>
      <c r="E563" s="1" t="n">
        <v>46242</v>
      </c>
      <c r="F563" t="inlineStr">
        <is>
          <t>VÄRMLANDS LÄN</t>
        </is>
      </c>
      <c r="G563" t="inlineStr">
        <is>
          <t>HAGFORS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51015-2025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45947</v>
      </c>
      <c r="E564" s="1" t="n">
        <v>46242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46426-2024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45582</v>
      </c>
      <c r="E565" s="1" t="n">
        <v>46242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52016-2025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45952</v>
      </c>
      <c r="E566" s="1" t="n">
        <v>46242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9.800000000000001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52691-2025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45956</v>
      </c>
      <c r="E567" s="1" t="n">
        <v>46242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28.2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29400-2026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46203</v>
      </c>
      <c r="E568" s="1" t="n">
        <v>46242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36494-2025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45869</v>
      </c>
      <c r="E569" s="1" t="n">
        <v>46242</v>
      </c>
      <c r="F569" t="inlineStr">
        <is>
          <t>VÄRMLANDS LÄN</t>
        </is>
      </c>
      <c r="G569" t="inlineStr">
        <is>
          <t>HAGFORS</t>
        </is>
      </c>
      <c r="H569" t="inlineStr">
        <is>
          <t>Kyrkan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23525-2026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46163</v>
      </c>
      <c r="E570" s="1" t="n">
        <v>46242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29580-2026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46242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23269-2026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46242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46206</v>
      </c>
      <c r="E573" s="1" t="n">
        <v>46242</v>
      </c>
      <c r="F573" t="inlineStr">
        <is>
          <t>VÄRMLANDS LÄN</t>
        </is>
      </c>
      <c r="G573" t="inlineStr">
        <is>
          <t>HAGFORS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44567</v>
      </c>
      <c r="E574" s="1" t="n">
        <v>46242</v>
      </c>
      <c r="F574" t="inlineStr">
        <is>
          <t>VÄRMLANDS LÄN</t>
        </is>
      </c>
      <c r="G574" t="inlineStr">
        <is>
          <t>HAGFORS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34636-2024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45526</v>
      </c>
      <c r="E575" s="1" t="n">
        <v>46242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46209</v>
      </c>
      <c r="E576" s="1" t="n">
        <v>46242</v>
      </c>
      <c r="F576" t="inlineStr">
        <is>
          <t>VÄRMLANDS LÄN</t>
        </is>
      </c>
      <c r="G576" t="inlineStr">
        <is>
          <t>HAGFORS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46209</v>
      </c>
      <c r="E577" s="1" t="n">
        <v>46242</v>
      </c>
      <c r="F577" t="inlineStr">
        <is>
          <t>VÄRMLANDS LÄN</t>
        </is>
      </c>
      <c r="G577" t="inlineStr">
        <is>
          <t>HAGFORS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34529-2023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45140</v>
      </c>
      <c r="E578" s="1" t="n">
        <v>46242</v>
      </c>
      <c r="F578" t="inlineStr">
        <is>
          <t>VÄRMLANDS LÄN</t>
        </is>
      </c>
      <c r="G578" t="inlineStr">
        <is>
          <t>HAGFORS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23728-2026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46164</v>
      </c>
      <c r="E579" s="1" t="n">
        <v>46242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46242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30167-2026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46242</v>
      </c>
      <c r="F581" t="inlineStr">
        <is>
          <t>VÄRMLANDS LÄN</t>
        </is>
      </c>
      <c r="G581" t="inlineStr">
        <is>
          <t>HAGFORS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54757-2022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44883</v>
      </c>
      <c r="E582" s="1" t="n">
        <v>46242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37027-2025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45874</v>
      </c>
      <c r="E583" s="1" t="n">
        <v>46242</v>
      </c>
      <c r="F583" t="inlineStr">
        <is>
          <t>VÄRMLANDS LÄN</t>
        </is>
      </c>
      <c r="G583" t="inlineStr">
        <is>
          <t>HAGFORS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30433-2026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46209</v>
      </c>
      <c r="E584" s="1" t="n">
        <v>46242</v>
      </c>
      <c r="F584" t="inlineStr">
        <is>
          <t>VÄRMLANDS LÄN</t>
        </is>
      </c>
      <c r="G584" t="inlineStr">
        <is>
          <t>HAGFORS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23678-2026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46164</v>
      </c>
      <c r="E585" s="1" t="n">
        <v>46242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8.300000000000001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45238-2024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45575</v>
      </c>
      <c r="E586" s="1" t="n">
        <v>46242</v>
      </c>
      <c r="F586" t="inlineStr">
        <is>
          <t>VÄRMLANDS LÄN</t>
        </is>
      </c>
      <c r="G586" t="inlineStr">
        <is>
          <t>HAGFORS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29950-2026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46205</v>
      </c>
      <c r="E587" s="1" t="n">
        <v>46242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7.4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30635-2025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46242</v>
      </c>
      <c r="F588" t="inlineStr">
        <is>
          <t>VÄRMLANDS LÄN</t>
        </is>
      </c>
      <c r="G588" t="inlineStr">
        <is>
          <t>HAGFORS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30642-2025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45831</v>
      </c>
      <c r="E589" s="1" t="n">
        <v>46242</v>
      </c>
      <c r="F589" t="inlineStr">
        <is>
          <t>VÄRMLANDS LÄN</t>
        </is>
      </c>
      <c r="G589" t="inlineStr">
        <is>
          <t>HAGFORS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46242</v>
      </c>
      <c r="F590" t="inlineStr">
        <is>
          <t>VÄRMLANDS LÄN</t>
        </is>
      </c>
      <c r="G590" t="inlineStr">
        <is>
          <t>HAGFORS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30629-2026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46211</v>
      </c>
      <c r="E591" s="1" t="n">
        <v>46242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37085-2023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45155</v>
      </c>
      <c r="E592" s="1" t="n">
        <v>46242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37463-2022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44809</v>
      </c>
      <c r="E593" s="1" t="n">
        <v>46242</v>
      </c>
      <c r="F593" t="inlineStr">
        <is>
          <t>VÄRMLANDS LÄN</t>
        </is>
      </c>
      <c r="G593" t="inlineStr">
        <is>
          <t>HAGFORS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62461-2023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45268</v>
      </c>
      <c r="E594" s="1" t="n">
        <v>46242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20466-2023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45057</v>
      </c>
      <c r="E595" s="1" t="n">
        <v>46242</v>
      </c>
      <c r="F595" t="inlineStr">
        <is>
          <t>VÄRMLANDS LÄN</t>
        </is>
      </c>
      <c r="G595" t="inlineStr">
        <is>
          <t>HAGFORS</t>
        </is>
      </c>
      <c r="H595" t="inlineStr">
        <is>
          <t>Kyrkan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46242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8.1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24240-2026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46242</v>
      </c>
      <c r="F597" t="inlineStr">
        <is>
          <t>VÄRMLANDS LÄN</t>
        </is>
      </c>
      <c r="G597" t="inlineStr">
        <is>
          <t>HAGFORS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53813-2024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45615</v>
      </c>
      <c r="E598" s="1" t="n">
        <v>46242</v>
      </c>
      <c r="F598" t="inlineStr">
        <is>
          <t>VÄRMLANDS LÄN</t>
        </is>
      </c>
      <c r="G598" t="inlineStr">
        <is>
          <t>HAGFORS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45470</v>
      </c>
      <c r="E599" s="1" t="n">
        <v>46242</v>
      </c>
      <c r="F599" t="inlineStr">
        <is>
          <t>VÄRMLANDS LÄN</t>
        </is>
      </c>
      <c r="G599" t="inlineStr">
        <is>
          <t>HAGFORS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43558-2024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45569</v>
      </c>
      <c r="E600" s="1" t="n">
        <v>46242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8830-2024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45356</v>
      </c>
      <c r="E601" s="1" t="n">
        <v>46242</v>
      </c>
      <c r="F601" t="inlineStr">
        <is>
          <t>VÄRMLANDS LÄN</t>
        </is>
      </c>
      <c r="G601" t="inlineStr">
        <is>
          <t>HAGFORS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46242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30914-2026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46213</v>
      </c>
      <c r="E603" s="1" t="n">
        <v>46242</v>
      </c>
      <c r="F603" t="inlineStr">
        <is>
          <t>VÄRMLANDS LÄN</t>
        </is>
      </c>
      <c r="G603" t="inlineStr">
        <is>
          <t>HAGFORS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16153-2025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45750</v>
      </c>
      <c r="E604" s="1" t="n">
        <v>46242</v>
      </c>
      <c r="F604" t="inlineStr">
        <is>
          <t>VÄRMLANDS LÄN</t>
        </is>
      </c>
      <c r="G604" t="inlineStr">
        <is>
          <t>HAGFORS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24625-2026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46171</v>
      </c>
      <c r="E605" s="1" t="n">
        <v>46242</v>
      </c>
      <c r="F605" t="inlineStr">
        <is>
          <t>VÄRMLANDS LÄN</t>
        </is>
      </c>
      <c r="G605" t="inlineStr">
        <is>
          <t>HAGFORS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25258-2023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45079</v>
      </c>
      <c r="E606" s="1" t="n">
        <v>46242</v>
      </c>
      <c r="F606" t="inlineStr">
        <is>
          <t>VÄRMLANDS LÄN</t>
        </is>
      </c>
      <c r="G606" t="inlineStr">
        <is>
          <t>HAGFORS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24862-2026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46174</v>
      </c>
      <c r="E607" s="1" t="n">
        <v>46242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9.699999999999999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24677-2026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46171</v>
      </c>
      <c r="E608" s="1" t="n">
        <v>46242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24761-2026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46171</v>
      </c>
      <c r="E609" s="1" t="n">
        <v>46242</v>
      </c>
      <c r="F609" t="inlineStr">
        <is>
          <t>VÄRMLANDS LÄN</t>
        </is>
      </c>
      <c r="G609" t="inlineStr">
        <is>
          <t>HAGFORS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21451-2024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45441</v>
      </c>
      <c r="E610" s="1" t="n">
        <v>46242</v>
      </c>
      <c r="F610" t="inlineStr">
        <is>
          <t>VÄRMLANDS LÄN</t>
        </is>
      </c>
      <c r="G610" t="inlineStr">
        <is>
          <t>HAGFORS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24628-2026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46171</v>
      </c>
      <c r="E611" s="1" t="n">
        <v>46242</v>
      </c>
      <c r="F611" t="inlineStr">
        <is>
          <t>VÄRMLANDS LÄN</t>
        </is>
      </c>
      <c r="G611" t="inlineStr">
        <is>
          <t>HAGFORS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27185-2025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45812</v>
      </c>
      <c r="E612" s="1" t="n">
        <v>46242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32147-2023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46242</v>
      </c>
      <c r="F613" t="inlineStr">
        <is>
          <t>VÄRMLANDS LÄN</t>
        </is>
      </c>
      <c r="G613" t="inlineStr">
        <is>
          <t>HAGFORS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49766-2023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45212</v>
      </c>
      <c r="E614" s="1" t="n">
        <v>46242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24778-2026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46171</v>
      </c>
      <c r="E615" s="1" t="n">
        <v>46242</v>
      </c>
      <c r="F615" t="inlineStr">
        <is>
          <t>VÄRMLANDS LÄN</t>
        </is>
      </c>
      <c r="G615" t="inlineStr">
        <is>
          <t>HAGFORS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24699-2026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46171</v>
      </c>
      <c r="E616" s="1" t="n">
        <v>46242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47516-2023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45203</v>
      </c>
      <c r="E617" s="1" t="n">
        <v>46242</v>
      </c>
      <c r="F617" t="inlineStr">
        <is>
          <t>VÄRMLANDS LÄN</t>
        </is>
      </c>
      <c r="G617" t="inlineStr">
        <is>
          <t>HAGFORS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31657-2024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45506</v>
      </c>
      <c r="E618" s="1" t="n">
        <v>46242</v>
      </c>
      <c r="F618" t="inlineStr">
        <is>
          <t>VÄRMLANDS LÄN</t>
        </is>
      </c>
      <c r="G618" t="inlineStr">
        <is>
          <t>HAGFORS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24626-2026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46171</v>
      </c>
      <c r="E619" s="1" t="n">
        <v>46242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46171</v>
      </c>
      <c r="E620" s="1" t="n">
        <v>46242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3846-2023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44951</v>
      </c>
      <c r="E621" s="1" t="n">
        <v>46242</v>
      </c>
      <c r="F621" t="inlineStr">
        <is>
          <t>VÄRMLANDS LÄN</t>
        </is>
      </c>
      <c r="G621" t="inlineStr">
        <is>
          <t>HAGFORS</t>
        </is>
      </c>
      <c r="H621" t="inlineStr">
        <is>
          <t>Kommuner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64936-2023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45282</v>
      </c>
      <c r="E622" s="1" t="n">
        <v>46242</v>
      </c>
      <c r="F622" t="inlineStr">
        <is>
          <t>VÄRMLANDS LÄN</t>
        </is>
      </c>
      <c r="G622" t="inlineStr">
        <is>
          <t>HAGFORS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3996-2025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45684</v>
      </c>
      <c r="E623" s="1" t="n">
        <v>46242</v>
      </c>
      <c r="F623" t="inlineStr">
        <is>
          <t>VÄRMLANDS LÄN</t>
        </is>
      </c>
      <c r="G623" t="inlineStr">
        <is>
          <t>HAGFORS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25276-2026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46176</v>
      </c>
      <c r="E624" s="1" t="n">
        <v>46242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20682-2024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45436</v>
      </c>
      <c r="E625" s="1" t="n">
        <v>46242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3426-2023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44949</v>
      </c>
      <c r="E626" s="1" t="n">
        <v>46242</v>
      </c>
      <c r="F626" t="inlineStr">
        <is>
          <t>VÄRMLANDS LÄN</t>
        </is>
      </c>
      <c r="G626" t="inlineStr">
        <is>
          <t>HAGFORS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25583-2026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46177</v>
      </c>
      <c r="E627" s="1" t="n">
        <v>46242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30327-2022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44760</v>
      </c>
      <c r="E628" s="1" t="n">
        <v>46242</v>
      </c>
      <c r="F628" t="inlineStr">
        <is>
          <t>VÄRMLANDS LÄN</t>
        </is>
      </c>
      <c r="G628" t="inlineStr">
        <is>
          <t>HAGFORS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19583-2023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45050</v>
      </c>
      <c r="E629" s="1" t="n">
        <v>46242</v>
      </c>
      <c r="F629" t="inlineStr">
        <is>
          <t>VÄRMLANDS LÄN</t>
        </is>
      </c>
      <c r="G629" t="inlineStr">
        <is>
          <t>HAGFORS</t>
        </is>
      </c>
      <c r="H629" t="inlineStr">
        <is>
          <t>Kommuner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25890-2026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46242</v>
      </c>
      <c r="F630" t="inlineStr">
        <is>
          <t>VÄRMLANDS LÄN</t>
        </is>
      </c>
      <c r="G630" t="inlineStr">
        <is>
          <t>HAGFORS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39029-2022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44817</v>
      </c>
      <c r="E631" s="1" t="n">
        <v>46242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45681</v>
      </c>
      <c r="E632" s="1" t="n">
        <v>46242</v>
      </c>
      <c r="F632" t="inlineStr">
        <is>
          <t>VÄRMLANDS LÄN</t>
        </is>
      </c>
      <c r="G632" t="inlineStr">
        <is>
          <t>HAGFORS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25589-2026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46242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25560-2026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46177</v>
      </c>
      <c r="E634" s="1" t="n">
        <v>46242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15228-2024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45400</v>
      </c>
      <c r="E635" s="1" t="n">
        <v>46242</v>
      </c>
      <c r="F635" t="inlineStr">
        <is>
          <t>VÄRMLANDS LÄN</t>
        </is>
      </c>
      <c r="G635" t="inlineStr">
        <is>
          <t>HAGFORS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26342-2026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46182</v>
      </c>
      <c r="E636" s="1" t="n">
        <v>46242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36.8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26012-2026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46181</v>
      </c>
      <c r="E637" s="1" t="n">
        <v>46242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26019-2026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46181</v>
      </c>
      <c r="E638" s="1" t="n">
        <v>46242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11744-2024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45373</v>
      </c>
      <c r="E639" s="1" t="n">
        <v>46242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45525</v>
      </c>
      <c r="E640" s="1" t="n">
        <v>46242</v>
      </c>
      <c r="F640" t="inlineStr">
        <is>
          <t>VÄRMLANDS LÄN</t>
        </is>
      </c>
      <c r="G640" t="inlineStr">
        <is>
          <t>HAGFORS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26265-2026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46182</v>
      </c>
      <c r="E641" s="1" t="n">
        <v>46242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26350-2026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46242</v>
      </c>
      <c r="F642" t="inlineStr">
        <is>
          <t>VÄRMLANDS LÄN</t>
        </is>
      </c>
      <c r="G642" t="inlineStr">
        <is>
          <t>HAGFORS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46242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33.4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46225</v>
      </c>
      <c r="E644" s="1" t="n">
        <v>46242</v>
      </c>
      <c r="F644" t="inlineStr">
        <is>
          <t>VÄRMLANDS LÄN</t>
        </is>
      </c>
      <c r="G644" t="inlineStr">
        <is>
          <t>HAGFORS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26740-2026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46242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9.5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30180-2023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45110</v>
      </c>
      <c r="E646" s="1" t="n">
        <v>46242</v>
      </c>
      <c r="F646" t="inlineStr">
        <is>
          <t>VÄRMLANDS LÄN</t>
        </is>
      </c>
      <c r="G646" t="inlineStr">
        <is>
          <t>HAGFORS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31690-2026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46226</v>
      </c>
      <c r="E647" s="1" t="n">
        <v>46242</v>
      </c>
      <c r="F647" t="inlineStr">
        <is>
          <t>VÄRMLANDS LÄN</t>
        </is>
      </c>
      <c r="G647" t="inlineStr">
        <is>
          <t>HAGFORS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31691-2026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46226</v>
      </c>
      <c r="E648" s="1" t="n">
        <v>46242</v>
      </c>
      <c r="F648" t="inlineStr">
        <is>
          <t>VÄRMLANDS LÄN</t>
        </is>
      </c>
      <c r="G648" t="inlineStr">
        <is>
          <t>HAGFORS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31671-2026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46225</v>
      </c>
      <c r="E649" s="1" t="n">
        <v>46242</v>
      </c>
      <c r="F649" t="inlineStr">
        <is>
          <t>VÄRMLANDS LÄN</t>
        </is>
      </c>
      <c r="G649" t="inlineStr">
        <is>
          <t>HAGFORS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26660-2026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46184</v>
      </c>
      <c r="E650" s="1" t="n">
        <v>46242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58808-2022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44903</v>
      </c>
      <c r="E651" s="1" t="n">
        <v>46242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26612-2026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46184</v>
      </c>
      <c r="E652" s="1" t="n">
        <v>46242</v>
      </c>
      <c r="F652" t="inlineStr">
        <is>
          <t>VÄRMLANDS LÄN</t>
        </is>
      </c>
      <c r="G652" t="inlineStr">
        <is>
          <t>HAGFORS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20652-2022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44700</v>
      </c>
      <c r="E653" s="1" t="n">
        <v>46242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27280-2026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46188</v>
      </c>
      <c r="E654" s="1" t="n">
        <v>46242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18170-2024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45420</v>
      </c>
      <c r="E655" s="1" t="n">
        <v>46242</v>
      </c>
      <c r="F655" t="inlineStr">
        <is>
          <t>VÄRMLANDS LÄN</t>
        </is>
      </c>
      <c r="G655" t="inlineStr">
        <is>
          <t>HAGFORS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26859-2026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46242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58132-2024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45632</v>
      </c>
      <c r="E657" s="1" t="n">
        <v>46242</v>
      </c>
      <c r="F657" t="inlineStr">
        <is>
          <t>VÄRMLANDS LÄN</t>
        </is>
      </c>
      <c r="G657" t="inlineStr">
        <is>
          <t>HAGFORS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27210-2026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46188</v>
      </c>
      <c r="E658" s="1" t="n">
        <v>46242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17.2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27306-2026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46188</v>
      </c>
      <c r="E659" s="1" t="n">
        <v>46242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45679</v>
      </c>
      <c r="E660" s="1" t="n">
        <v>46242</v>
      </c>
      <c r="F660" t="inlineStr">
        <is>
          <t>VÄRMLANDS LÄN</t>
        </is>
      </c>
      <c r="G660" t="inlineStr">
        <is>
          <t>HAGFORS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27268-2026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46188</v>
      </c>
      <c r="E661" s="1" t="n">
        <v>46242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26864-2026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46242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26846-2026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46242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18.2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46242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20.5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14897-2024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45398</v>
      </c>
      <c r="E665" s="1" t="n">
        <v>46242</v>
      </c>
      <c r="F665" t="inlineStr">
        <is>
          <t>VÄRMLANDS LÄN</t>
        </is>
      </c>
      <c r="G665" t="inlineStr">
        <is>
          <t>HAGFORS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46233</v>
      </c>
      <c r="E666" s="1" t="n">
        <v>46242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27472-2026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46189</v>
      </c>
      <c r="E667" s="1" t="n">
        <v>46242</v>
      </c>
      <c r="F667" t="inlineStr">
        <is>
          <t>VÄRMLANDS LÄN</t>
        </is>
      </c>
      <c r="G667" t="inlineStr">
        <is>
          <t>HAGFORS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46233</v>
      </c>
      <c r="E668" s="1" t="n">
        <v>46242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8.300000000000001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56808-2023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45244</v>
      </c>
      <c r="E669" s="1" t="n">
        <v>46242</v>
      </c>
      <c r="F669" t="inlineStr">
        <is>
          <t>VÄRMLANDS LÄN</t>
        </is>
      </c>
      <c r="G669" t="inlineStr">
        <is>
          <t>HAGFORS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5749-2022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44596</v>
      </c>
      <c r="E670" s="1" t="n">
        <v>46242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27394-2026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46189</v>
      </c>
      <c r="E671" s="1" t="n">
        <v>46242</v>
      </c>
      <c r="F671" t="inlineStr">
        <is>
          <t>VÄRMLANDS LÄN</t>
        </is>
      </c>
      <c r="G671" t="inlineStr">
        <is>
          <t>HAGFORS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27929-2026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46191</v>
      </c>
      <c r="E672" s="1" t="n">
        <v>46242</v>
      </c>
      <c r="F672" t="inlineStr">
        <is>
          <t>VÄRMLANDS LÄN</t>
        </is>
      </c>
      <c r="G672" t="inlineStr">
        <is>
          <t>HAGFORS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27799-2026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46191</v>
      </c>
      <c r="E673" s="1" t="n">
        <v>46242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27855-2026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46191</v>
      </c>
      <c r="E674" s="1" t="n">
        <v>46242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52378-2021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44465</v>
      </c>
      <c r="E675" s="1" t="n">
        <v>46242</v>
      </c>
      <c r="F675" t="inlineStr">
        <is>
          <t>VÄRMLANDS LÄN</t>
        </is>
      </c>
      <c r="G675" t="inlineStr">
        <is>
          <t>HAGFORS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32483-2026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46239</v>
      </c>
      <c r="E676" s="1" t="n">
        <v>46242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32490-2026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46239</v>
      </c>
      <c r="E677" s="1" t="n">
        <v>46242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19.3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20060-2023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45054</v>
      </c>
      <c r="E678" s="1" t="n">
        <v>46242</v>
      </c>
      <c r="F678" t="inlineStr">
        <is>
          <t>VÄRMLANDS LÄN</t>
        </is>
      </c>
      <c r="G678" t="inlineStr">
        <is>
          <t>HAGFORS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32507-2026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46239</v>
      </c>
      <c r="E679" s="1" t="n">
        <v>46242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49753-2023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45212</v>
      </c>
      <c r="E680" s="1" t="n">
        <v>46242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32535-2026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46239</v>
      </c>
      <c r="E681" s="1" t="n">
        <v>46242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60991-2024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45645</v>
      </c>
      <c r="E682" s="1" t="n">
        <v>46242</v>
      </c>
      <c r="F682" t="inlineStr">
        <is>
          <t>VÄRMLANDS LÄN</t>
        </is>
      </c>
      <c r="G682" t="inlineStr">
        <is>
          <t>HAGFORS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56888-2023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45244</v>
      </c>
      <c r="E683" s="1" t="n">
        <v>46242</v>
      </c>
      <c r="F683" t="inlineStr">
        <is>
          <t>VÄRMLANDS LÄN</t>
        </is>
      </c>
      <c r="G683" t="inlineStr">
        <is>
          <t>HAGFORS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28185-2026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46242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9.6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8304-2022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44610</v>
      </c>
      <c r="E685" s="1" t="n">
        <v>46242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32712-2026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46241</v>
      </c>
      <c r="E686" s="1" t="n">
        <v>46242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32721-2026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46241</v>
      </c>
      <c r="E687" s="1" t="n">
        <v>46242</v>
      </c>
      <c r="F687" t="inlineStr">
        <is>
          <t>VÄRMLANDS LÄN</t>
        </is>
      </c>
      <c r="G687" t="inlineStr">
        <is>
          <t>HAGFORS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3557-2023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44950</v>
      </c>
      <c r="E688" s="1" t="n">
        <v>46242</v>
      </c>
      <c r="F688" t="inlineStr">
        <is>
          <t>VÄRMLANDS LÄN</t>
        </is>
      </c>
      <c r="G688" t="inlineStr">
        <is>
          <t>HAGFORS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3566-2023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44950</v>
      </c>
      <c r="E689" s="1" t="n">
        <v>46242</v>
      </c>
      <c r="F689" t="inlineStr">
        <is>
          <t>VÄRMLANDS LÄN</t>
        </is>
      </c>
      <c r="G689" t="inlineStr">
        <is>
          <t>HAGFORS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28788-2026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46198</v>
      </c>
      <c r="E690" s="1" t="n">
        <v>46242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9.699999999999999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28720-2026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46242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28748-2026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46198</v>
      </c>
      <c r="E692" s="1" t="n">
        <v>46242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46242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33146-2024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45518</v>
      </c>
      <c r="E694" s="1" t="n">
        <v>46242</v>
      </c>
      <c r="F694" t="inlineStr">
        <is>
          <t>VÄRMLANDS LÄN</t>
        </is>
      </c>
      <c r="G694" t="inlineStr">
        <is>
          <t>HAGFORS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42223-2022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44830</v>
      </c>
      <c r="E695" s="1" t="n">
        <v>46242</v>
      </c>
      <c r="F695" t="inlineStr">
        <is>
          <t>VÄRMLANDS LÄN</t>
        </is>
      </c>
      <c r="G695" t="inlineStr">
        <is>
          <t>HAGFORS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32713-2026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46241</v>
      </c>
      <c r="E696" s="1" t="n">
        <v>46242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7.5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19125-2024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45428</v>
      </c>
      <c r="E697" s="1" t="n">
        <v>46242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19.5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11241-2024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45371</v>
      </c>
      <c r="E698" s="1" t="n">
        <v>46242</v>
      </c>
      <c r="F698" t="inlineStr">
        <is>
          <t>VÄRMLANDS LÄN</t>
        </is>
      </c>
      <c r="G698" t="inlineStr">
        <is>
          <t>HAGFORS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18585-2025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45763</v>
      </c>
      <c r="E699" s="1" t="n">
        <v>46242</v>
      </c>
      <c r="F699" t="inlineStr">
        <is>
          <t>VÄRMLANDS LÄN</t>
        </is>
      </c>
      <c r="G699" t="inlineStr">
        <is>
          <t>HAGFORS</t>
        </is>
      </c>
      <c r="H699" t="inlineStr">
        <is>
          <t>Kyrkan</t>
        </is>
      </c>
      <c r="I699" t="n">
        <v>7.9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47019-2023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45201</v>
      </c>
      <c r="E700" s="1" t="n">
        <v>46242</v>
      </c>
      <c r="F700" t="inlineStr">
        <is>
          <t>VÄRMLANDS LÄN</t>
        </is>
      </c>
      <c r="G700" t="inlineStr">
        <is>
          <t>HAGFORS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60664-2023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45259</v>
      </c>
      <c r="E701" s="1" t="n">
        <v>46242</v>
      </c>
      <c r="F701" t="inlineStr">
        <is>
          <t>VÄRMLANDS LÄN</t>
        </is>
      </c>
      <c r="G701" t="inlineStr">
        <is>
          <t>HAGFORS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35775-2024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45532</v>
      </c>
      <c r="E702" s="1" t="n">
        <v>46242</v>
      </c>
      <c r="F702" t="inlineStr">
        <is>
          <t>VÄRMLANDS LÄN</t>
        </is>
      </c>
      <c r="G702" t="inlineStr">
        <is>
          <t>HAGFORS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50929-2023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45211</v>
      </c>
      <c r="E703" s="1" t="n">
        <v>46242</v>
      </c>
      <c r="F703" t="inlineStr">
        <is>
          <t>VÄRMLANDS LÄN</t>
        </is>
      </c>
      <c r="G703" t="inlineStr">
        <is>
          <t>HAGFORS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57359-2022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44896</v>
      </c>
      <c r="E704" s="1" t="n">
        <v>46242</v>
      </c>
      <c r="F704" t="inlineStr">
        <is>
          <t>VÄRMLANDS LÄN</t>
        </is>
      </c>
      <c r="G704" t="inlineStr">
        <is>
          <t>HAGFORS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41092-2024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45559</v>
      </c>
      <c r="E705" s="1" t="n">
        <v>46242</v>
      </c>
      <c r="F705" t="inlineStr">
        <is>
          <t>VÄRMLANDS LÄN</t>
        </is>
      </c>
      <c r="G705" t="inlineStr">
        <is>
          <t>HAGFORS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58084-2024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45632</v>
      </c>
      <c r="E706" s="1" t="n">
        <v>46242</v>
      </c>
      <c r="F706" t="inlineStr">
        <is>
          <t>VÄRMLANDS LÄN</t>
        </is>
      </c>
      <c r="G706" t="inlineStr">
        <is>
          <t>HAGFORS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19702-2022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44694</v>
      </c>
      <c r="E707" s="1" t="n">
        <v>46242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22503-2024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45447</v>
      </c>
      <c r="E708" s="1" t="n">
        <v>46242</v>
      </c>
      <c r="F708" t="inlineStr">
        <is>
          <t>VÄRMLANDS LÄN</t>
        </is>
      </c>
      <c r="G708" t="inlineStr">
        <is>
          <t>HAGFORS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4279-2024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45324</v>
      </c>
      <c r="E709" s="1" t="n">
        <v>46242</v>
      </c>
      <c r="F709" t="inlineStr">
        <is>
          <t>VÄRMLANDS LÄN</t>
        </is>
      </c>
      <c r="G709" t="inlineStr">
        <is>
          <t>HAGFORS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920-2022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44571</v>
      </c>
      <c r="E710" s="1" t="n">
        <v>46242</v>
      </c>
      <c r="F710" t="inlineStr">
        <is>
          <t>VÄRMLANDS LÄN</t>
        </is>
      </c>
      <c r="G710" t="inlineStr">
        <is>
          <t>HAGFORS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22332-2024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45446</v>
      </c>
      <c r="E711" s="1" t="n">
        <v>46242</v>
      </c>
      <c r="F711" t="inlineStr">
        <is>
          <t>VÄRMLANDS LÄN</t>
        </is>
      </c>
      <c r="G711" t="inlineStr">
        <is>
          <t>HAGFORS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12426-2024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45379</v>
      </c>
      <c r="E712" s="1" t="n">
        <v>46242</v>
      </c>
      <c r="F712" t="inlineStr">
        <is>
          <t>VÄRMLANDS LÄN</t>
        </is>
      </c>
      <c r="G712" t="inlineStr">
        <is>
          <t>HAGFORS</t>
        </is>
      </c>
      <c r="I712" t="n">
        <v>0.1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8922-2025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45713</v>
      </c>
      <c r="E713" s="1" t="n">
        <v>46242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17882-2025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45758</v>
      </c>
      <c r="E714" s="1" t="n">
        <v>46242</v>
      </c>
      <c r="F714" t="inlineStr">
        <is>
          <t>VÄRMLANDS LÄN</t>
        </is>
      </c>
      <c r="G714" t="inlineStr">
        <is>
          <t>HAGFORS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7332-2025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45703</v>
      </c>
      <c r="E715" s="1" t="n">
        <v>46242</v>
      </c>
      <c r="F715" t="inlineStr">
        <is>
          <t>VÄRMLANDS LÄN</t>
        </is>
      </c>
      <c r="G715" t="inlineStr">
        <is>
          <t>HAGFORS</t>
        </is>
      </c>
      <c r="H715" t="inlineStr">
        <is>
          <t>Kyrkan</t>
        </is>
      </c>
      <c r="I715" t="n">
        <v>15.9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17329-2024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45414</v>
      </c>
      <c r="E716" s="1" t="n">
        <v>46242</v>
      </c>
      <c r="F716" t="inlineStr">
        <is>
          <t>VÄRMLANDS LÄN</t>
        </is>
      </c>
      <c r="G716" t="inlineStr">
        <is>
          <t>HAGFORS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3980-2025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45684</v>
      </c>
      <c r="E717" s="1" t="n">
        <v>46242</v>
      </c>
      <c r="F717" t="inlineStr">
        <is>
          <t>VÄRMLANDS LÄN</t>
        </is>
      </c>
      <c r="G717" t="inlineStr">
        <is>
          <t>HAGFORS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52924-2023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45226</v>
      </c>
      <c r="E718" s="1" t="n">
        <v>46242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1710-2025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45671</v>
      </c>
      <c r="E719" s="1" t="n">
        <v>46242</v>
      </c>
      <c r="F719" t="inlineStr">
        <is>
          <t>VÄRMLANDS LÄN</t>
        </is>
      </c>
      <c r="G719" t="inlineStr">
        <is>
          <t>HAGFORS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48276-2024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45590</v>
      </c>
      <c r="E720" s="1" t="n">
        <v>46242</v>
      </c>
      <c r="F720" t="inlineStr">
        <is>
          <t>VÄRMLANDS LÄN</t>
        </is>
      </c>
      <c r="G720" t="inlineStr">
        <is>
          <t>HAGFORS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54751-2022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44883</v>
      </c>
      <c r="E721" s="1" t="n">
        <v>46242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32149-2023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45107</v>
      </c>
      <c r="E722" s="1" t="n">
        <v>46242</v>
      </c>
      <c r="F722" t="inlineStr">
        <is>
          <t>VÄRMLANDS LÄN</t>
        </is>
      </c>
      <c r="G722" t="inlineStr">
        <is>
          <t>HAGFORS</t>
        </is>
      </c>
      <c r="I722" t="n">
        <v>9.1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52494-2024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45609</v>
      </c>
      <c r="E723" s="1" t="n">
        <v>46242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5338-2025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45692</v>
      </c>
      <c r="E724" s="1" t="n">
        <v>46242</v>
      </c>
      <c r="F724" t="inlineStr">
        <is>
          <t>VÄRMLANDS LÄN</t>
        </is>
      </c>
      <c r="G724" t="inlineStr">
        <is>
          <t>HAGFORS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10562-2024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45366</v>
      </c>
      <c r="E725" s="1" t="n">
        <v>46242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7.1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5482-2022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44595</v>
      </c>
      <c r="E726" s="1" t="n">
        <v>46242</v>
      </c>
      <c r="F726" t="inlineStr">
        <is>
          <t>VÄRMLANDS LÄN</t>
        </is>
      </c>
      <c r="G726" t="inlineStr">
        <is>
          <t>HAGFORS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60167-2023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45258</v>
      </c>
      <c r="E727" s="1" t="n">
        <v>46242</v>
      </c>
      <c r="F727" t="inlineStr">
        <is>
          <t>VÄRMLANDS LÄN</t>
        </is>
      </c>
      <c r="G727" t="inlineStr">
        <is>
          <t>HAGFORS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60178-2023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45258</v>
      </c>
      <c r="E728" s="1" t="n">
        <v>46242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4748-2024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45328</v>
      </c>
      <c r="E729" s="1" t="n">
        <v>46242</v>
      </c>
      <c r="F729" t="inlineStr">
        <is>
          <t>VÄRMLANDS LÄN</t>
        </is>
      </c>
      <c r="G729" t="inlineStr">
        <is>
          <t>HAGFORS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16525-2023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45029</v>
      </c>
      <c r="E730" s="1" t="n">
        <v>46242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41603-2023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45175</v>
      </c>
      <c r="E731" s="1" t="n">
        <v>46242</v>
      </c>
      <c r="F731" t="inlineStr">
        <is>
          <t>VÄRMLANDS LÄN</t>
        </is>
      </c>
      <c r="G731" t="inlineStr">
        <is>
          <t>HAGFORS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12673-2024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45384</v>
      </c>
      <c r="E732" s="1" t="n">
        <v>46242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11367-2025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45726</v>
      </c>
      <c r="E733" s="1" t="n">
        <v>46242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56895-2023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45244</v>
      </c>
      <c r="E734" s="1" t="n">
        <v>46242</v>
      </c>
      <c r="F734" t="inlineStr">
        <is>
          <t>VÄRMLANDS LÄN</t>
        </is>
      </c>
      <c r="G734" t="inlineStr">
        <is>
          <t>HAGFORS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2371-2025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45673</v>
      </c>
      <c r="E735" s="1" t="n">
        <v>46242</v>
      </c>
      <c r="F735" t="inlineStr">
        <is>
          <t>VÄRMLANDS LÄN</t>
        </is>
      </c>
      <c r="G735" t="inlineStr">
        <is>
          <t>HAGFORS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42150-2024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45562</v>
      </c>
      <c r="E736" s="1" t="n">
        <v>46242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40835-2023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45172</v>
      </c>
      <c r="E737" s="1" t="n">
        <v>46242</v>
      </c>
      <c r="F737" t="inlineStr">
        <is>
          <t>VÄRMLANDS LÄN</t>
        </is>
      </c>
      <c r="G737" t="inlineStr">
        <is>
          <t>HAGFORS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47028-2023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45201</v>
      </c>
      <c r="E738" s="1" t="n">
        <v>46242</v>
      </c>
      <c r="F738" t="inlineStr">
        <is>
          <t>VÄRMLANDS LÄN</t>
        </is>
      </c>
      <c r="G738" t="inlineStr">
        <is>
          <t>HAGFORS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30520-2024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45492</v>
      </c>
      <c r="E739" s="1" t="n">
        <v>46242</v>
      </c>
      <c r="F739" t="inlineStr">
        <is>
          <t>VÄRMLANDS LÄN</t>
        </is>
      </c>
      <c r="G739" t="inlineStr">
        <is>
          <t>HAGFORS</t>
        </is>
      </c>
      <c r="H739" t="inlineStr">
        <is>
          <t>Kyrkan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33399-2024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45519</v>
      </c>
      <c r="E740" s="1" t="n">
        <v>46242</v>
      </c>
      <c r="F740" t="inlineStr">
        <is>
          <t>VÄRMLANDS LÄN</t>
        </is>
      </c>
      <c r="G740" t="inlineStr">
        <is>
          <t>HAGFORS</t>
        </is>
      </c>
      <c r="I740" t="n">
        <v>8.4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10236-2022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44622</v>
      </c>
      <c r="E741" s="1" t="n">
        <v>46242</v>
      </c>
      <c r="F741" t="inlineStr">
        <is>
          <t>VÄRMLANDS LÄN</t>
        </is>
      </c>
      <c r="G741" t="inlineStr">
        <is>
          <t>HAGFORS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46792-2022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44851</v>
      </c>
      <c r="E742" s="1" t="n">
        <v>46242</v>
      </c>
      <c r="F742" t="inlineStr">
        <is>
          <t>VÄRMLANDS LÄN</t>
        </is>
      </c>
      <c r="G742" t="inlineStr">
        <is>
          <t>HAGFORS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32033-2024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45510</v>
      </c>
      <c r="E743" s="1" t="n">
        <v>46242</v>
      </c>
      <c r="F743" t="inlineStr">
        <is>
          <t>VÄRMLANDS LÄN</t>
        </is>
      </c>
      <c r="G743" t="inlineStr">
        <is>
          <t>HAGFORS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54744-2024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45618</v>
      </c>
      <c r="E744" s="1" t="n">
        <v>46242</v>
      </c>
      <c r="F744" t="inlineStr">
        <is>
          <t>VÄRMLANDS LÄN</t>
        </is>
      </c>
      <c r="G744" t="inlineStr">
        <is>
          <t>HAGFORS</t>
        </is>
      </c>
      <c r="H744" t="inlineStr">
        <is>
          <t>Kyrkan</t>
        </is>
      </c>
      <c r="I744" t="n">
        <v>8.800000000000001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39640-2022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44817</v>
      </c>
      <c r="E745" s="1" t="n">
        <v>46242</v>
      </c>
      <c r="F745" t="inlineStr">
        <is>
          <t>VÄRMLANDS LÄN</t>
        </is>
      </c>
      <c r="G745" t="inlineStr">
        <is>
          <t>HAGFORS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1931-2024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45308</v>
      </c>
      <c r="E746" s="1" t="n">
        <v>46242</v>
      </c>
      <c r="F746" t="inlineStr">
        <is>
          <t>VÄRMLANDS LÄN</t>
        </is>
      </c>
      <c r="G746" t="inlineStr">
        <is>
          <t>HAGFORS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57159-2024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45629</v>
      </c>
      <c r="E747" s="1" t="n">
        <v>46242</v>
      </c>
      <c r="F747" t="inlineStr">
        <is>
          <t>VÄRMLANDS LÄN</t>
        </is>
      </c>
      <c r="G747" t="inlineStr">
        <is>
          <t>HAGFORS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34404-2023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45132</v>
      </c>
      <c r="E748" s="1" t="n">
        <v>46242</v>
      </c>
      <c r="F748" t="inlineStr">
        <is>
          <t>VÄRMLANDS LÄN</t>
        </is>
      </c>
      <c r="G748" t="inlineStr">
        <is>
          <t>HAGFORS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11160-2025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45723</v>
      </c>
      <c r="E749" s="1" t="n">
        <v>46242</v>
      </c>
      <c r="F749" t="inlineStr">
        <is>
          <t>VÄRMLANDS LÄN</t>
        </is>
      </c>
      <c r="G749" t="inlineStr">
        <is>
          <t>HAGFORS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43998-2024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45572</v>
      </c>
      <c r="E750" s="1" t="n">
        <v>46242</v>
      </c>
      <c r="F750" t="inlineStr">
        <is>
          <t>VÄRMLANDS LÄN</t>
        </is>
      </c>
      <c r="G750" t="inlineStr">
        <is>
          <t>HAGFORS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13282-2024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45386</v>
      </c>
      <c r="E751" s="1" t="n">
        <v>46242</v>
      </c>
      <c r="F751" t="inlineStr">
        <is>
          <t>VÄRMLANDS LÄN</t>
        </is>
      </c>
      <c r="G751" t="inlineStr">
        <is>
          <t>HAGFORS</t>
        </is>
      </c>
      <c r="H751" t="inlineStr">
        <is>
          <t>Kommuner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44728-2023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45190</v>
      </c>
      <c r="E752" s="1" t="n">
        <v>46242</v>
      </c>
      <c r="F752" t="inlineStr">
        <is>
          <t>VÄRMLANDS LÄN</t>
        </is>
      </c>
      <c r="G752" t="inlineStr">
        <is>
          <t>HAGFORS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42168-2024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45562</v>
      </c>
      <c r="E753" s="1" t="n">
        <v>46242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46242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42171-2024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45562</v>
      </c>
      <c r="E755" s="1" t="n">
        <v>46242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42243-2024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45562</v>
      </c>
      <c r="E756" s="1" t="n">
        <v>46242</v>
      </c>
      <c r="F756" t="inlineStr">
        <is>
          <t>VÄRMLANDS LÄN</t>
        </is>
      </c>
      <c r="G756" t="inlineStr">
        <is>
          <t>HAGFORS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6980-2022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44603</v>
      </c>
      <c r="E757" s="1" t="n">
        <v>46242</v>
      </c>
      <c r="F757" t="inlineStr">
        <is>
          <t>VÄRMLANDS LÄN</t>
        </is>
      </c>
      <c r="G757" t="inlineStr">
        <is>
          <t>HAGFORS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36013-2023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45149</v>
      </c>
      <c r="E758" s="1" t="n">
        <v>46242</v>
      </c>
      <c r="F758" t="inlineStr">
        <is>
          <t>VÄRMLANDS LÄN</t>
        </is>
      </c>
      <c r="G758" t="inlineStr">
        <is>
          <t>HAGFORS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61311-2023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45264</v>
      </c>
      <c r="E759" s="1" t="n">
        <v>46242</v>
      </c>
      <c r="F759" t="inlineStr">
        <is>
          <t>VÄRMLANDS LÄN</t>
        </is>
      </c>
      <c r="G759" t="inlineStr">
        <is>
          <t>HAGFORS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61315-2023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45264</v>
      </c>
      <c r="E760" s="1" t="n">
        <v>46242</v>
      </c>
      <c r="F760" t="inlineStr">
        <is>
          <t>VÄRMLANDS LÄN</t>
        </is>
      </c>
      <c r="G760" t="inlineStr">
        <is>
          <t>HAGFORS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18907-2025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45764</v>
      </c>
      <c r="E761" s="1" t="n">
        <v>46242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17305-2023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45035</v>
      </c>
      <c r="E762" s="1" t="n">
        <v>46242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31178-2022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44770</v>
      </c>
      <c r="E763" s="1" t="n">
        <v>46242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59552-2024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45638</v>
      </c>
      <c r="E764" s="1" t="n">
        <v>46242</v>
      </c>
      <c r="F764" t="inlineStr">
        <is>
          <t>VÄRMLANDS LÄN</t>
        </is>
      </c>
      <c r="G764" t="inlineStr">
        <is>
          <t>HAGFORS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21067-2025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45777</v>
      </c>
      <c r="E765" s="1" t="n">
        <v>46242</v>
      </c>
      <c r="F765" t="inlineStr">
        <is>
          <t>VÄRMLANDS LÄN</t>
        </is>
      </c>
      <c r="G765" t="inlineStr">
        <is>
          <t>HAGFORS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21723-2025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45783</v>
      </c>
      <c r="E766" s="1" t="n">
        <v>46242</v>
      </c>
      <c r="F766" t="inlineStr">
        <is>
          <t>VÄRMLANDS LÄN</t>
        </is>
      </c>
      <c r="G766" t="inlineStr">
        <is>
          <t>HAGFORS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24680-2024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45460</v>
      </c>
      <c r="E767" s="1" t="n">
        <v>46242</v>
      </c>
      <c r="F767" t="inlineStr">
        <is>
          <t>VÄRMLANDS LÄN</t>
        </is>
      </c>
      <c r="G767" t="inlineStr">
        <is>
          <t>HAGFORS</t>
        </is>
      </c>
      <c r="I767" t="n">
        <v>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17833-2022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44683</v>
      </c>
      <c r="E768" s="1" t="n">
        <v>46242</v>
      </c>
      <c r="F768" t="inlineStr">
        <is>
          <t>VÄRMLANDS LÄN</t>
        </is>
      </c>
      <c r="G768" t="inlineStr">
        <is>
          <t>HAGFORS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47425-2024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45587</v>
      </c>
      <c r="E769" s="1" t="n">
        <v>46242</v>
      </c>
      <c r="F769" t="inlineStr">
        <is>
          <t>VÄRMLANDS LÄN</t>
        </is>
      </c>
      <c r="G769" t="inlineStr">
        <is>
          <t>HAGFORS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40332-2023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45169</v>
      </c>
      <c r="E770" s="1" t="n">
        <v>46242</v>
      </c>
      <c r="F770" t="inlineStr">
        <is>
          <t>VÄRMLANDS LÄN</t>
        </is>
      </c>
      <c r="G770" t="inlineStr">
        <is>
          <t>HAGFORS</t>
        </is>
      </c>
      <c r="I770" t="n">
        <v>6.3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22799-2025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45789</v>
      </c>
      <c r="E771" s="1" t="n">
        <v>46242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22461-2025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45786</v>
      </c>
      <c r="E772" s="1" t="n">
        <v>46242</v>
      </c>
      <c r="F772" t="inlineStr">
        <is>
          <t>VÄRMLANDS LÄN</t>
        </is>
      </c>
      <c r="G772" t="inlineStr">
        <is>
          <t>HAGFORS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23268-2025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45791</v>
      </c>
      <c r="E773" s="1" t="n">
        <v>46242</v>
      </c>
      <c r="F773" t="inlineStr">
        <is>
          <t>VÄRMLANDS LÄN</t>
        </is>
      </c>
      <c r="G773" t="inlineStr">
        <is>
          <t>HAGFORS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22917-2025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45790</v>
      </c>
      <c r="E774" s="1" t="n">
        <v>46242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38239-2024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45545</v>
      </c>
      <c r="E775" s="1" t="n">
        <v>46242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5.1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22964-2025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45790</v>
      </c>
      <c r="E776" s="1" t="n">
        <v>46242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55950-2024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45623</v>
      </c>
      <c r="E777" s="1" t="n">
        <v>46242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23556-2025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45792</v>
      </c>
      <c r="E778" s="1" t="n">
        <v>46242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23525-2025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45792</v>
      </c>
      <c r="E779" s="1" t="n">
        <v>46242</v>
      </c>
      <c r="F779" t="inlineStr">
        <is>
          <t>VÄRMLANDS LÄN</t>
        </is>
      </c>
      <c r="G779" t="inlineStr">
        <is>
          <t>HAGFORS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23674-2025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45793</v>
      </c>
      <c r="E780" s="1" t="n">
        <v>46242</v>
      </c>
      <c r="F780" t="inlineStr">
        <is>
          <t>VÄRMLANDS LÄN</t>
        </is>
      </c>
      <c r="G780" t="inlineStr">
        <is>
          <t>HAGFORS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23712-2025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45793</v>
      </c>
      <c r="E781" s="1" t="n">
        <v>46242</v>
      </c>
      <c r="F781" t="inlineStr">
        <is>
          <t>VÄRMLANDS LÄN</t>
        </is>
      </c>
      <c r="G781" t="inlineStr">
        <is>
          <t>HAGFORS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54008-2024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45615</v>
      </c>
      <c r="E782" s="1" t="n">
        <v>46242</v>
      </c>
      <c r="F782" t="inlineStr">
        <is>
          <t>VÄRMLANDS LÄN</t>
        </is>
      </c>
      <c r="G782" t="inlineStr">
        <is>
          <t>HAGFORS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16798-2025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45754</v>
      </c>
      <c r="E783" s="1" t="n">
        <v>46242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15643-2024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45404</v>
      </c>
      <c r="E784" s="1" t="n">
        <v>46242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6.1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24434-2025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45797</v>
      </c>
      <c r="E785" s="1" t="n">
        <v>46242</v>
      </c>
      <c r="F785" t="inlineStr">
        <is>
          <t>VÄRMLANDS LÄN</t>
        </is>
      </c>
      <c r="G785" t="inlineStr">
        <is>
          <t>HAGFORS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24435-2025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45797</v>
      </c>
      <c r="E786" s="1" t="n">
        <v>46242</v>
      </c>
      <c r="F786" t="inlineStr">
        <is>
          <t>VÄRMLANDS LÄN</t>
        </is>
      </c>
      <c r="G786" t="inlineStr">
        <is>
          <t>HAGFORS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24438-2025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45797</v>
      </c>
      <c r="E787" s="1" t="n">
        <v>46242</v>
      </c>
      <c r="F787" t="inlineStr">
        <is>
          <t>VÄRMLANDS LÄN</t>
        </is>
      </c>
      <c r="G787" t="inlineStr">
        <is>
          <t>HAGFORS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13524-2025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45736</v>
      </c>
      <c r="E788" s="1" t="n">
        <v>46242</v>
      </c>
      <c r="F788" t="inlineStr">
        <is>
          <t>VÄRMLANDS LÄN</t>
        </is>
      </c>
      <c r="G788" t="inlineStr">
        <is>
          <t>HAGFORS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2225-2020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44127</v>
      </c>
      <c r="E789" s="1" t="n">
        <v>46242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2050-2022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44671</v>
      </c>
      <c r="E790" s="1" t="n">
        <v>46242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4419-2023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45266</v>
      </c>
      <c r="E791" s="1" t="n">
        <v>46242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35.6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4420-2023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45266</v>
      </c>
      <c r="E792" s="1" t="n">
        <v>46242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937-2022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44606</v>
      </c>
      <c r="E793" s="1" t="n">
        <v>46242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59.4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4426-2023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46242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9.699999999999999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5512-2022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44834</v>
      </c>
      <c r="E795" s="1" t="n">
        <v>46242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29.9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931-2022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44606</v>
      </c>
      <c r="E796" s="1" t="n">
        <v>46242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49.5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4415-2023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46242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9.199999999999999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262-2022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44578</v>
      </c>
      <c r="E798" s="1" t="n">
        <v>46242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78.90000000000001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6970-2022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44901</v>
      </c>
      <c r="E799" s="1" t="n">
        <v>46242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29.3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4408-2023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46242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6968-2022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44901</v>
      </c>
      <c r="E801" s="1" t="n">
        <v>46242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4423-2023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46242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4418-2023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45266</v>
      </c>
      <c r="E803" s="1" t="n">
        <v>46242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19.1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907-2022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46242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43.5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651-2024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45356</v>
      </c>
      <c r="E805" s="1" t="n">
        <v>46242</v>
      </c>
      <c r="F805" t="inlineStr">
        <is>
          <t>VÄRMLANDS LÄN</t>
        </is>
      </c>
      <c r="G805" t="inlineStr">
        <is>
          <t>HAGFORS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913-2022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44606</v>
      </c>
      <c r="E806" s="1" t="n">
        <v>46242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4145-2023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45247</v>
      </c>
      <c r="E807" s="1" t="n">
        <v>46242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6967-2022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46242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27.1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89-2025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45316</v>
      </c>
      <c r="E809" s="1" t="n">
        <v>46242</v>
      </c>
      <c r="F809" t="inlineStr">
        <is>
          <t>VÄRMLANDS LÄN</t>
        </is>
      </c>
      <c r="G809" t="inlineStr">
        <is>
          <t>HAGFORS</t>
        </is>
      </c>
      <c r="I809" t="n">
        <v>6.3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6969-2022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46242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220-2025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45680</v>
      </c>
      <c r="E811" s="1" t="n">
        <v>46242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898-2022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46242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4150-2023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45247</v>
      </c>
      <c r="E813" s="1" t="n">
        <v>46242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4410-2023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46242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39.3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900-2022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44606</v>
      </c>
      <c r="E815" s="1" t="n">
        <v>46242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914-2022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44606</v>
      </c>
      <c r="E816" s="1" t="n">
        <v>46242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19.3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4409-2023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46242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4155-2023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46242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4140-2023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46242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46242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6973-2022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44901</v>
      </c>
      <c r="E821" s="1" t="n">
        <v>46242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4143-2023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46242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4407-2023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46242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6965-2022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44901</v>
      </c>
      <c r="E824" s="1" t="n">
        <v>46242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662-2025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45716</v>
      </c>
      <c r="E825" s="1" t="n">
        <v>46242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52.4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108-2026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46037</v>
      </c>
      <c r="E826" s="1" t="n">
        <v>46242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204.4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102-2026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46036</v>
      </c>
      <c r="E827" s="1" t="n">
        <v>46242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57.9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60-2026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46013</v>
      </c>
      <c r="E828" s="1" t="n">
        <v>46242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382-2025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45691</v>
      </c>
      <c r="E829" s="1" t="n">
        <v>46242</v>
      </c>
      <c r="F829" t="inlineStr">
        <is>
          <t>VÄRMLANDS LÄN</t>
        </is>
      </c>
      <c r="G829" t="inlineStr">
        <is>
          <t>HAGFORS</t>
        </is>
      </c>
      <c r="I829" t="n">
        <v>5.8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2026-08-08T01:56:07Z</dcterms:created>
  <dcterms:modified xmlns:dcterms="http://purl.org/dc/terms/" xmlns:xsi="http://www.w3.org/2001/XMLSchema-instance" xsi:type="dcterms:W3CDTF">2026-08-08T01:56:08Z</dcterms:modified>
</cp:coreProperties>
</file>