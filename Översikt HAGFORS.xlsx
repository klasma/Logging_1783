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46252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46252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46252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46252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46252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46252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46252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46252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46252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46252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46252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46252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45073-2021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46252</v>
      </c>
      <c r="F23" t="inlineStr">
        <is>
          <t>VÄRMLANDS LÄN</t>
        </is>
      </c>
      <c r="G23" t="inlineStr">
        <is>
          <t>HAGFORS</t>
        </is>
      </c>
      <c r="H23" t="inlineStr">
        <is>
          <t>Kyrkan</t>
        </is>
      </c>
      <c r="I23" t="n">
        <v>0.6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4</v>
      </c>
      <c r="V23" s="2" t="inlineStr">
        <is>
          <t>Garnlav
Vedticka</t>
        </is>
      </c>
      <c r="W23">
        <f>HYPERLINK("https://klasma.github.io/Logging_1783/artfynd/A 45073-2021 artfynd.xlsx", "A 45073-2021")</f>
        <v/>
      </c>
      <c r="X23">
        <f>HYPERLINK("https://klasma.github.io/Logging_1783/kartor/A 45073-2021 karta.png", "A 45073-2021")</f>
        <v/>
      </c>
      <c r="Y23">
        <f>HYPERLINK("https://klasma.github.io/Logging_1783/kartor_geotiff/A 45073-2021 georefererad karta.tif", "A 45073-2021")</f>
        <v/>
      </c>
      <c r="AA23">
        <f>HYPERLINK("https://klasma.github.io/Logging_1783/klagomål/A 45073-2021 FSC-klagomål.docx", "A 45073-2021")</f>
        <v/>
      </c>
      <c r="AB23">
        <f>HYPERLINK("https://klasma.github.io/Logging_1783/klagomålsmail/A 45073-2021 FSC-klagomål mail.docx", "A 45073-2021")</f>
        <v/>
      </c>
      <c r="AC23">
        <f>HYPERLINK("https://klasma.github.io/Logging_1783/tillsyn/A 45073-2021 tillsynsbegäran.docx", "A 45073-2021")</f>
        <v/>
      </c>
      <c r="AD23">
        <f>HYPERLINK("https://klasma.github.io/Logging_1783/tillsynsmail/A 45073-2021 tillsynsbegäran mail.docx", "A 45073-2021")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46252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46252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46252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46252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46252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46252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46252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46252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26624-2025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45810</v>
      </c>
      <c r="E32" s="1" t="n">
        <v>46252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HYPERLINK("https://klasma.github.io/Logging_1783/artfynd/A 26624-2025 artfynd.xlsx", "A 26624-2025")</f>
        <v/>
      </c>
      <c r="X32">
        <f>HYPERLINK("https://klasma.github.io/Logging_1783/kartor/A 26624-2025 karta.png", "A 26624-2025")</f>
        <v/>
      </c>
      <c r="Y32">
        <f>HYPERLINK("https://klasma.github.io/Logging_1783/kartor_geotiff/A 26624-2025 georefererad karta.tif", "A 26624-2025")</f>
        <v/>
      </c>
      <c r="AA32">
        <f>HYPERLINK("https://klasma.github.io/Logging_1783/klagomål/A 26624-2025 FSC-klagomål.docx", "A 26624-2025")</f>
        <v/>
      </c>
      <c r="AB32">
        <f>HYPERLINK("https://klasma.github.io/Logging_1783/klagomålsmail/A 26624-2025 FSC-klagomål mail.docx", "A 26624-2025")</f>
        <v/>
      </c>
      <c r="AC32">
        <f>HYPERLINK("https://klasma.github.io/Logging_1783/tillsyn/A 26624-2025 tillsynsbegäran.docx", "A 26624-2025")</f>
        <v/>
      </c>
      <c r="AD32">
        <f>HYPERLINK("https://klasma.github.io/Logging_1783/tillsynsmail/A 26624-2025 tillsynsbegäran mail.docx", "A 26624-2025")</f>
        <v/>
      </c>
    </row>
    <row r="33" ht="15" customHeight="1">
      <c r="A33" t="inlineStr">
        <is>
          <t>A 15219-2025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46252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15.8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Borsttagging</t>
        </is>
      </c>
      <c r="W33">
        <f>HYPERLINK("https://klasma.github.io/Logging_1783/artfynd/A 15219-2025 artfynd.xlsx", "A 15219-2025")</f>
        <v/>
      </c>
      <c r="X33">
        <f>HYPERLINK("https://klasma.github.io/Logging_1783/kartor/A 15219-2025 karta.png", "A 15219-2025")</f>
        <v/>
      </c>
      <c r="Y33">
        <f>HYPERLINK("https://klasma.github.io/Logging_1783/kartor_geotiff/A 15219-2025 georefererad karta.tif", "A 15219-2025")</f>
        <v/>
      </c>
      <c r="AA33">
        <f>HYPERLINK("https://klasma.github.io/Logging_1783/klagomål/A 15219-2025 FSC-klagomål.docx", "A 15219-2025")</f>
        <v/>
      </c>
      <c r="AB33">
        <f>HYPERLINK("https://klasma.github.io/Logging_1783/klagomålsmail/A 15219-2025 FSC-klagomål mail.docx", "A 15219-2025")</f>
        <v/>
      </c>
      <c r="AC33">
        <f>HYPERLINK("https://klasma.github.io/Logging_1783/tillsyn/A 15219-2025 tillsynsbegäran.docx", "A 15219-2025")</f>
        <v/>
      </c>
      <c r="AD33">
        <f>HYPERLINK("https://klasma.github.io/Logging_1783/tillsynsmail/A 15219-2025 tillsynsbegäran mail.docx", "A 15219-2025")</f>
        <v/>
      </c>
    </row>
    <row r="34" ht="15" customHeight="1">
      <c r="A34" t="inlineStr">
        <is>
          <t>A 16319-2023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45028</v>
      </c>
      <c r="E34" s="1" t="n">
        <v>46252</v>
      </c>
      <c r="F34" t="inlineStr">
        <is>
          <t>VÄRMLANDS LÄN</t>
        </is>
      </c>
      <c r="G34" t="inlineStr">
        <is>
          <t>HAGFORS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HYPERLINK("https://klasma.github.io/Logging_1783/artfynd/A 16319-2023 artfynd.xlsx", "A 16319-2023")</f>
        <v/>
      </c>
      <c r="X34">
        <f>HYPERLINK("https://klasma.github.io/Logging_1783/kartor/A 16319-2023 karta.png", "A 16319-2023")</f>
        <v/>
      </c>
      <c r="Y34">
        <f>HYPERLINK("https://klasma.github.io/Logging_1783/kartor_geotiff/A 16319-2023 georefererad karta.tif", "A 16319-2023")</f>
        <v/>
      </c>
      <c r="AA34">
        <f>HYPERLINK("https://klasma.github.io/Logging_1783/klagomål/A 16319-2023 FSC-klagomål.docx", "A 16319-2023")</f>
        <v/>
      </c>
      <c r="AB34">
        <f>HYPERLINK("https://klasma.github.io/Logging_1783/klagomålsmail/A 16319-2023 FSC-klagomål mail.docx", "A 16319-2023")</f>
        <v/>
      </c>
      <c r="AC34">
        <f>HYPERLINK("https://klasma.github.io/Logging_1783/tillsyn/A 16319-2023 tillsynsbegäran.docx", "A 16319-2023")</f>
        <v/>
      </c>
      <c r="AD34">
        <f>HYPERLINK("https://klasma.github.io/Logging_1783/tillsynsmail/A 16319-2023 tillsynsbegäran mail.docx", "A 16319-2023")</f>
        <v/>
      </c>
    </row>
    <row r="35" ht="15" customHeight="1">
      <c r="A35" t="inlineStr">
        <is>
          <t>A 33848-2025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46252</v>
      </c>
      <c r="F35" t="inlineStr">
        <is>
          <t>VÄRMLANDS LÄN</t>
        </is>
      </c>
      <c r="G35" t="inlineStr">
        <is>
          <t>HAGFORS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HYPERLINK("https://klasma.github.io/Logging_1783/artfynd/A 33848-2025 artfynd.xlsx", "A 33848-2025")</f>
        <v/>
      </c>
      <c r="X35">
        <f>HYPERLINK("https://klasma.github.io/Logging_1783/kartor/A 33848-2025 karta.png", "A 33848-2025")</f>
        <v/>
      </c>
      <c r="Y35">
        <f>HYPERLINK("https://klasma.github.io/Logging_1783/kartor_geotiff/A 33848-2025 georefererad karta.tif", "A 33848-2025")</f>
        <v/>
      </c>
      <c r="AA35">
        <f>HYPERLINK("https://klasma.github.io/Logging_1783/klagomål/A 33848-2025 FSC-klagomål.docx", "A 33848-2025")</f>
        <v/>
      </c>
      <c r="AB35">
        <f>HYPERLINK("https://klasma.github.io/Logging_1783/klagomålsmail/A 33848-2025 FSC-klagomål mail.docx", "A 33848-2025")</f>
        <v/>
      </c>
      <c r="AC35">
        <f>HYPERLINK("https://klasma.github.io/Logging_1783/tillsyn/A 33848-2025 tillsynsbegäran.docx", "A 33848-2025")</f>
        <v/>
      </c>
      <c r="AD35">
        <f>HYPERLINK("https://klasma.github.io/Logging_1783/tillsynsmail/A 33848-2025 tillsynsbegäran mail.docx", "A 33848-2025")</f>
        <v/>
      </c>
    </row>
    <row r="36" ht="15" customHeight="1">
      <c r="A36" t="inlineStr">
        <is>
          <t>A 33905-2025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45842</v>
      </c>
      <c r="E36" s="1" t="n">
        <v>46252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7.8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33905-2025 artfynd.xlsx", "A 33905-2025")</f>
        <v/>
      </c>
      <c r="X36">
        <f>HYPERLINK("https://klasma.github.io/Logging_1783/kartor/A 33905-2025 karta.png", "A 33905-2025")</f>
        <v/>
      </c>
      <c r="Y36">
        <f>HYPERLINK("https://klasma.github.io/Logging_1783/kartor_geotiff/A 33905-2025 georefererad karta.tif", "A 33905-2025")</f>
        <v/>
      </c>
      <c r="AA36">
        <f>HYPERLINK("https://klasma.github.io/Logging_1783/klagomål/A 33905-2025 FSC-klagomål.docx", "A 33905-2025")</f>
        <v/>
      </c>
      <c r="AB36">
        <f>HYPERLINK("https://klasma.github.io/Logging_1783/klagomålsmail/A 33905-2025 FSC-klagomål mail.docx", "A 33905-2025")</f>
        <v/>
      </c>
      <c r="AC36">
        <f>HYPERLINK("https://klasma.github.io/Logging_1783/tillsyn/A 33905-2025 tillsynsbegäran.docx", "A 33905-2025")</f>
        <v/>
      </c>
      <c r="AD36">
        <f>HYPERLINK("https://klasma.github.io/Logging_1783/tillsynsmail/A 33905-2025 tillsynsbegäran mail.docx", "A 33905-2025")</f>
        <v/>
      </c>
    </row>
    <row r="37" ht="15" customHeight="1">
      <c r="A37" t="inlineStr">
        <is>
          <t>A 20119-2025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46252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20119-2025 artfynd.xlsx", "A 20119-2025")</f>
        <v/>
      </c>
      <c r="X37">
        <f>HYPERLINK("https://klasma.github.io/Logging_1783/kartor/A 20119-2025 karta.png", "A 20119-2025")</f>
        <v/>
      </c>
      <c r="Y37">
        <f>HYPERLINK("https://klasma.github.io/Logging_1783/kartor_geotiff/A 20119-2025 georefererad karta.tif", "A 20119-2025")</f>
        <v/>
      </c>
      <c r="AA37">
        <f>HYPERLINK("https://klasma.github.io/Logging_1783/klagomål/A 20119-2025 FSC-klagomål.docx", "A 20119-2025")</f>
        <v/>
      </c>
      <c r="AB37">
        <f>HYPERLINK("https://klasma.github.io/Logging_1783/klagomålsmail/A 20119-2025 FSC-klagomål mail.docx", "A 20119-2025")</f>
        <v/>
      </c>
      <c r="AC37">
        <f>HYPERLINK("https://klasma.github.io/Logging_1783/tillsyn/A 20119-2025 tillsynsbegäran.docx", "A 20119-2025")</f>
        <v/>
      </c>
      <c r="AD37">
        <f>HYPERLINK("https://klasma.github.io/Logging_1783/tillsynsmail/A 20119-2025 tillsynsbegäran mail.docx", "A 20119-2025")</f>
        <v/>
      </c>
      <c r="AE37">
        <f>HYPERLINK("https://klasma.github.io/Logging_1783/fåglar/A 20119-2025 prioriterade fågelarter.docx", "A 20119-2025")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46252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55484-2025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46252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HYPERLINK("https://klasma.github.io/Logging_1783/artfynd/A 55484-2025 artfynd.xlsx", "A 55484-2025")</f>
        <v/>
      </c>
      <c r="X39">
        <f>HYPERLINK("https://klasma.github.io/Logging_1783/kartor/A 55484-2025 karta.png", "A 55484-2025")</f>
        <v/>
      </c>
      <c r="Y39">
        <f>HYPERLINK("https://klasma.github.io/Logging_1783/kartor_geotiff/A 55484-2025 georefererad karta.tif", "A 55484-2025")</f>
        <v/>
      </c>
      <c r="AA39">
        <f>HYPERLINK("https://klasma.github.io/Logging_1783/klagomål/A 55484-2025 FSC-klagomål.docx", "A 55484-2025")</f>
        <v/>
      </c>
      <c r="AB39">
        <f>HYPERLINK("https://klasma.github.io/Logging_1783/klagomålsmail/A 55484-2025 FSC-klagomål mail.docx", "A 55484-2025")</f>
        <v/>
      </c>
      <c r="AC39">
        <f>HYPERLINK("https://klasma.github.io/Logging_1783/tillsyn/A 55484-2025 tillsynsbegäran.docx", "A 55484-2025")</f>
        <v/>
      </c>
      <c r="AD39">
        <f>HYPERLINK("https://klasma.github.io/Logging_1783/tillsynsmail/A 55484-2025 tillsynsbegäran mail.docx", "A 55484-2025")</f>
        <v/>
      </c>
    </row>
    <row r="40" ht="15" customHeight="1">
      <c r="A40" t="inlineStr">
        <is>
          <t>A 37152-2023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46252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Hökuggla</t>
        </is>
      </c>
      <c r="W40">
        <f>HYPERLINK("https://klasma.github.io/Logging_1783/artfynd/A 37152-2023 artfynd.xlsx", "A 37152-2023")</f>
        <v/>
      </c>
      <c r="X40">
        <f>HYPERLINK("https://klasma.github.io/Logging_1783/kartor/A 37152-2023 karta.png", "A 37152-2023")</f>
        <v/>
      </c>
      <c r="Y40">
        <f>HYPERLINK("https://klasma.github.io/Logging_1783/kartor_geotiff/A 37152-2023 georefererad karta.tif", "A 37152-2023")</f>
        <v/>
      </c>
      <c r="AA40">
        <f>HYPERLINK("https://klasma.github.io/Logging_1783/klagomål/A 37152-2023 FSC-klagomål.docx", "A 37152-2023")</f>
        <v/>
      </c>
      <c r="AB40">
        <f>HYPERLINK("https://klasma.github.io/Logging_1783/klagomålsmail/A 37152-2023 FSC-klagomål mail.docx", "A 37152-2023")</f>
        <v/>
      </c>
      <c r="AC40">
        <f>HYPERLINK("https://klasma.github.io/Logging_1783/tillsyn/A 37152-2023 tillsynsbegäran.docx", "A 37152-2023")</f>
        <v/>
      </c>
      <c r="AD40">
        <f>HYPERLINK("https://klasma.github.io/Logging_1783/tillsynsmail/A 37152-2023 tillsynsbegäran mail.docx", "A 37152-2023")</f>
        <v/>
      </c>
      <c r="AE40">
        <f>HYPERLINK("https://klasma.github.io/Logging_1783/fåglar/A 37152-2023 prioriterade fågelarter.docx", "A 37152-2023")</f>
        <v/>
      </c>
    </row>
    <row r="41" ht="15" customHeight="1">
      <c r="A41" t="inlineStr">
        <is>
          <t>A 30524-2022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44762</v>
      </c>
      <c r="E41" s="1" t="n">
        <v>46252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Kolflarnlav</t>
        </is>
      </c>
      <c r="W41">
        <f>HYPERLINK("https://klasma.github.io/Logging_1783/artfynd/A 30524-2022 artfynd.xlsx", "A 30524-2022")</f>
        <v/>
      </c>
      <c r="X41">
        <f>HYPERLINK("https://klasma.github.io/Logging_1783/kartor/A 30524-2022 karta.png", "A 30524-2022")</f>
        <v/>
      </c>
      <c r="Y41">
        <f>HYPERLINK("https://klasma.github.io/Logging_1783/kartor_geotiff/A 30524-2022 georefererad karta.tif", "A 30524-2022")</f>
        <v/>
      </c>
      <c r="AA41">
        <f>HYPERLINK("https://klasma.github.io/Logging_1783/klagomål/A 30524-2022 FSC-klagomål.docx", "A 30524-2022")</f>
        <v/>
      </c>
      <c r="AB41">
        <f>HYPERLINK("https://klasma.github.io/Logging_1783/klagomålsmail/A 30524-2022 FSC-klagomål mail.docx", "A 30524-2022")</f>
        <v/>
      </c>
      <c r="AC41">
        <f>HYPERLINK("https://klasma.github.io/Logging_1783/tillsyn/A 30524-2022 tillsynsbegäran.docx", "A 30524-2022")</f>
        <v/>
      </c>
      <c r="AD41">
        <f>HYPERLINK("https://klasma.github.io/Logging_1783/tillsynsmail/A 30524-2022 tillsynsbegäran mail.docx", "A 30524-2022")</f>
        <v/>
      </c>
    </row>
    <row r="42" ht="15" customHeight="1">
      <c r="A42" t="inlineStr">
        <is>
          <t>A 51194-2022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46252</v>
      </c>
      <c r="F42" t="inlineStr">
        <is>
          <t>VÄRMLANDS LÄN</t>
        </is>
      </c>
      <c r="G42" t="inlineStr">
        <is>
          <t>HAGFORS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HYPERLINK("https://klasma.github.io/Logging_1783/artfynd/A 51194-2022 artfynd.xlsx", "A 51194-2022")</f>
        <v/>
      </c>
      <c r="X42">
        <f>HYPERLINK("https://klasma.github.io/Logging_1783/kartor/A 51194-2022 karta.png", "A 51194-2022")</f>
        <v/>
      </c>
      <c r="Y42">
        <f>HYPERLINK("https://klasma.github.io/Logging_1783/kartor_geotiff/A 51194-2022 georefererad karta.tif", "A 51194-2022")</f>
        <v/>
      </c>
      <c r="AA42">
        <f>HYPERLINK("https://klasma.github.io/Logging_1783/klagomål/A 51194-2022 FSC-klagomål.docx", "A 51194-2022")</f>
        <v/>
      </c>
      <c r="AB42">
        <f>HYPERLINK("https://klasma.github.io/Logging_1783/klagomålsmail/A 51194-2022 FSC-klagomål mail.docx", "A 51194-2022")</f>
        <v/>
      </c>
      <c r="AC42">
        <f>HYPERLINK("https://klasma.github.io/Logging_1783/tillsyn/A 51194-2022 tillsynsbegäran.docx", "A 51194-2022")</f>
        <v/>
      </c>
      <c r="AD42">
        <f>HYPERLINK("https://klasma.github.io/Logging_1783/tillsynsmail/A 51194-2022 tillsynsbegäran mail.docx", "A 51194-2022")</f>
        <v/>
      </c>
    </row>
    <row r="43" ht="15" customHeight="1">
      <c r="A43" t="inlineStr">
        <is>
          <t>A 62954-2025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46252</v>
      </c>
      <c r="F43" t="inlineStr">
        <is>
          <t>VÄRMLANDS LÄN</t>
        </is>
      </c>
      <c r="G43" t="inlineStr">
        <is>
          <t>HAGFORS</t>
        </is>
      </c>
      <c r="I43" t="n">
        <v>9.1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HYPERLINK("https://klasma.github.io/Logging_1783/artfynd/A 62954-2025 artfynd.xlsx", "A 62954-2025")</f>
        <v/>
      </c>
      <c r="X43">
        <f>HYPERLINK("https://klasma.github.io/Logging_1783/kartor/A 62954-2025 karta.png", "A 62954-2025")</f>
        <v/>
      </c>
      <c r="Y43">
        <f>HYPERLINK("https://klasma.github.io/Logging_1783/kartor_geotiff/A 62954-2025 georefererad karta.tif", "A 62954-2025")</f>
        <v/>
      </c>
      <c r="AA43">
        <f>HYPERLINK("https://klasma.github.io/Logging_1783/klagomål/A 62954-2025 FSC-klagomål.docx", "A 62954-2025")</f>
        <v/>
      </c>
      <c r="AB43">
        <f>HYPERLINK("https://klasma.github.io/Logging_1783/klagomålsmail/A 62954-2025 FSC-klagomål mail.docx", "A 62954-2025")</f>
        <v/>
      </c>
      <c r="AC43">
        <f>HYPERLINK("https://klasma.github.io/Logging_1783/tillsyn/A 62954-2025 tillsynsbegäran.docx", "A 62954-2025")</f>
        <v/>
      </c>
      <c r="AD43">
        <f>HYPERLINK("https://klasma.github.io/Logging_1783/tillsynsmail/A 62954-2025 tillsynsbegäran mail.docx", "A 62954-2025")</f>
        <v/>
      </c>
    </row>
    <row r="44" ht="15" customHeight="1">
      <c r="A44" t="inlineStr">
        <is>
          <t>A 44095-2023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46252</v>
      </c>
      <c r="F44" t="inlineStr">
        <is>
          <t>VÄRMLANDS LÄN</t>
        </is>
      </c>
      <c r="G44" t="inlineStr">
        <is>
          <t>HAGFORS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44095-2023 artfynd.xlsx", "A 44095-2023")</f>
        <v/>
      </c>
      <c r="X44">
        <f>HYPERLINK("https://klasma.github.io/Logging_1783/kartor/A 44095-2023 karta.png", "A 44095-2023")</f>
        <v/>
      </c>
      <c r="Y44">
        <f>HYPERLINK("https://klasma.github.io/Logging_1783/kartor_geotiff/A 44095-2023 georefererad karta.tif", "A 44095-2023")</f>
        <v/>
      </c>
      <c r="AA44">
        <f>HYPERLINK("https://klasma.github.io/Logging_1783/klagomål/A 44095-2023 FSC-klagomål.docx", "A 44095-2023")</f>
        <v/>
      </c>
      <c r="AB44">
        <f>HYPERLINK("https://klasma.github.io/Logging_1783/klagomålsmail/A 44095-2023 FSC-klagomål mail.docx", "A 44095-2023")</f>
        <v/>
      </c>
      <c r="AC44">
        <f>HYPERLINK("https://klasma.github.io/Logging_1783/tillsyn/A 44095-2023 tillsynsbegäran.docx", "A 44095-2023")</f>
        <v/>
      </c>
      <c r="AD44">
        <f>HYPERLINK("https://klasma.github.io/Logging_1783/tillsynsmail/A 44095-2023 tillsynsbegäran mail.docx", "A 44095-2023")</f>
        <v/>
      </c>
    </row>
    <row r="45" ht="15" customHeight="1">
      <c r="A45" t="inlineStr">
        <is>
          <t>A 38267-2024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46252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HYPERLINK("https://klasma.github.io/Logging_1783/artfynd/A 38267-2024 artfynd.xlsx", "A 38267-2024")</f>
        <v/>
      </c>
      <c r="X45">
        <f>HYPERLINK("https://klasma.github.io/Logging_1783/kartor/A 38267-2024 karta.png", "A 38267-2024")</f>
        <v/>
      </c>
      <c r="Y45">
        <f>HYPERLINK("https://klasma.github.io/Logging_1783/kartor_geotiff/A 38267-2024 georefererad karta.tif", "A 38267-2024")</f>
        <v/>
      </c>
      <c r="AA45">
        <f>HYPERLINK("https://klasma.github.io/Logging_1783/klagomål/A 38267-2024 FSC-klagomål.docx", "A 38267-2024")</f>
        <v/>
      </c>
      <c r="AB45">
        <f>HYPERLINK("https://klasma.github.io/Logging_1783/klagomålsmail/A 38267-2024 FSC-klagomål mail.docx", "A 38267-2024")</f>
        <v/>
      </c>
      <c r="AC45">
        <f>HYPERLINK("https://klasma.github.io/Logging_1783/tillsyn/A 38267-2024 tillsynsbegäran.docx", "A 38267-2024")</f>
        <v/>
      </c>
      <c r="AD45">
        <f>HYPERLINK("https://klasma.github.io/Logging_1783/tillsynsmail/A 38267-2024 tillsynsbegäran mail.docx", "A 38267-2024")</f>
        <v/>
      </c>
    </row>
    <row r="46" ht="15" customHeight="1">
      <c r="A46" t="inlineStr">
        <is>
          <t>A 56083-2022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46252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19.1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HYPERLINK("https://klasma.github.io/Logging_1783/artfynd/A 56083-2022 artfynd.xlsx", "A 56083-2022")</f>
        <v/>
      </c>
      <c r="X46">
        <f>HYPERLINK("https://klasma.github.io/Logging_1783/kartor/A 56083-2022 karta.png", "A 56083-2022")</f>
        <v/>
      </c>
      <c r="Y46">
        <f>HYPERLINK("https://klasma.github.io/Logging_1783/kartor_geotiff/A 56083-2022 georefererad karta.tif", "A 56083-2022")</f>
        <v/>
      </c>
      <c r="AA46">
        <f>HYPERLINK("https://klasma.github.io/Logging_1783/klagomål/A 56083-2022 FSC-klagomål.docx", "A 56083-2022")</f>
        <v/>
      </c>
      <c r="AB46">
        <f>HYPERLINK("https://klasma.github.io/Logging_1783/klagomålsmail/A 56083-2022 FSC-klagomål mail.docx", "A 56083-2022")</f>
        <v/>
      </c>
      <c r="AC46">
        <f>HYPERLINK("https://klasma.github.io/Logging_1783/tillsyn/A 56083-2022 tillsynsbegäran.docx", "A 56083-2022")</f>
        <v/>
      </c>
      <c r="AD46">
        <f>HYPERLINK("https://klasma.github.io/Logging_1783/tillsynsmail/A 56083-2022 tillsynsbegäran mail.docx", "A 56083-2022")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46252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31742-2026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46227</v>
      </c>
      <c r="E48" s="1" t="n">
        <v>46252</v>
      </c>
      <c r="F48" t="inlineStr">
        <is>
          <t>VÄRMLANDS LÄN</t>
        </is>
      </c>
      <c r="G48" t="inlineStr">
        <is>
          <t>HAGFORS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HYPERLINK("https://klasma.github.io/Logging_1783/artfynd/A 31742-2026 artfynd.xlsx", "A 31742-2026")</f>
        <v/>
      </c>
      <c r="X48">
        <f>HYPERLINK("https://klasma.github.io/Logging_1783/kartor/A 31742-2026 karta.png", "A 31742-2026")</f>
        <v/>
      </c>
      <c r="Y48">
        <f>HYPERLINK("https://klasma.github.io/Logging_1783/kartor_geotiff/A 31742-2026 georefererad karta.tif", "A 31742-2026")</f>
        <v/>
      </c>
      <c r="AA48">
        <f>HYPERLINK("https://klasma.github.io/Logging_1783/klagomål/A 31742-2026 FSC-klagomål.docx", "A 31742-2026")</f>
        <v/>
      </c>
      <c r="AB48">
        <f>HYPERLINK("https://klasma.github.io/Logging_1783/klagomålsmail/A 31742-2026 FSC-klagomål mail.docx", "A 31742-2026")</f>
        <v/>
      </c>
      <c r="AC48">
        <f>HYPERLINK("https://klasma.github.io/Logging_1783/tillsyn/A 31742-2026 tillsynsbegäran.docx", "A 31742-2026")</f>
        <v/>
      </c>
      <c r="AD48">
        <f>HYPERLINK("https://klasma.github.io/Logging_1783/tillsynsmail/A 31742-2026 tillsynsbegäran mail.docx", "A 31742-2026")</f>
        <v/>
      </c>
    </row>
    <row r="49" ht="15" customHeight="1">
      <c r="A49" t="inlineStr">
        <is>
          <t>A 8254-2026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46252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8254-2026 artfynd.xlsx", "A 8254-2026")</f>
        <v/>
      </c>
      <c r="X49">
        <f>HYPERLINK("https://klasma.github.io/Logging_1783/kartor/A 8254-2026 karta.png", "A 8254-2026")</f>
        <v/>
      </c>
      <c r="Y49">
        <f>HYPERLINK("https://klasma.github.io/Logging_1783/kartor_geotiff/A 8254-2026 georefererad karta.tif", "A 8254-2026")</f>
        <v/>
      </c>
      <c r="AA49">
        <f>HYPERLINK("https://klasma.github.io/Logging_1783/klagomål/A 8254-2026 FSC-klagomål.docx", "A 8254-2026")</f>
        <v/>
      </c>
      <c r="AB49">
        <f>HYPERLINK("https://klasma.github.io/Logging_1783/klagomålsmail/A 8254-2026 FSC-klagomål mail.docx", "A 8254-2026")</f>
        <v/>
      </c>
      <c r="AC49">
        <f>HYPERLINK("https://klasma.github.io/Logging_1783/tillsyn/A 8254-2026 tillsynsbegäran.docx", "A 8254-2026")</f>
        <v/>
      </c>
      <c r="AD49">
        <f>HYPERLINK("https://klasma.github.io/Logging_1783/tillsynsmail/A 8254-2026 tillsynsbegäran mail.docx", "A 8254-2026")</f>
        <v/>
      </c>
    </row>
    <row r="50" ht="15" customHeight="1">
      <c r="A50" t="inlineStr">
        <is>
          <t>A 12445-2026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46090</v>
      </c>
      <c r="E50" s="1" t="n">
        <v>46252</v>
      </c>
      <c r="F50" t="inlineStr">
        <is>
          <t>VÄRMLANDS LÄN</t>
        </is>
      </c>
      <c r="G50" t="inlineStr">
        <is>
          <t>HAGFORS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12445-2026 artfynd.xlsx", "A 12445-2026")</f>
        <v/>
      </c>
      <c r="X50">
        <f>HYPERLINK("https://klasma.github.io/Logging_1783/kartor/A 12445-2026 karta.png", "A 12445-2026")</f>
        <v/>
      </c>
      <c r="Y50">
        <f>HYPERLINK("https://klasma.github.io/Logging_1783/kartor_geotiff/A 12445-2026 georefererad karta.tif", "A 12445-2026")</f>
        <v/>
      </c>
      <c r="AA50">
        <f>HYPERLINK("https://klasma.github.io/Logging_1783/klagomål/A 12445-2026 FSC-klagomål.docx", "A 12445-2026")</f>
        <v/>
      </c>
      <c r="AB50">
        <f>HYPERLINK("https://klasma.github.io/Logging_1783/klagomålsmail/A 12445-2026 FSC-klagomål mail.docx", "A 12445-2026")</f>
        <v/>
      </c>
      <c r="AC50">
        <f>HYPERLINK("https://klasma.github.io/Logging_1783/tillsyn/A 12445-2026 tillsynsbegäran.docx", "A 12445-2026")</f>
        <v/>
      </c>
      <c r="AD50">
        <f>HYPERLINK("https://klasma.github.io/Logging_1783/tillsynsmail/A 12445-2026 tillsynsbegäran mail.docx", "A 12445-2026")</f>
        <v/>
      </c>
      <c r="AE50">
        <f>HYPERLINK("https://klasma.github.io/Logging_1783/fåglar/A 12445-2026 prioriterade fågelarter.docx", "A 12445-2026")</f>
        <v/>
      </c>
    </row>
    <row r="51" ht="15" customHeight="1">
      <c r="A51" t="inlineStr">
        <is>
          <t>A 6986-2022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46252</v>
      </c>
      <c r="F51" t="inlineStr">
        <is>
          <t>VÄRMLANDS LÄN</t>
        </is>
      </c>
      <c r="G51" t="inlineStr">
        <is>
          <t>HAGFORS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Vedticka</t>
        </is>
      </c>
      <c r="W51">
        <f>HYPERLINK("https://klasma.github.io/Logging_1783/artfynd/A 6986-2022 artfynd.xlsx", "A 6986-2022")</f>
        <v/>
      </c>
      <c r="X51">
        <f>HYPERLINK("https://klasma.github.io/Logging_1783/kartor/A 6986-2022 karta.png", "A 6986-2022")</f>
        <v/>
      </c>
      <c r="Y51">
        <f>HYPERLINK("https://klasma.github.io/Logging_1783/kartor_geotiff/A 6986-2022 georefererad karta.tif", "A 6986-2022")</f>
        <v/>
      </c>
      <c r="AA51">
        <f>HYPERLINK("https://klasma.github.io/Logging_1783/klagomål/A 6986-2022 FSC-klagomål.docx", "A 6986-2022")</f>
        <v/>
      </c>
      <c r="AB51">
        <f>HYPERLINK("https://klasma.github.io/Logging_1783/klagomålsmail/A 6986-2022 FSC-klagomål mail.docx", "A 6986-2022")</f>
        <v/>
      </c>
      <c r="AC51">
        <f>HYPERLINK("https://klasma.github.io/Logging_1783/tillsyn/A 6986-2022 tillsynsbegäran.docx", "A 6986-2022")</f>
        <v/>
      </c>
      <c r="AD51">
        <f>HYPERLINK("https://klasma.github.io/Logging_1783/tillsynsmail/A 6986-2022 tillsynsbegäran mail.docx", "A 6986-2022")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46252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32592-2026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46240</v>
      </c>
      <c r="E53" s="1" t="n">
        <v>46252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30.8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HYPERLINK("https://klasma.github.io/Logging_1783/artfynd/A 32592-2026 artfynd.xlsx", "A 32592-2026")</f>
        <v/>
      </c>
      <c r="X53">
        <f>HYPERLINK("https://klasma.github.io/Logging_1783/kartor/A 32592-2026 karta.png", "A 32592-2026")</f>
        <v/>
      </c>
      <c r="Y53">
        <f>HYPERLINK("https://klasma.github.io/Logging_1783/kartor_geotiff/A 32592-2026 georefererad karta.tif", "A 32592-2026")</f>
        <v/>
      </c>
      <c r="AA53">
        <f>HYPERLINK("https://klasma.github.io/Logging_1783/klagomål/A 32592-2026 FSC-klagomål.docx", "A 32592-2026")</f>
        <v/>
      </c>
      <c r="AB53">
        <f>HYPERLINK("https://klasma.github.io/Logging_1783/klagomålsmail/A 32592-2026 FSC-klagomål mail.docx", "A 32592-2026")</f>
        <v/>
      </c>
      <c r="AC53">
        <f>HYPERLINK("https://klasma.github.io/Logging_1783/tillsyn/A 32592-2026 tillsynsbegäran.docx", "A 32592-2026")</f>
        <v/>
      </c>
      <c r="AD53">
        <f>HYPERLINK("https://klasma.github.io/Logging_1783/tillsynsmail/A 32592-2026 tillsynsbegäran mail.docx", "A 32592-2026")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46252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34158-2025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45845</v>
      </c>
      <c r="E55" s="1" t="n">
        <v>46252</v>
      </c>
      <c r="F55" t="inlineStr">
        <is>
          <t>VÄRMLANDS LÄN</t>
        </is>
      </c>
      <c r="G55" t="inlineStr">
        <is>
          <t>HAGFORS</t>
        </is>
      </c>
      <c r="I55" t="n">
        <v>5.8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Korallblylav</t>
        </is>
      </c>
      <c r="W55">
        <f>HYPERLINK("https://klasma.github.io/Logging_1783/artfynd/A 34158-2025 artfynd.xlsx", "A 34158-2025")</f>
        <v/>
      </c>
      <c r="X55">
        <f>HYPERLINK("https://klasma.github.io/Logging_1783/kartor/A 34158-2025 karta.png", "A 34158-2025")</f>
        <v/>
      </c>
      <c r="Y55">
        <f>HYPERLINK("https://klasma.github.io/Logging_1783/kartor_geotiff/A 34158-2025 georefererad karta.tif", "A 34158-2025")</f>
        <v/>
      </c>
      <c r="AA55">
        <f>HYPERLINK("https://klasma.github.io/Logging_1783/klagomål/A 34158-2025 FSC-klagomål.docx", "A 34158-2025")</f>
        <v/>
      </c>
      <c r="AB55">
        <f>HYPERLINK("https://klasma.github.io/Logging_1783/klagomålsmail/A 34158-2025 FSC-klagomål mail.docx", "A 34158-2025")</f>
        <v/>
      </c>
      <c r="AC55">
        <f>HYPERLINK("https://klasma.github.io/Logging_1783/tillsyn/A 34158-2025 tillsynsbegäran.docx", "A 34158-2025")</f>
        <v/>
      </c>
      <c r="AD55">
        <f>HYPERLINK("https://klasma.github.io/Logging_1783/tillsynsmail/A 34158-2025 tillsynsbegäran mail.docx", "A 34158-2025")</f>
        <v/>
      </c>
    </row>
    <row r="56" ht="15" customHeight="1">
      <c r="A56" t="inlineStr">
        <is>
          <t>A 22484-2025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45786</v>
      </c>
      <c r="E56" s="1" t="n">
        <v>46252</v>
      </c>
      <c r="F56" t="inlineStr">
        <is>
          <t>VÄRMLANDS LÄN</t>
        </is>
      </c>
      <c r="G56" t="inlineStr">
        <is>
          <t>HAGFORS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HYPERLINK("https://klasma.github.io/Logging_1783/artfynd/A 22484-2025 artfynd.xlsx", "A 22484-2025")</f>
        <v/>
      </c>
      <c r="X56">
        <f>HYPERLINK("https://klasma.github.io/Logging_1783/kartor/A 22484-2025 karta.png", "A 22484-2025")</f>
        <v/>
      </c>
      <c r="Y56">
        <f>HYPERLINK("https://klasma.github.io/Logging_1783/kartor_geotiff/A 22484-2025 georefererad karta.tif", "A 22484-2025")</f>
        <v/>
      </c>
      <c r="AA56">
        <f>HYPERLINK("https://klasma.github.io/Logging_1783/klagomål/A 22484-2025 FSC-klagomål.docx", "A 22484-2025")</f>
        <v/>
      </c>
      <c r="AB56">
        <f>HYPERLINK("https://klasma.github.io/Logging_1783/klagomålsmail/A 22484-2025 FSC-klagomål mail.docx", "A 22484-2025")</f>
        <v/>
      </c>
      <c r="AC56">
        <f>HYPERLINK("https://klasma.github.io/Logging_1783/tillsyn/A 22484-2025 tillsynsbegäran.docx", "A 22484-2025")</f>
        <v/>
      </c>
      <c r="AD56">
        <f>HYPERLINK("https://klasma.github.io/Logging_1783/tillsynsmail/A 22484-2025 tillsynsbegäran mail.docx", "A 22484-2025")</f>
        <v/>
      </c>
    </row>
    <row r="57" ht="15" customHeight="1">
      <c r="A57" t="inlineStr">
        <is>
          <t>A 24885-2025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46252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Mörk husmossa</t>
        </is>
      </c>
      <c r="W57">
        <f>HYPERLINK("https://klasma.github.io/Logging_1783/artfynd/A 24885-2025 artfynd.xlsx", "A 24885-2025")</f>
        <v/>
      </c>
      <c r="X57">
        <f>HYPERLINK("https://klasma.github.io/Logging_1783/kartor/A 24885-2025 karta.png", "A 24885-2025")</f>
        <v/>
      </c>
      <c r="Y57">
        <f>HYPERLINK("https://klasma.github.io/Logging_1783/kartor_geotiff/A 24885-2025 georefererad karta.tif", "A 24885-2025")</f>
        <v/>
      </c>
      <c r="AA57">
        <f>HYPERLINK("https://klasma.github.io/Logging_1783/klagomål/A 24885-2025 FSC-klagomål.docx", "A 24885-2025")</f>
        <v/>
      </c>
      <c r="AB57">
        <f>HYPERLINK("https://klasma.github.io/Logging_1783/klagomålsmail/A 24885-2025 FSC-klagomål mail.docx", "A 24885-2025")</f>
        <v/>
      </c>
      <c r="AC57">
        <f>HYPERLINK("https://klasma.github.io/Logging_1783/tillsyn/A 24885-2025 tillsynsbegäran.docx", "A 24885-2025")</f>
        <v/>
      </c>
      <c r="AD57">
        <f>HYPERLINK("https://klasma.github.io/Logging_1783/tillsynsmail/A 24885-2025 tillsynsbegäran mail.docx", "A 24885-2025")</f>
        <v/>
      </c>
    </row>
    <row r="58" ht="15" customHeight="1">
      <c r="A58" t="inlineStr">
        <is>
          <t>A 24659-2026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46252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24659-2026 artfynd.xlsx", "A 24659-2026")</f>
        <v/>
      </c>
      <c r="X58">
        <f>HYPERLINK("https://klasma.github.io/Logging_1783/kartor/A 24659-2026 karta.png", "A 24659-2026")</f>
        <v/>
      </c>
      <c r="Y58">
        <f>HYPERLINK("https://klasma.github.io/Logging_1783/kartor_geotiff/A 24659-2026 georefererad karta.tif", "A 24659-2026")</f>
        <v/>
      </c>
      <c r="AA58">
        <f>HYPERLINK("https://klasma.github.io/Logging_1783/klagomål/A 24659-2026 FSC-klagomål.docx", "A 24659-2026")</f>
        <v/>
      </c>
      <c r="AB58">
        <f>HYPERLINK("https://klasma.github.io/Logging_1783/klagomålsmail/A 24659-2026 FSC-klagomål mail.docx", "A 24659-2026")</f>
        <v/>
      </c>
      <c r="AC58">
        <f>HYPERLINK("https://klasma.github.io/Logging_1783/tillsyn/A 24659-2026 tillsynsbegäran.docx", "A 24659-2026")</f>
        <v/>
      </c>
      <c r="AD58">
        <f>HYPERLINK("https://klasma.github.io/Logging_1783/tillsynsmail/A 24659-2026 tillsynsbegäran mail.docx", "A 24659-2026")</f>
        <v/>
      </c>
    </row>
    <row r="59" ht="15" customHeight="1">
      <c r="A59" t="inlineStr">
        <is>
          <t>A 24716-2026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46252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82.3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Garnlav</t>
        </is>
      </c>
      <c r="W59">
        <f>HYPERLINK("https://klasma.github.io/Logging_1783/artfynd/A 24716-2026 artfynd.xlsx", "A 24716-2026")</f>
        <v/>
      </c>
      <c r="X59">
        <f>HYPERLINK("https://klasma.github.io/Logging_1783/kartor/A 24716-2026 karta.png", "A 24716-2026")</f>
        <v/>
      </c>
      <c r="Y59">
        <f>HYPERLINK("https://klasma.github.io/Logging_1783/kartor_geotiff/A 24716-2026 georefererad karta.tif", "A 24716-2026")</f>
        <v/>
      </c>
      <c r="AA59">
        <f>HYPERLINK("https://klasma.github.io/Logging_1783/klagomål/A 24716-2026 FSC-klagomål.docx", "A 24716-2026")</f>
        <v/>
      </c>
      <c r="AB59">
        <f>HYPERLINK("https://klasma.github.io/Logging_1783/klagomålsmail/A 24716-2026 FSC-klagomål mail.docx", "A 24716-2026")</f>
        <v/>
      </c>
      <c r="AC59">
        <f>HYPERLINK("https://klasma.github.io/Logging_1783/tillsyn/A 24716-2026 tillsynsbegäran.docx", "A 24716-2026")</f>
        <v/>
      </c>
      <c r="AD59">
        <f>HYPERLINK("https://klasma.github.io/Logging_1783/tillsynsmail/A 24716-2026 tillsynsbegäran mail.docx", "A 24716-2026")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46252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46252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46252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46252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65299-2021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46252</v>
      </c>
      <c r="F64" t="inlineStr">
        <is>
          <t>VÄRMLANDS LÄN</t>
        </is>
      </c>
      <c r="G64" t="inlineStr">
        <is>
          <t>HAGFORS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52379-2021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46252</v>
      </c>
      <c r="F65" t="inlineStr">
        <is>
          <t>VÄRMLANDS LÄN</t>
        </is>
      </c>
      <c r="G65" t="inlineStr">
        <is>
          <t>HAGFORS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73207-2021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46252</v>
      </c>
      <c r="F66" t="inlineStr">
        <is>
          <t>VÄRMLANDS LÄN</t>
        </is>
      </c>
      <c r="G66" t="inlineStr">
        <is>
          <t>HAGFORS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64051-2021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46252</v>
      </c>
      <c r="F67" t="inlineStr">
        <is>
          <t>VÄRMLANDS LÄN</t>
        </is>
      </c>
      <c r="G67" t="inlineStr">
        <is>
          <t>HAGFORS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68148-2021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46252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34220-2022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44791</v>
      </c>
      <c r="E69" s="1" t="n">
        <v>46252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46252</v>
      </c>
      <c r="F70" t="inlineStr">
        <is>
          <t>VÄRMLANDS LÄN</t>
        </is>
      </c>
      <c r="G70" t="inlineStr">
        <is>
          <t>HAGFORS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46252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46252</v>
      </c>
      <c r="F72" t="inlineStr">
        <is>
          <t>VÄRMLANDS LÄN</t>
        </is>
      </c>
      <c r="G72" t="inlineStr">
        <is>
          <t>HAGFORS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65295-2021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46252</v>
      </c>
      <c r="F73" t="inlineStr">
        <is>
          <t>VÄRMLANDS LÄN</t>
        </is>
      </c>
      <c r="G73" t="inlineStr">
        <is>
          <t>HAGFORS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46252</v>
      </c>
      <c r="F74" t="inlineStr">
        <is>
          <t>VÄRMLANDS LÄN</t>
        </is>
      </c>
      <c r="G74" t="inlineStr">
        <is>
          <t>HAGFORS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46252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46252</v>
      </c>
      <c r="F76" t="inlineStr">
        <is>
          <t>VÄRMLANDS LÄN</t>
        </is>
      </c>
      <c r="G76" t="inlineStr">
        <is>
          <t>HAGFORS</t>
        </is>
      </c>
      <c r="H76" t="inlineStr">
        <is>
          <t>Bergvik skog väst AB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65551-2021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46252</v>
      </c>
      <c r="F77" t="inlineStr">
        <is>
          <t>VÄRMLANDS LÄN</t>
        </is>
      </c>
      <c r="G77" t="inlineStr">
        <is>
          <t>HAGFORS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46252</v>
      </c>
      <c r="F78" t="inlineStr">
        <is>
          <t>VÄRMLANDS LÄN</t>
        </is>
      </c>
      <c r="G78" t="inlineStr">
        <is>
          <t>HAGFORS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44059-2021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44434</v>
      </c>
      <c r="E79" s="1" t="n">
        <v>46252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44756</v>
      </c>
      <c r="E80" s="1" t="n">
        <v>46252</v>
      </c>
      <c r="F80" t="inlineStr">
        <is>
          <t>VÄRMLANDS LÄN</t>
        </is>
      </c>
      <c r="G80" t="inlineStr">
        <is>
          <t>HAGFORS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44426</v>
      </c>
      <c r="E81" s="1" t="n">
        <v>46252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42.4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72937-2021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44547</v>
      </c>
      <c r="E82" s="1" t="n">
        <v>46252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44435</v>
      </c>
      <c r="E83" s="1" t="n">
        <v>46252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27.3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44439</v>
      </c>
      <c r="E84" s="1" t="n">
        <v>46252</v>
      </c>
      <c r="F84" t="inlineStr">
        <is>
          <t>VÄRMLANDS LÄN</t>
        </is>
      </c>
      <c r="G84" t="inlineStr">
        <is>
          <t>HAGFORS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46252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44432</v>
      </c>
      <c r="E86" s="1" t="n">
        <v>46252</v>
      </c>
      <c r="F86" t="inlineStr">
        <is>
          <t>VÄRMLANDS LÄN</t>
        </is>
      </c>
      <c r="G86" t="inlineStr">
        <is>
          <t>HAGFORS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46252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46252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46252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46252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46252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46252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46252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46252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46252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46252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46252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46252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46252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46252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46252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46252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46252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46252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46252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45810</v>
      </c>
      <c r="E107" s="1" t="n">
        <v>46252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46252</v>
      </c>
      <c r="F108" t="inlineStr">
        <is>
          <t>VÄRMLANDS LÄN</t>
        </is>
      </c>
      <c r="G108" t="inlineStr">
        <is>
          <t>HAGFORS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46252</v>
      </c>
      <c r="F109" t="inlineStr">
        <is>
          <t>VÄRMLANDS LÄN</t>
        </is>
      </c>
      <c r="G109" t="inlineStr">
        <is>
          <t>HAGFORS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15538-2024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45401</v>
      </c>
      <c r="E110" s="1" t="n">
        <v>46252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46252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46252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27319-2025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46252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46252</v>
      </c>
      <c r="F114" t="inlineStr">
        <is>
          <t>VÄRMLANDS LÄN</t>
        </is>
      </c>
      <c r="G114" t="inlineStr">
        <is>
          <t>HAGFORS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46252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46252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46252</v>
      </c>
      <c r="F117" t="inlineStr">
        <is>
          <t>VÄRMLANDS LÄN</t>
        </is>
      </c>
      <c r="G117" t="inlineStr">
        <is>
          <t>HAGFORS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46252</v>
      </c>
      <c r="F118" t="inlineStr">
        <is>
          <t>VÄRMLANDS LÄN</t>
        </is>
      </c>
      <c r="G118" t="inlineStr">
        <is>
          <t>HAGFORS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46252</v>
      </c>
      <c r="F119" t="inlineStr">
        <is>
          <t>VÄRMLANDS LÄN</t>
        </is>
      </c>
      <c r="G119" t="inlineStr">
        <is>
          <t>HAGFORS</t>
        </is>
      </c>
      <c r="H119" t="inlineStr">
        <is>
          <t>Kyrkan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46252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46252</v>
      </c>
      <c r="F121" t="inlineStr">
        <is>
          <t>VÄRMLANDS LÄN</t>
        </is>
      </c>
      <c r="G121" t="inlineStr">
        <is>
          <t>HAGFORS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46252</v>
      </c>
      <c r="F122" t="inlineStr">
        <is>
          <t>VÄRMLANDS LÄN</t>
        </is>
      </c>
      <c r="G122" t="inlineStr">
        <is>
          <t>HAGFORS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46252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46252</v>
      </c>
      <c r="F124" t="inlineStr">
        <is>
          <t>VÄRMLANDS LÄN</t>
        </is>
      </c>
      <c r="G124" t="inlineStr">
        <is>
          <t>HAGFORS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46252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46252</v>
      </c>
      <c r="F126" t="inlineStr">
        <is>
          <t>VÄRMLANDS LÄN</t>
        </is>
      </c>
      <c r="G126" t="inlineStr">
        <is>
          <t>HAGFORS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46252</v>
      </c>
      <c r="F127" t="inlineStr">
        <is>
          <t>VÄRMLANDS LÄN</t>
        </is>
      </c>
      <c r="G127" t="inlineStr">
        <is>
          <t>HAGFORS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65565-2021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46252</v>
      </c>
      <c r="F128" t="inlineStr">
        <is>
          <t>VÄRMLANDS LÄN</t>
        </is>
      </c>
      <c r="G128" t="inlineStr">
        <is>
          <t>HAGFORS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44678</v>
      </c>
      <c r="E129" s="1" t="n">
        <v>46252</v>
      </c>
      <c r="F129" t="inlineStr">
        <is>
          <t>VÄRMLANDS LÄN</t>
        </is>
      </c>
      <c r="G129" t="inlineStr">
        <is>
          <t>HAGFORS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46252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46252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46252</v>
      </c>
      <c r="F132" t="inlineStr">
        <is>
          <t>VÄRMLANDS LÄN</t>
        </is>
      </c>
      <c r="G132" t="inlineStr">
        <is>
          <t>HAGFORS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46252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45826</v>
      </c>
      <c r="E134" s="1" t="n">
        <v>46252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44469</v>
      </c>
      <c r="E135" s="1" t="n">
        <v>46252</v>
      </c>
      <c r="F135" t="inlineStr">
        <is>
          <t>VÄRMLANDS LÄN</t>
        </is>
      </c>
      <c r="G135" t="inlineStr">
        <is>
          <t>HAGFORS</t>
        </is>
      </c>
      <c r="H135" t="inlineStr">
        <is>
          <t>Kyrkan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46252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46252</v>
      </c>
      <c r="F137" t="inlineStr">
        <is>
          <t>VÄRMLANDS LÄN</t>
        </is>
      </c>
      <c r="G137" t="inlineStr">
        <is>
          <t>HAGFORS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45684</v>
      </c>
      <c r="E138" s="1" t="n">
        <v>46252</v>
      </c>
      <c r="F138" t="inlineStr">
        <is>
          <t>VÄRMLANDS LÄN</t>
        </is>
      </c>
      <c r="G138" t="inlineStr">
        <is>
          <t>HAGFORS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46252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46252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44638</v>
      </c>
      <c r="E141" s="1" t="n">
        <v>46252</v>
      </c>
      <c r="F141" t="inlineStr">
        <is>
          <t>VÄRMLANDS LÄN</t>
        </is>
      </c>
      <c r="G141" t="inlineStr">
        <is>
          <t>HAGFORS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61232-2024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45645</v>
      </c>
      <c r="E142" s="1" t="n">
        <v>46252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44824</v>
      </c>
      <c r="E143" s="1" t="n">
        <v>46252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46252</v>
      </c>
      <c r="F144" t="inlineStr">
        <is>
          <t>VÄRMLANDS LÄN</t>
        </is>
      </c>
      <c r="G144" t="inlineStr">
        <is>
          <t>HAGFORS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46252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46252</v>
      </c>
      <c r="F146" t="inlineStr">
        <is>
          <t>VÄRMLANDS LÄN</t>
        </is>
      </c>
      <c r="G146" t="inlineStr">
        <is>
          <t>HAGFORS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45739</v>
      </c>
      <c r="E147" s="1" t="n">
        <v>46252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46252</v>
      </c>
      <c r="F148" t="inlineStr">
        <is>
          <t>VÄRMLANDS LÄN</t>
        </is>
      </c>
      <c r="G148" t="inlineStr">
        <is>
          <t>HAGFORS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46252</v>
      </c>
      <c r="F149" t="inlineStr">
        <is>
          <t>VÄRMLANDS LÄN</t>
        </is>
      </c>
      <c r="G149" t="inlineStr">
        <is>
          <t>HAGFORS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46252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71447-2021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44540</v>
      </c>
      <c r="E151" s="1" t="n">
        <v>46252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46252</v>
      </c>
      <c r="F152" t="inlineStr">
        <is>
          <t>VÄRMLANDS LÄN</t>
        </is>
      </c>
      <c r="G152" t="inlineStr">
        <is>
          <t>HAGFORS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46252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46252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46252</v>
      </c>
      <c r="F155" t="inlineStr">
        <is>
          <t>VÄRMLANDS LÄN</t>
        </is>
      </c>
      <c r="G155" t="inlineStr">
        <is>
          <t>HAGFORS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46252</v>
      </c>
      <c r="F156" t="inlineStr">
        <is>
          <t>VÄRMLANDS LÄN</t>
        </is>
      </c>
      <c r="G156" t="inlineStr">
        <is>
          <t>HAGFORS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46252</v>
      </c>
      <c r="F157" t="inlineStr">
        <is>
          <t>VÄRMLANDS LÄN</t>
        </is>
      </c>
      <c r="G157" t="inlineStr">
        <is>
          <t>HAGFORS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41739-2025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45902</v>
      </c>
      <c r="E158" s="1" t="n">
        <v>46252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46252</v>
      </c>
      <c r="F159" t="inlineStr">
        <is>
          <t>VÄRMLANDS LÄN</t>
        </is>
      </c>
      <c r="G159" t="inlineStr">
        <is>
          <t>HAGFORS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46252</v>
      </c>
      <c r="F160" t="inlineStr">
        <is>
          <t>VÄRMLANDS LÄN</t>
        </is>
      </c>
      <c r="G160" t="inlineStr">
        <is>
          <t>HAGFORS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46252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46252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45121</v>
      </c>
      <c r="E163" s="1" t="n">
        <v>46252</v>
      </c>
      <c r="F163" t="inlineStr">
        <is>
          <t>VÄRMLANDS LÄN</t>
        </is>
      </c>
      <c r="G163" t="inlineStr">
        <is>
          <t>HAGFORS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46252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46252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46252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46252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46252</v>
      </c>
      <c r="F168" t="inlineStr">
        <is>
          <t>VÄRMLANDS LÄN</t>
        </is>
      </c>
      <c r="G168" t="inlineStr">
        <is>
          <t>HAGFORS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45489</v>
      </c>
      <c r="E169" s="1" t="n">
        <v>46252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46252</v>
      </c>
      <c r="F170" t="inlineStr">
        <is>
          <t>VÄRMLANDS LÄN</t>
        </is>
      </c>
      <c r="G170" t="inlineStr">
        <is>
          <t>HAGFORS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45684</v>
      </c>
      <c r="E171" s="1" t="n">
        <v>46252</v>
      </c>
      <c r="F171" t="inlineStr">
        <is>
          <t>VÄRMLANDS LÄN</t>
        </is>
      </c>
      <c r="G171" t="inlineStr">
        <is>
          <t>HAGFORS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46252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45509</v>
      </c>
      <c r="E173" s="1" t="n">
        <v>46252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46252</v>
      </c>
      <c r="F174" t="inlineStr">
        <is>
          <t>VÄRMLANDS LÄN</t>
        </is>
      </c>
      <c r="G174" t="inlineStr">
        <is>
          <t>HAGFORS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46252</v>
      </c>
      <c r="F175" t="inlineStr">
        <is>
          <t>VÄRMLANDS LÄN</t>
        </is>
      </c>
      <c r="G175" t="inlineStr">
        <is>
          <t>HAGFORS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45623</v>
      </c>
      <c r="E176" s="1" t="n">
        <v>46252</v>
      </c>
      <c r="F176" t="inlineStr">
        <is>
          <t>VÄRMLANDS LÄN</t>
        </is>
      </c>
      <c r="G176" t="inlineStr">
        <is>
          <t>HAGFORS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46252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45087</v>
      </c>
      <c r="E178" s="1" t="n">
        <v>46252</v>
      </c>
      <c r="F178" t="inlineStr">
        <is>
          <t>VÄRMLANDS LÄN</t>
        </is>
      </c>
      <c r="G178" t="inlineStr">
        <is>
          <t>HAGFORS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46252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46252</v>
      </c>
      <c r="F180" t="inlineStr">
        <is>
          <t>VÄRMLANDS LÄN</t>
        </is>
      </c>
      <c r="G180" t="inlineStr">
        <is>
          <t>HAGFORS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45790</v>
      </c>
      <c r="E181" s="1" t="n">
        <v>46252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46252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45335</v>
      </c>
      <c r="E183" s="1" t="n">
        <v>46252</v>
      </c>
      <c r="F183" t="inlineStr">
        <is>
          <t>VÄRMLANDS LÄN</t>
        </is>
      </c>
      <c r="G183" t="inlineStr">
        <is>
          <t>HAGFORS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33440-2025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45841</v>
      </c>
      <c r="E184" s="1" t="n">
        <v>46252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46252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44938</v>
      </c>
      <c r="E186" s="1" t="n">
        <v>46252</v>
      </c>
      <c r="F186" t="inlineStr">
        <is>
          <t>VÄRMLANDS LÄN</t>
        </is>
      </c>
      <c r="G186" t="inlineStr">
        <is>
          <t>HAGFORS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46252</v>
      </c>
      <c r="F187" t="inlineStr">
        <is>
          <t>VÄRMLANDS LÄN</t>
        </is>
      </c>
      <c r="G187" t="inlineStr">
        <is>
          <t>HAGFORS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46252</v>
      </c>
      <c r="F188" t="inlineStr">
        <is>
          <t>VÄRMLANDS LÄN</t>
        </is>
      </c>
      <c r="G188" t="inlineStr">
        <is>
          <t>HAGFORS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46252</v>
      </c>
      <c r="F191" t="inlineStr">
        <is>
          <t>VÄRMLANDS LÄN</t>
        </is>
      </c>
      <c r="G191" t="inlineStr">
        <is>
          <t>HAGFORS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45845</v>
      </c>
      <c r="E192" s="1" t="n">
        <v>46252</v>
      </c>
      <c r="F192" t="inlineStr">
        <is>
          <t>VÄRMLANDS LÄN</t>
        </is>
      </c>
      <c r="G192" t="inlineStr">
        <is>
          <t>HAGFORS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46252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46252</v>
      </c>
      <c r="F194" t="inlineStr">
        <is>
          <t>VÄRMLANDS LÄN</t>
        </is>
      </c>
      <c r="G194" t="inlineStr">
        <is>
          <t>HAGFORS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46252</v>
      </c>
      <c r="F195" t="inlineStr">
        <is>
          <t>VÄRMLANDS LÄN</t>
        </is>
      </c>
      <c r="G195" t="inlineStr">
        <is>
          <t>HAGFORS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46252</v>
      </c>
      <c r="F196" t="inlineStr">
        <is>
          <t>VÄRMLANDS LÄN</t>
        </is>
      </c>
      <c r="G196" t="inlineStr">
        <is>
          <t>HAGFORS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46252</v>
      </c>
      <c r="F197" t="inlineStr">
        <is>
          <t>VÄRMLANDS LÄN</t>
        </is>
      </c>
      <c r="G197" t="inlineStr">
        <is>
          <t>HAGFORS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46252</v>
      </c>
      <c r="F198" t="inlineStr">
        <is>
          <t>VÄRMLANDS LÄN</t>
        </is>
      </c>
      <c r="G198" t="inlineStr">
        <is>
          <t>HAGFORS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46252</v>
      </c>
      <c r="F199" t="inlineStr">
        <is>
          <t>VÄRMLANDS LÄN</t>
        </is>
      </c>
      <c r="G199" t="inlineStr">
        <is>
          <t>HAGFORS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46252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45565</v>
      </c>
      <c r="E201" s="1" t="n">
        <v>46252</v>
      </c>
      <c r="F201" t="inlineStr">
        <is>
          <t>VÄRMLANDS LÄN</t>
        </is>
      </c>
      <c r="G201" t="inlineStr">
        <is>
          <t>HAGFORS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46252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53192-2022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46252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46252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46252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46252</v>
      </c>
      <c r="F206" t="inlineStr">
        <is>
          <t>VÄRMLANDS LÄN</t>
        </is>
      </c>
      <c r="G206" t="inlineStr">
        <is>
          <t>HAGFORS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61902-2021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46252</v>
      </c>
      <c r="F207" t="inlineStr">
        <is>
          <t>VÄRMLANDS LÄN</t>
        </is>
      </c>
      <c r="G207" t="inlineStr">
        <is>
          <t>HAGFORS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46252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46252</v>
      </c>
      <c r="F209" t="inlineStr">
        <is>
          <t>VÄRMLANDS LÄN</t>
        </is>
      </c>
      <c r="G209" t="inlineStr">
        <is>
          <t>HAGFORS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45928</v>
      </c>
      <c r="E210" s="1" t="n">
        <v>46252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13.8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46252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45854</v>
      </c>
      <c r="E212" s="1" t="n">
        <v>46252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46252</v>
      </c>
      <c r="F213" t="inlineStr">
        <is>
          <t>VÄRMLANDS LÄN</t>
        </is>
      </c>
      <c r="G213" t="inlineStr">
        <is>
          <t>HAGFORS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45927</v>
      </c>
      <c r="E214" s="1" t="n">
        <v>46252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45927</v>
      </c>
      <c r="E215" s="1" t="n">
        <v>46252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46252</v>
      </c>
      <c r="F216" t="inlineStr">
        <is>
          <t>VÄRMLANDS LÄN</t>
        </is>
      </c>
      <c r="G216" t="inlineStr">
        <is>
          <t>HAGFORS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52083-2024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46252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44434</v>
      </c>
      <c r="E218" s="1" t="n">
        <v>46252</v>
      </c>
      <c r="F218" t="inlineStr">
        <is>
          <t>VÄRMLANDS LÄN</t>
        </is>
      </c>
      <c r="G218" t="inlineStr">
        <is>
          <t>HAGFORS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46252</v>
      </c>
      <c r="F219" t="inlineStr">
        <is>
          <t>VÄRMLANDS LÄN</t>
        </is>
      </c>
      <c r="G219" t="inlineStr">
        <is>
          <t>HAGFORS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46252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46252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45218-2021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44439</v>
      </c>
      <c r="E222" s="1" t="n">
        <v>46252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49.5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46252</v>
      </c>
      <c r="F223" t="inlineStr">
        <is>
          <t>VÄRMLANDS LÄN</t>
        </is>
      </c>
      <c r="G223" t="inlineStr">
        <is>
          <t>HAGFORS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45036</v>
      </c>
      <c r="E224" s="1" t="n">
        <v>46252</v>
      </c>
      <c r="F224" t="inlineStr">
        <is>
          <t>VÄRMLANDS LÄN</t>
        </is>
      </c>
      <c r="G224" t="inlineStr">
        <is>
          <t>HAGFORS</t>
        </is>
      </c>
      <c r="H224" t="inlineStr">
        <is>
          <t>Kommuner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45933</v>
      </c>
      <c r="E225" s="1" t="n">
        <v>46252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45618</v>
      </c>
      <c r="E226" s="1" t="n">
        <v>46252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44613</v>
      </c>
      <c r="E227" s="1" t="n">
        <v>46252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46252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46252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44664</v>
      </c>
      <c r="E230" s="1" t="n">
        <v>46252</v>
      </c>
      <c r="F230" t="inlineStr">
        <is>
          <t>VÄRMLANDS LÄN</t>
        </is>
      </c>
      <c r="G230" t="inlineStr">
        <is>
          <t>HAGFORS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46252</v>
      </c>
      <c r="F231" t="inlineStr">
        <is>
          <t>VÄRMLANDS LÄN</t>
        </is>
      </c>
      <c r="G231" t="inlineStr">
        <is>
          <t>HAGFORS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61169-2024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45645</v>
      </c>
      <c r="E232" s="1" t="n">
        <v>46252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46252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46252</v>
      </c>
      <c r="F235" t="inlineStr">
        <is>
          <t>VÄRMLANDS LÄN</t>
        </is>
      </c>
      <c r="G235" t="inlineStr">
        <is>
          <t>HAGFORS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46252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46252</v>
      </c>
      <c r="F237" t="inlineStr">
        <is>
          <t>VÄRMLANDS LÄN</t>
        </is>
      </c>
      <c r="G237" t="inlineStr">
        <is>
          <t>HAGFORS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45461</v>
      </c>
      <c r="E238" s="1" t="n">
        <v>46252</v>
      </c>
      <c r="F238" t="inlineStr">
        <is>
          <t>VÄRMLANDS LÄN</t>
        </is>
      </c>
      <c r="G238" t="inlineStr">
        <is>
          <t>HAGFORS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46252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46252</v>
      </c>
      <c r="F240" t="inlineStr">
        <is>
          <t>VÄRMLANDS LÄN</t>
        </is>
      </c>
      <c r="G240" t="inlineStr">
        <is>
          <t>HAGFORS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46252</v>
      </c>
      <c r="F241" t="inlineStr">
        <is>
          <t>VÄRMLANDS LÄN</t>
        </is>
      </c>
      <c r="G241" t="inlineStr">
        <is>
          <t>HAGFORS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46252</v>
      </c>
      <c r="F242" t="inlineStr">
        <is>
          <t>VÄRMLANDS LÄN</t>
        </is>
      </c>
      <c r="G242" t="inlineStr">
        <is>
          <t>HAGFORS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46252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58210-2022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44901</v>
      </c>
      <c r="E244" s="1" t="n">
        <v>46252</v>
      </c>
      <c r="F244" t="inlineStr">
        <is>
          <t>VÄRMLANDS LÄN</t>
        </is>
      </c>
      <c r="G244" t="inlineStr">
        <is>
          <t>HAGFORS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46252</v>
      </c>
      <c r="F245" t="inlineStr">
        <is>
          <t>VÄRMLANDS LÄN</t>
        </is>
      </c>
      <c r="G245" t="inlineStr">
        <is>
          <t>HAGFORS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46252</v>
      </c>
      <c r="F246" t="inlineStr">
        <is>
          <t>VÄRMLANDS LÄN</t>
        </is>
      </c>
      <c r="G246" t="inlineStr">
        <is>
          <t>HAGFORS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46252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46252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46252</v>
      </c>
      <c r="F249" t="inlineStr">
        <is>
          <t>VÄRMLANDS LÄN</t>
        </is>
      </c>
      <c r="G249" t="inlineStr">
        <is>
          <t>HAGFORS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45941</v>
      </c>
      <c r="E250" s="1" t="n">
        <v>46252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45435</v>
      </c>
      <c r="E251" s="1" t="n">
        <v>46252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46252</v>
      </c>
      <c r="F252" t="inlineStr">
        <is>
          <t>VÄRMLANDS LÄN</t>
        </is>
      </c>
      <c r="G252" t="inlineStr">
        <is>
          <t>HAGFORS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59048-2022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44903</v>
      </c>
      <c r="E253" s="1" t="n">
        <v>46252</v>
      </c>
      <c r="F253" t="inlineStr">
        <is>
          <t>VÄRMLANDS LÄN</t>
        </is>
      </c>
      <c r="G253" t="inlineStr">
        <is>
          <t>HAGFORS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46252</v>
      </c>
      <c r="F254" t="inlineStr">
        <is>
          <t>VÄRMLANDS LÄN</t>
        </is>
      </c>
      <c r="G254" t="inlineStr">
        <is>
          <t>HAGFORS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45947</v>
      </c>
      <c r="E255" s="1" t="n">
        <v>46252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46252</v>
      </c>
      <c r="F256" t="inlineStr">
        <is>
          <t>VÄRMLANDS LÄN</t>
        </is>
      </c>
      <c r="G256" t="inlineStr">
        <is>
          <t>HAGFORS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46252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45057</v>
      </c>
      <c r="E258" s="1" t="n">
        <v>46252</v>
      </c>
      <c r="F258" t="inlineStr">
        <is>
          <t>VÄRMLANDS LÄN</t>
        </is>
      </c>
      <c r="G258" t="inlineStr">
        <is>
          <t>HAGFORS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46252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46252</v>
      </c>
      <c r="F260" t="inlineStr">
        <is>
          <t>VÄRMLANDS LÄN</t>
        </is>
      </c>
      <c r="G260" t="inlineStr">
        <is>
          <t>HAGFORS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45258</v>
      </c>
      <c r="E261" s="1" t="n">
        <v>46252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19554-2024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45429</v>
      </c>
      <c r="E262" s="1" t="n">
        <v>46252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50752-2025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46252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46252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45949</v>
      </c>
      <c r="E265" s="1" t="n">
        <v>46252</v>
      </c>
      <c r="F265" t="inlineStr">
        <is>
          <t>VÄRMLANDS LÄN</t>
        </is>
      </c>
      <c r="G265" t="inlineStr">
        <is>
          <t>HAGFORS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46252</v>
      </c>
      <c r="F266" t="inlineStr">
        <is>
          <t>VÄRMLANDS LÄN</t>
        </is>
      </c>
      <c r="G266" t="inlineStr">
        <is>
          <t>HAGFORS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46252</v>
      </c>
      <c r="F267" t="inlineStr">
        <is>
          <t>VÄRMLANDS LÄN</t>
        </is>
      </c>
      <c r="G267" t="inlineStr">
        <is>
          <t>HAGFORS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46252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44763</v>
      </c>
      <c r="E269" s="1" t="n">
        <v>46252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45226</v>
      </c>
      <c r="E270" s="1" t="n">
        <v>46252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45476</v>
      </c>
      <c r="E271" s="1" t="n">
        <v>46252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43309-2022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44834</v>
      </c>
      <c r="E272" s="1" t="n">
        <v>46252</v>
      </c>
      <c r="F272" t="inlineStr">
        <is>
          <t>VÄRMLANDS LÄN</t>
        </is>
      </c>
      <c r="G272" t="inlineStr">
        <is>
          <t>HAGFORS</t>
        </is>
      </c>
      <c r="H272" t="inlineStr">
        <is>
          <t>Kyrkan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45420</v>
      </c>
      <c r="E273" s="1" t="n">
        <v>46252</v>
      </c>
      <c r="F273" t="inlineStr">
        <is>
          <t>VÄRMLANDS LÄN</t>
        </is>
      </c>
      <c r="G273" t="inlineStr">
        <is>
          <t>HAGFORS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45569</v>
      </c>
      <c r="E274" s="1" t="n">
        <v>46252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45051</v>
      </c>
      <c r="E275" s="1" t="n">
        <v>46252</v>
      </c>
      <c r="F275" t="inlineStr">
        <is>
          <t>VÄRMLANDS LÄN</t>
        </is>
      </c>
      <c r="G275" t="inlineStr">
        <is>
          <t>HAGFORS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46252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44887</v>
      </c>
      <c r="E277" s="1" t="n">
        <v>46252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46252</v>
      </c>
      <c r="F278" t="inlineStr">
        <is>
          <t>VÄRMLANDS LÄN</t>
        </is>
      </c>
      <c r="G278" t="inlineStr">
        <is>
          <t>HAGFORS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52479-2025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45954</v>
      </c>
      <c r="E279" s="1" t="n">
        <v>46252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45435</v>
      </c>
      <c r="E280" s="1" t="n">
        <v>46252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46252</v>
      </c>
      <c r="F281" t="inlineStr">
        <is>
          <t>VÄRMLANDS LÄN</t>
        </is>
      </c>
      <c r="G281" t="inlineStr">
        <is>
          <t>HAGFORS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46252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46252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46252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45720</v>
      </c>
      <c r="E285" s="1" t="n">
        <v>46252</v>
      </c>
      <c r="F285" t="inlineStr">
        <is>
          <t>VÄRMLANDS LÄN</t>
        </is>
      </c>
      <c r="G285" t="inlineStr">
        <is>
          <t>HAGFORS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46252</v>
      </c>
      <c r="F286" t="inlineStr">
        <is>
          <t>VÄRMLANDS LÄN</t>
        </is>
      </c>
      <c r="G286" t="inlineStr">
        <is>
          <t>HAGFORS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46252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44649</v>
      </c>
      <c r="E288" s="1" t="n">
        <v>46252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70712-2021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44537</v>
      </c>
      <c r="E289" s="1" t="n">
        <v>46252</v>
      </c>
      <c r="F289" t="inlineStr">
        <is>
          <t>VÄRMLANDS LÄN</t>
        </is>
      </c>
      <c r="G289" t="inlineStr">
        <is>
          <t>HAGFORS</t>
        </is>
      </c>
      <c r="H289" t="inlineStr">
        <is>
          <t>Kommuner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44903</v>
      </c>
      <c r="E290" s="1" t="n">
        <v>46252</v>
      </c>
      <c r="F290" t="inlineStr">
        <is>
          <t>VÄRMLANDS LÄN</t>
        </is>
      </c>
      <c r="G290" t="inlineStr">
        <is>
          <t>HAGFORS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46252</v>
      </c>
      <c r="F291" t="inlineStr">
        <is>
          <t>VÄRMLANDS LÄN</t>
        </is>
      </c>
      <c r="G291" t="inlineStr">
        <is>
          <t>HAGFORS</t>
        </is>
      </c>
      <c r="H291" t="inlineStr">
        <is>
          <t>Kommuner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45338</v>
      </c>
      <c r="E292" s="1" t="n">
        <v>46252</v>
      </c>
      <c r="F292" t="inlineStr">
        <is>
          <t>VÄRMLANDS LÄN</t>
        </is>
      </c>
      <c r="G292" t="inlineStr">
        <is>
          <t>HAGFORS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46252</v>
      </c>
      <c r="F293" t="inlineStr">
        <is>
          <t>VÄRMLANDS LÄN</t>
        </is>
      </c>
      <c r="G293" t="inlineStr">
        <is>
          <t>HAGFORS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45961</v>
      </c>
      <c r="E294" s="1" t="n">
        <v>46252</v>
      </c>
      <c r="F294" t="inlineStr">
        <is>
          <t>VÄRMLANDS LÄN</t>
        </is>
      </c>
      <c r="G294" t="inlineStr">
        <is>
          <t>HAGFORS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46252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46252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45525</v>
      </c>
      <c r="E297" s="1" t="n">
        <v>46252</v>
      </c>
      <c r="F297" t="inlineStr">
        <is>
          <t>VÄRMLANDS LÄN</t>
        </is>
      </c>
      <c r="G297" t="inlineStr">
        <is>
          <t>HAGFORS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46252</v>
      </c>
      <c r="F298" t="inlineStr">
        <is>
          <t>VÄRMLANDS LÄN</t>
        </is>
      </c>
      <c r="G298" t="inlineStr">
        <is>
          <t>HAGFORS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46252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44770</v>
      </c>
      <c r="E300" s="1" t="n">
        <v>46252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35994-2024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45533</v>
      </c>
      <c r="E301" s="1" t="n">
        <v>46252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65065-2023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45287</v>
      </c>
      <c r="E302" s="1" t="n">
        <v>46252</v>
      </c>
      <c r="F302" t="inlineStr">
        <is>
          <t>VÄRMLANDS LÄN</t>
        </is>
      </c>
      <c r="G302" t="inlineStr">
        <is>
          <t>HAGFORS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42593-2021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44428</v>
      </c>
      <c r="E303" s="1" t="n">
        <v>46252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46252</v>
      </c>
      <c r="F304" t="inlineStr">
        <is>
          <t>VÄRMLANDS LÄN</t>
        </is>
      </c>
      <c r="G304" t="inlineStr">
        <is>
          <t>HAGFORS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46252</v>
      </c>
      <c r="F305" t="inlineStr">
        <is>
          <t>VÄRMLANDS LÄN</t>
        </is>
      </c>
      <c r="G305" t="inlineStr">
        <is>
          <t>HAGFORS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46252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45226</v>
      </c>
      <c r="E307" s="1" t="n">
        <v>46252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46252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46252</v>
      </c>
      <c r="F309" t="inlineStr">
        <is>
          <t>VÄRMLANDS LÄN</t>
        </is>
      </c>
      <c r="G309" t="inlineStr">
        <is>
          <t>HAGFORS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45162</v>
      </c>
      <c r="E310" s="1" t="n">
        <v>46252</v>
      </c>
      <c r="F310" t="inlineStr">
        <is>
          <t>VÄRMLANDS LÄN</t>
        </is>
      </c>
      <c r="G310" t="inlineStr">
        <is>
          <t>HAGFORS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46252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45765</v>
      </c>
      <c r="E312" s="1" t="n">
        <v>46252</v>
      </c>
      <c r="F312" t="inlineStr">
        <is>
          <t>VÄRMLANDS LÄN</t>
        </is>
      </c>
      <c r="G312" t="inlineStr">
        <is>
          <t>HAGFORS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46252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46252</v>
      </c>
      <c r="F314" t="inlineStr">
        <is>
          <t>VÄRMLANDS LÄN</t>
        </is>
      </c>
      <c r="G314" t="inlineStr">
        <is>
          <t>HAGFORS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45055</v>
      </c>
      <c r="E315" s="1" t="n">
        <v>46252</v>
      </c>
      <c r="F315" t="inlineStr">
        <is>
          <t>VÄRMLANDS LÄN</t>
        </is>
      </c>
      <c r="G315" t="inlineStr">
        <is>
          <t>HAGFORS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61140-2023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45261</v>
      </c>
      <c r="E316" s="1" t="n">
        <v>46252</v>
      </c>
      <c r="F316" t="inlineStr">
        <is>
          <t>VÄRMLANDS LÄN</t>
        </is>
      </c>
      <c r="G316" t="inlineStr">
        <is>
          <t>HAGFORS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45223</v>
      </c>
      <c r="E317" s="1" t="n">
        <v>46252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46252</v>
      </c>
      <c r="F318" t="inlineStr">
        <is>
          <t>VÄRMLANDS LÄN</t>
        </is>
      </c>
      <c r="G318" t="inlineStr">
        <is>
          <t>HAGFORS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45461</v>
      </c>
      <c r="E319" s="1" t="n">
        <v>46252</v>
      </c>
      <c r="F319" t="inlineStr">
        <is>
          <t>VÄRMLANDS LÄN</t>
        </is>
      </c>
      <c r="G319" t="inlineStr">
        <is>
          <t>HAGFORS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56165-2024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45624</v>
      </c>
      <c r="E320" s="1" t="n">
        <v>46252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46252</v>
      </c>
      <c r="F321" t="inlineStr">
        <is>
          <t>VÄRMLANDS LÄN</t>
        </is>
      </c>
      <c r="G321" t="inlineStr">
        <is>
          <t>HAGFORS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46252</v>
      </c>
      <c r="F322" t="inlineStr">
        <is>
          <t>VÄRMLANDS LÄN</t>
        </is>
      </c>
      <c r="G322" t="inlineStr">
        <is>
          <t>HAGFORS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46252</v>
      </c>
      <c r="F323" t="inlineStr">
        <is>
          <t>VÄRMLANDS LÄN</t>
        </is>
      </c>
      <c r="G323" t="inlineStr">
        <is>
          <t>HAGFORS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46252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45741</v>
      </c>
      <c r="E325" s="1" t="n">
        <v>46252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46252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46252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27826-2024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45475</v>
      </c>
      <c r="E328" s="1" t="n">
        <v>46252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45475</v>
      </c>
      <c r="E329" s="1" t="n">
        <v>46252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45443</v>
      </c>
      <c r="E330" s="1" t="n">
        <v>46252</v>
      </c>
      <c r="F330" t="inlineStr">
        <is>
          <t>VÄRMLANDS LÄN</t>
        </is>
      </c>
      <c r="G330" t="inlineStr">
        <is>
          <t>HAGFORS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46252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45534</v>
      </c>
      <c r="E332" s="1" t="n">
        <v>46252</v>
      </c>
      <c r="F332" t="inlineStr">
        <is>
          <t>VÄRMLANDS LÄN</t>
        </is>
      </c>
      <c r="G332" t="inlineStr">
        <is>
          <t>HAGFORS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46252</v>
      </c>
      <c r="F333" t="inlineStr">
        <is>
          <t>VÄRMLANDS LÄN</t>
        </is>
      </c>
      <c r="G333" t="inlineStr">
        <is>
          <t>HAGFORS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46252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45475</v>
      </c>
      <c r="E335" s="1" t="n">
        <v>46252</v>
      </c>
      <c r="F335" t="inlineStr">
        <is>
          <t>VÄRMLANDS LÄN</t>
        </is>
      </c>
      <c r="G335" t="inlineStr">
        <is>
          <t>HAGFORS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46252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45434</v>
      </c>
      <c r="E337" s="1" t="n">
        <v>46252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45725</v>
      </c>
      <c r="E338" s="1" t="n">
        <v>46252</v>
      </c>
      <c r="F338" t="inlineStr">
        <is>
          <t>VÄRMLANDS LÄN</t>
        </is>
      </c>
      <c r="G338" t="inlineStr">
        <is>
          <t>HAGFORS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45400</v>
      </c>
      <c r="E339" s="1" t="n">
        <v>46252</v>
      </c>
      <c r="F339" t="inlineStr">
        <is>
          <t>VÄRMLANDS LÄN</t>
        </is>
      </c>
      <c r="G339" t="inlineStr">
        <is>
          <t>HAGFORS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46252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46252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46252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44567</v>
      </c>
      <c r="E343" s="1" t="n">
        <v>46252</v>
      </c>
      <c r="F343" t="inlineStr">
        <is>
          <t>VÄRMLANDS LÄN</t>
        </is>
      </c>
      <c r="G343" t="inlineStr">
        <is>
          <t>HAGFORS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46252</v>
      </c>
      <c r="F344" t="inlineStr">
        <is>
          <t>VÄRMLANDS LÄN</t>
        </is>
      </c>
      <c r="G344" t="inlineStr">
        <is>
          <t>HAGFORS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45526</v>
      </c>
      <c r="E345" s="1" t="n">
        <v>46252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46252</v>
      </c>
      <c r="F346" t="inlineStr">
        <is>
          <t>VÄRMLANDS LÄN</t>
        </is>
      </c>
      <c r="G346" t="inlineStr">
        <is>
          <t>HAGFORS</t>
        </is>
      </c>
      <c r="H346" t="inlineStr">
        <is>
          <t>Kyrkan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46252</v>
      </c>
      <c r="F347" t="inlineStr">
        <is>
          <t>VÄRMLANDS LÄN</t>
        </is>
      </c>
      <c r="G347" t="inlineStr">
        <is>
          <t>HAGFORS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46252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45562</v>
      </c>
      <c r="E349" s="1" t="n">
        <v>46252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46252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44566</v>
      </c>
      <c r="E351" s="1" t="n">
        <v>46252</v>
      </c>
      <c r="F351" t="inlineStr">
        <is>
          <t>VÄRMLANDS LÄN</t>
        </is>
      </c>
      <c r="G351" t="inlineStr">
        <is>
          <t>HAGFORS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57379-2022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44896</v>
      </c>
      <c r="E352" s="1" t="n">
        <v>46252</v>
      </c>
      <c r="F352" t="inlineStr">
        <is>
          <t>VÄRMLANDS LÄN</t>
        </is>
      </c>
      <c r="G352" t="inlineStr">
        <is>
          <t>HAGFORS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45140</v>
      </c>
      <c r="E353" s="1" t="n">
        <v>46252</v>
      </c>
      <c r="F353" t="inlineStr">
        <is>
          <t>VÄRMLANDS LÄN</t>
        </is>
      </c>
      <c r="G353" t="inlineStr">
        <is>
          <t>HAGFORS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45741</v>
      </c>
      <c r="E354" s="1" t="n">
        <v>46252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58278-2025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46252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54757-2022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44883</v>
      </c>
      <c r="E356" s="1" t="n">
        <v>46252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46252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45575</v>
      </c>
      <c r="E358" s="1" t="n">
        <v>46252</v>
      </c>
      <c r="F358" t="inlineStr">
        <is>
          <t>VÄRMLANDS LÄN</t>
        </is>
      </c>
      <c r="G358" t="inlineStr">
        <is>
          <t>HAGFORS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52224-2023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45224</v>
      </c>
      <c r="E359" s="1" t="n">
        <v>46252</v>
      </c>
      <c r="F359" t="inlineStr">
        <is>
          <t>VÄRMLANDS LÄN</t>
        </is>
      </c>
      <c r="G359" t="inlineStr">
        <is>
          <t>HAGFORS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46252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37463-2022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44809</v>
      </c>
      <c r="E361" s="1" t="n">
        <v>46252</v>
      </c>
      <c r="F361" t="inlineStr">
        <is>
          <t>VÄRMLANDS LÄN</t>
        </is>
      </c>
      <c r="G361" t="inlineStr">
        <is>
          <t>HAGFORS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45147</v>
      </c>
      <c r="E362" s="1" t="n">
        <v>46252</v>
      </c>
      <c r="F362" t="inlineStr">
        <is>
          <t>VÄRMLANDS LÄN</t>
        </is>
      </c>
      <c r="G362" t="inlineStr">
        <is>
          <t>HAGFORS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59047-2025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45988</v>
      </c>
      <c r="E363" s="1" t="n">
        <v>46252</v>
      </c>
      <c r="F363" t="inlineStr">
        <is>
          <t>VÄRMLANDS LÄN</t>
        </is>
      </c>
      <c r="G363" t="inlineStr">
        <is>
          <t>HAGFORS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45268</v>
      </c>
      <c r="E364" s="1" t="n">
        <v>46252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45057</v>
      </c>
      <c r="E365" s="1" t="n">
        <v>46252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44817</v>
      </c>
      <c r="E366" s="1" t="n">
        <v>46252</v>
      </c>
      <c r="F366" t="inlineStr">
        <is>
          <t>VÄRMLANDS LÄN</t>
        </is>
      </c>
      <c r="G366" t="inlineStr">
        <is>
          <t>HAGFORS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45615</v>
      </c>
      <c r="E367" s="1" t="n">
        <v>46252</v>
      </c>
      <c r="F367" t="inlineStr">
        <is>
          <t>VÄRMLANDS LÄN</t>
        </is>
      </c>
      <c r="G367" t="inlineStr">
        <is>
          <t>HAGFORS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46252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18.8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45062</v>
      </c>
      <c r="E369" s="1" t="n">
        <v>46252</v>
      </c>
      <c r="F369" t="inlineStr">
        <is>
          <t>VÄRMLANDS LÄN</t>
        </is>
      </c>
      <c r="G369" t="inlineStr">
        <is>
          <t>HAGFORS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46252</v>
      </c>
      <c r="F370" t="inlineStr">
        <is>
          <t>VÄRMLANDS LÄN</t>
        </is>
      </c>
      <c r="G370" t="inlineStr">
        <is>
          <t>HAGFORS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45433</v>
      </c>
      <c r="E371" s="1" t="n">
        <v>46252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45470</v>
      </c>
      <c r="E372" s="1" t="n">
        <v>46252</v>
      </c>
      <c r="F372" t="inlineStr">
        <is>
          <t>VÄRMLANDS LÄN</t>
        </is>
      </c>
      <c r="G372" t="inlineStr">
        <is>
          <t>HAGFORS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42175-2024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46252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46252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46252</v>
      </c>
      <c r="F375" t="inlineStr">
        <is>
          <t>VÄRMLANDS LÄN</t>
        </is>
      </c>
      <c r="G375" t="inlineStr">
        <is>
          <t>HAGFORS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60648-2025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45996</v>
      </c>
      <c r="E376" s="1" t="n">
        <v>46252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25258-2023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45079</v>
      </c>
      <c r="E377" s="1" t="n">
        <v>46252</v>
      </c>
      <c r="F377" t="inlineStr">
        <is>
          <t>VÄRMLANDS LÄN</t>
        </is>
      </c>
      <c r="G377" t="inlineStr">
        <is>
          <t>HAGFORS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46252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45673</v>
      </c>
      <c r="E379" s="1" t="n">
        <v>46252</v>
      </c>
      <c r="F379" t="inlineStr">
        <is>
          <t>VÄRMLANDS LÄN</t>
        </is>
      </c>
      <c r="G379" t="inlineStr">
        <is>
          <t>HAGFORS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45005</v>
      </c>
      <c r="E380" s="1" t="n">
        <v>46252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33969-2022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44790</v>
      </c>
      <c r="E381" s="1" t="n">
        <v>46252</v>
      </c>
      <c r="F381" t="inlineStr">
        <is>
          <t>VÄRMLANDS LÄN</t>
        </is>
      </c>
      <c r="G381" t="inlineStr">
        <is>
          <t>HAGFORS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46252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21451-2024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45441</v>
      </c>
      <c r="E383" s="1" t="n">
        <v>46252</v>
      </c>
      <c r="F383" t="inlineStr">
        <is>
          <t>VÄRMLANDS LÄN</t>
        </is>
      </c>
      <c r="G383" t="inlineStr">
        <is>
          <t>HAGFORS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31660-2022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44776</v>
      </c>
      <c r="E384" s="1" t="n">
        <v>46252</v>
      </c>
      <c r="F384" t="inlineStr">
        <is>
          <t>VÄRMLANDS LÄN</t>
        </is>
      </c>
      <c r="G384" t="inlineStr">
        <is>
          <t>HAGFORS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61843-2025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46003</v>
      </c>
      <c r="E385" s="1" t="n">
        <v>46252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46252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61718-2025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46002</v>
      </c>
      <c r="E387" s="1" t="n">
        <v>46252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32147-2023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46252</v>
      </c>
      <c r="F388" t="inlineStr">
        <is>
          <t>VÄRMLANDS LÄN</t>
        </is>
      </c>
      <c r="G388" t="inlineStr">
        <is>
          <t>HAGFORS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45106</v>
      </c>
      <c r="E389" s="1" t="n">
        <v>46252</v>
      </c>
      <c r="F389" t="inlineStr">
        <is>
          <t>VÄRMLANDS LÄN</t>
        </is>
      </c>
      <c r="G389" t="inlineStr">
        <is>
          <t>HAGFORS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46252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46252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46252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46252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61910-2025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46003</v>
      </c>
      <c r="E394" s="1" t="n">
        <v>46252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46007</v>
      </c>
      <c r="E395" s="1" t="n">
        <v>46252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46252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62168-2025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46006</v>
      </c>
      <c r="E397" s="1" t="n">
        <v>46252</v>
      </c>
      <c r="F397" t="inlineStr">
        <is>
          <t>VÄRMLANDS LÄN</t>
        </is>
      </c>
      <c r="G397" t="inlineStr">
        <is>
          <t>HAGFORS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64155-2023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46252</v>
      </c>
      <c r="F398" t="inlineStr">
        <is>
          <t>VÄRMLANDS LÄN</t>
        </is>
      </c>
      <c r="G398" t="inlineStr">
        <is>
          <t>HAGFORS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45203</v>
      </c>
      <c r="E399" s="1" t="n">
        <v>46252</v>
      </c>
      <c r="F399" t="inlineStr">
        <is>
          <t>VÄRMLANDS LÄN</t>
        </is>
      </c>
      <c r="G399" t="inlineStr">
        <is>
          <t>HAGFORS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46252</v>
      </c>
      <c r="F400" t="inlineStr">
        <is>
          <t>VÄRMLANDS LÄN</t>
        </is>
      </c>
      <c r="G400" t="inlineStr">
        <is>
          <t>HAGFORS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46252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31657-2024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45506</v>
      </c>
      <c r="E402" s="1" t="n">
        <v>46252</v>
      </c>
      <c r="F402" t="inlineStr">
        <is>
          <t>VÄRMLANDS LÄN</t>
        </is>
      </c>
      <c r="G402" t="inlineStr">
        <is>
          <t>HAGFORS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46252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46252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45328</v>
      </c>
      <c r="E405" s="1" t="n">
        <v>46252</v>
      </c>
      <c r="F405" t="inlineStr">
        <is>
          <t>VÄRMLANDS LÄN</t>
        </is>
      </c>
      <c r="G405" t="inlineStr">
        <is>
          <t>HAGFORS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63301-2025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46252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63361-2025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46252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44951</v>
      </c>
      <c r="E408" s="1" t="n">
        <v>46252</v>
      </c>
      <c r="F408" t="inlineStr">
        <is>
          <t>VÄRMLANDS LÄN</t>
        </is>
      </c>
      <c r="G408" t="inlineStr">
        <is>
          <t>HAGFORS</t>
        </is>
      </c>
      <c r="H408" t="inlineStr">
        <is>
          <t>Kommuner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64936-2023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45282</v>
      </c>
      <c r="E409" s="1" t="n">
        <v>46252</v>
      </c>
      <c r="F409" t="inlineStr">
        <is>
          <t>VÄRMLANDS LÄN</t>
        </is>
      </c>
      <c r="G409" t="inlineStr">
        <is>
          <t>HAGFORS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46252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45638</v>
      </c>
      <c r="E411" s="1" t="n">
        <v>46252</v>
      </c>
      <c r="F411" t="inlineStr">
        <is>
          <t>VÄRMLANDS LÄN</t>
        </is>
      </c>
      <c r="G411" t="inlineStr">
        <is>
          <t>HAGFORS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45684</v>
      </c>
      <c r="E412" s="1" t="n">
        <v>46252</v>
      </c>
      <c r="F412" t="inlineStr">
        <is>
          <t>VÄRMLANDS LÄN</t>
        </is>
      </c>
      <c r="G412" t="inlineStr">
        <is>
          <t>HAGFORS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45436</v>
      </c>
      <c r="E413" s="1" t="n">
        <v>46252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44949</v>
      </c>
      <c r="E414" s="1" t="n">
        <v>46252</v>
      </c>
      <c r="F414" t="inlineStr">
        <is>
          <t>VÄRMLANDS LÄN</t>
        </is>
      </c>
      <c r="G414" t="inlineStr">
        <is>
          <t>HAGFORS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11104-2022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44628</v>
      </c>
      <c r="E415" s="1" t="n">
        <v>46252</v>
      </c>
      <c r="F415" t="inlineStr">
        <is>
          <t>VÄRMLANDS LÄN</t>
        </is>
      </c>
      <c r="G415" t="inlineStr">
        <is>
          <t>HAGFORS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30327-2022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46252</v>
      </c>
      <c r="F416" t="inlineStr">
        <is>
          <t>VÄRMLANDS LÄN</t>
        </is>
      </c>
      <c r="G416" t="inlineStr">
        <is>
          <t>HAGFORS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46252</v>
      </c>
      <c r="F417" t="inlineStr">
        <is>
          <t>VÄRMLANDS LÄN</t>
        </is>
      </c>
      <c r="G417" t="inlineStr">
        <is>
          <t>HAGFORS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16824-2023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45033</v>
      </c>
      <c r="E418" s="1" t="n">
        <v>46252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63834-2025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46020</v>
      </c>
      <c r="E419" s="1" t="n">
        <v>46252</v>
      </c>
      <c r="F419" t="inlineStr">
        <is>
          <t>VÄRMLANDS LÄN</t>
        </is>
      </c>
      <c r="G419" t="inlineStr">
        <is>
          <t>HAGFORS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46252</v>
      </c>
      <c r="F420" t="inlineStr">
        <is>
          <t>VÄRMLANDS LÄN</t>
        </is>
      </c>
      <c r="G420" t="inlineStr">
        <is>
          <t>HAGFORS</t>
        </is>
      </c>
      <c r="I420" t="n">
        <v>7.7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46252</v>
      </c>
      <c r="F421" t="inlineStr">
        <is>
          <t>VÄRMLANDS LÄN</t>
        </is>
      </c>
      <c r="G421" t="inlineStr">
        <is>
          <t>HAGFORS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63831-2025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46020</v>
      </c>
      <c r="E422" s="1" t="n">
        <v>46252</v>
      </c>
      <c r="F422" t="inlineStr">
        <is>
          <t>VÄRMLANDS LÄN</t>
        </is>
      </c>
      <c r="G422" t="inlineStr">
        <is>
          <t>HAGFORS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46018</v>
      </c>
      <c r="E423" s="1" t="n">
        <v>46252</v>
      </c>
      <c r="F423" t="inlineStr">
        <is>
          <t>VÄRMLANDS LÄN</t>
        </is>
      </c>
      <c r="G423" t="inlineStr">
        <is>
          <t>HAGFORS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63765-2025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46018</v>
      </c>
      <c r="E424" s="1" t="n">
        <v>46252</v>
      </c>
      <c r="F424" t="inlineStr">
        <is>
          <t>VÄRMLANDS LÄN</t>
        </is>
      </c>
      <c r="G424" t="inlineStr">
        <is>
          <t>HAGFORS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46252</v>
      </c>
      <c r="F425" t="inlineStr">
        <is>
          <t>VÄRMLANDS LÄN</t>
        </is>
      </c>
      <c r="G425" t="inlineStr">
        <is>
          <t>HAGFORS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57162-2024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46252</v>
      </c>
      <c r="F426" t="inlineStr">
        <is>
          <t>VÄRMLANDS LÄN</t>
        </is>
      </c>
      <c r="G426" t="inlineStr">
        <is>
          <t>HAGFORS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45995</v>
      </c>
      <c r="E427" s="1" t="n">
        <v>46252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45050</v>
      </c>
      <c r="E428" s="1" t="n">
        <v>46252</v>
      </c>
      <c r="F428" t="inlineStr">
        <is>
          <t>VÄRMLANDS LÄN</t>
        </is>
      </c>
      <c r="G428" t="inlineStr">
        <is>
          <t>HAGFORS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46252</v>
      </c>
      <c r="F429" t="inlineStr">
        <is>
          <t>VÄRMLANDS LÄN</t>
        </is>
      </c>
      <c r="G429" t="inlineStr">
        <is>
          <t>HAGFORS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45310</v>
      </c>
      <c r="E430" s="1" t="n">
        <v>46252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48807-2025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45937</v>
      </c>
      <c r="E431" s="1" t="n">
        <v>46252</v>
      </c>
      <c r="F431" t="inlineStr">
        <is>
          <t>VÄRMLANDS LÄN</t>
        </is>
      </c>
      <c r="G431" t="inlineStr">
        <is>
          <t>HAGFORS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46252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22.7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46252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46252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46252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46252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39029-2022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44817</v>
      </c>
      <c r="E437" s="1" t="n">
        <v>46252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45681</v>
      </c>
      <c r="E438" s="1" t="n">
        <v>46252</v>
      </c>
      <c r="F438" t="inlineStr">
        <is>
          <t>VÄRMLANDS LÄN</t>
        </is>
      </c>
      <c r="G438" t="inlineStr">
        <is>
          <t>HAGFORS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975-2026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46030</v>
      </c>
      <c r="E439" s="1" t="n">
        <v>46252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46252</v>
      </c>
      <c r="F440" t="inlineStr">
        <is>
          <t>VÄRMLANDS LÄN</t>
        </is>
      </c>
      <c r="G440" t="inlineStr">
        <is>
          <t>HAGFORS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15228-2024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45400</v>
      </c>
      <c r="E441" s="1" t="n">
        <v>46252</v>
      </c>
      <c r="F441" t="inlineStr">
        <is>
          <t>VÄRMLANDS LÄN</t>
        </is>
      </c>
      <c r="G441" t="inlineStr">
        <is>
          <t>HAGFORS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46252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46252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46252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46252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45525</v>
      </c>
      <c r="E446" s="1" t="n">
        <v>46252</v>
      </c>
      <c r="F446" t="inlineStr">
        <is>
          <t>VÄRMLANDS LÄN</t>
        </is>
      </c>
      <c r="G446" t="inlineStr">
        <is>
          <t>HAGFORS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45716</v>
      </c>
      <c r="E447" s="1" t="n">
        <v>46252</v>
      </c>
      <c r="F447" t="inlineStr">
        <is>
          <t>VÄRMLANDS LÄN</t>
        </is>
      </c>
      <c r="G447" t="inlineStr">
        <is>
          <t>HAGFORS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30180-2022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44757</v>
      </c>
      <c r="E448" s="1" t="n">
        <v>46252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46252</v>
      </c>
      <c r="F449" t="inlineStr">
        <is>
          <t>VÄRMLANDS LÄN</t>
        </is>
      </c>
      <c r="G449" t="inlineStr">
        <is>
          <t>HAGFORS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45323</v>
      </c>
      <c r="E450" s="1" t="n">
        <v>46252</v>
      </c>
      <c r="F450" t="inlineStr">
        <is>
          <t>VÄRMLANDS LÄN</t>
        </is>
      </c>
      <c r="G450" t="inlineStr">
        <is>
          <t>HAGFORS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26342-2026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46252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36.8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30180-2023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46252</v>
      </c>
      <c r="F452" t="inlineStr">
        <is>
          <t>VÄRMLANDS LÄN</t>
        </is>
      </c>
      <c r="G452" t="inlineStr">
        <is>
          <t>HAGFORS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58808-2022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46252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18699-2022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46252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46252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20652-2022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44700</v>
      </c>
      <c r="E456" s="1" t="n">
        <v>46252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46252</v>
      </c>
      <c r="F457" t="inlineStr">
        <is>
          <t>VÄRMLANDS LÄN</t>
        </is>
      </c>
      <c r="G457" t="inlineStr">
        <is>
          <t>HAGFORS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44906-2024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45575</v>
      </c>
      <c r="E458" s="1" t="n">
        <v>46252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45420</v>
      </c>
      <c r="E459" s="1" t="n">
        <v>46252</v>
      </c>
      <c r="F459" t="inlineStr">
        <is>
          <t>VÄRMLANDS LÄN</t>
        </is>
      </c>
      <c r="G459" t="inlineStr">
        <is>
          <t>HAGFORS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45632</v>
      </c>
      <c r="E460" s="1" t="n">
        <v>46252</v>
      </c>
      <c r="F460" t="inlineStr">
        <is>
          <t>VÄRMLANDS LÄN</t>
        </is>
      </c>
      <c r="G460" t="inlineStr">
        <is>
          <t>HAGFORS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46252</v>
      </c>
      <c r="F461" t="inlineStr">
        <is>
          <t>VÄRMLANDS LÄN</t>
        </is>
      </c>
      <c r="G461" t="inlineStr">
        <is>
          <t>HAGFORS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45390</v>
      </c>
      <c r="E462" s="1" t="n">
        <v>46252</v>
      </c>
      <c r="F462" t="inlineStr">
        <is>
          <t>VÄRMLANDS LÄN</t>
        </is>
      </c>
      <c r="G462" t="inlineStr">
        <is>
          <t>HAGFORS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46252</v>
      </c>
      <c r="F463" t="inlineStr">
        <is>
          <t>VÄRMLANDS LÄN</t>
        </is>
      </c>
      <c r="G463" t="inlineStr">
        <is>
          <t>HAGFORS</t>
        </is>
      </c>
      <c r="I463" t="n">
        <v>13.1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46252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45679</v>
      </c>
      <c r="E465" s="1" t="n">
        <v>46252</v>
      </c>
      <c r="F465" t="inlineStr">
        <is>
          <t>VÄRMLANDS LÄN</t>
        </is>
      </c>
      <c r="G465" t="inlineStr">
        <is>
          <t>HAGFORS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36030-2023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45149</v>
      </c>
      <c r="E466" s="1" t="n">
        <v>46252</v>
      </c>
      <c r="F466" t="inlineStr">
        <is>
          <t>VÄRMLANDS LÄN</t>
        </is>
      </c>
      <c r="G466" t="inlineStr">
        <is>
          <t>HAGFORS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35065-2023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46252</v>
      </c>
      <c r="F467" t="inlineStr">
        <is>
          <t>VÄRMLANDS LÄN</t>
        </is>
      </c>
      <c r="G467" t="inlineStr">
        <is>
          <t>HAGFORS</t>
        </is>
      </c>
      <c r="I467" t="n">
        <v>13.5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38132-2022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44812</v>
      </c>
      <c r="E468" s="1" t="n">
        <v>46252</v>
      </c>
      <c r="F468" t="inlineStr">
        <is>
          <t>VÄRMLANDS LÄN</t>
        </is>
      </c>
      <c r="G468" t="inlineStr">
        <is>
          <t>HAGFORS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46252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46252</v>
      </c>
      <c r="F470" t="inlineStr">
        <is>
          <t>VÄRMLANDS LÄN</t>
        </is>
      </c>
      <c r="G470" t="inlineStr">
        <is>
          <t>HAGFORS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46252</v>
      </c>
      <c r="F471" t="inlineStr">
        <is>
          <t>VÄRMLANDS LÄN</t>
        </is>
      </c>
      <c r="G471" t="inlineStr">
        <is>
          <t>HAGFORS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46252</v>
      </c>
      <c r="F472" t="inlineStr">
        <is>
          <t>VÄRMLANDS LÄN</t>
        </is>
      </c>
      <c r="G472" t="inlineStr">
        <is>
          <t>HAGFORS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46252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46252</v>
      </c>
      <c r="F474" t="inlineStr">
        <is>
          <t>VÄRMLANDS LÄN</t>
        </is>
      </c>
      <c r="G474" t="inlineStr">
        <is>
          <t>HAGFORS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46050</v>
      </c>
      <c r="E475" s="1" t="n">
        <v>46252</v>
      </c>
      <c r="F475" t="inlineStr">
        <is>
          <t>VÄRMLANDS LÄN</t>
        </is>
      </c>
      <c r="G475" t="inlineStr">
        <is>
          <t>HAGFORS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45398</v>
      </c>
      <c r="E476" s="1" t="n">
        <v>46252</v>
      </c>
      <c r="F476" t="inlineStr">
        <is>
          <t>VÄRMLANDS LÄN</t>
        </is>
      </c>
      <c r="G476" t="inlineStr">
        <is>
          <t>HAGFORS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46252</v>
      </c>
      <c r="F477" t="inlineStr">
        <is>
          <t>VÄRMLANDS LÄN</t>
        </is>
      </c>
      <c r="G477" t="inlineStr">
        <is>
          <t>HAGFORS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45510</v>
      </c>
      <c r="E478" s="1" t="n">
        <v>46252</v>
      </c>
      <c r="F478" t="inlineStr">
        <is>
          <t>VÄRMLANDS LÄN</t>
        </is>
      </c>
      <c r="G478" t="inlineStr">
        <is>
          <t>HAGFORS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46252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46252</v>
      </c>
      <c r="F480" t="inlineStr">
        <is>
          <t>VÄRMLANDS LÄN</t>
        </is>
      </c>
      <c r="G480" t="inlineStr">
        <is>
          <t>HAGFORS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46252</v>
      </c>
      <c r="F481" t="inlineStr">
        <is>
          <t>VÄRMLANDS LÄN</t>
        </is>
      </c>
      <c r="G481" t="inlineStr">
        <is>
          <t>HAGFORS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46252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33.4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46252</v>
      </c>
      <c r="F483" t="inlineStr">
        <is>
          <t>VÄRMLANDS LÄN</t>
        </is>
      </c>
      <c r="G483" t="inlineStr">
        <is>
          <t>HAGFORS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46252</v>
      </c>
      <c r="F484" t="inlineStr">
        <is>
          <t>VÄRMLANDS LÄN</t>
        </is>
      </c>
      <c r="G484" t="inlineStr">
        <is>
          <t>HAGFORS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26740-2026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46252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9.5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46226</v>
      </c>
      <c r="E486" s="1" t="n">
        <v>46252</v>
      </c>
      <c r="F486" t="inlineStr">
        <is>
          <t>VÄRMLANDS LÄN</t>
        </is>
      </c>
      <c r="G486" t="inlineStr">
        <is>
          <t>HAGFORS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46226</v>
      </c>
      <c r="E487" s="1" t="n">
        <v>46252</v>
      </c>
      <c r="F487" t="inlineStr">
        <is>
          <t>VÄRMLANDS LÄN</t>
        </is>
      </c>
      <c r="G487" t="inlineStr">
        <is>
          <t>HAGFORS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46252</v>
      </c>
      <c r="F488" t="inlineStr">
        <is>
          <t>VÄRMLANDS LÄN</t>
        </is>
      </c>
      <c r="G488" t="inlineStr">
        <is>
          <t>HAGFORS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46252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46252</v>
      </c>
      <c r="F490" t="inlineStr">
        <is>
          <t>VÄRMLANDS LÄN</t>
        </is>
      </c>
      <c r="G490" t="inlineStr">
        <is>
          <t>HAGFORS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46252</v>
      </c>
      <c r="F491" t="inlineStr">
        <is>
          <t>VÄRMLANDS LÄN</t>
        </is>
      </c>
      <c r="G491" t="inlineStr">
        <is>
          <t>HAGFORS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46252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46252</v>
      </c>
      <c r="F493" t="inlineStr">
        <is>
          <t>VÄRMLANDS LÄN</t>
        </is>
      </c>
      <c r="G493" t="inlineStr">
        <is>
          <t>HAGFORS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46252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46252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52378-2021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44465</v>
      </c>
      <c r="E497" s="1" t="n">
        <v>46252</v>
      </c>
      <c r="F497" t="inlineStr">
        <is>
          <t>VÄRMLANDS LÄN</t>
        </is>
      </c>
      <c r="G497" t="inlineStr">
        <is>
          <t>HAGFORS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46252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27306-2026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46252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20060-2023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45054</v>
      </c>
      <c r="E500" s="1" t="n">
        <v>46252</v>
      </c>
      <c r="F500" t="inlineStr">
        <is>
          <t>VÄRMLANDS LÄN</t>
        </is>
      </c>
      <c r="G500" t="inlineStr">
        <is>
          <t>HAGFORS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46252</v>
      </c>
      <c r="F501" t="inlineStr">
        <is>
          <t>VÄRMLANDS LÄN</t>
        </is>
      </c>
      <c r="G501" t="inlineStr">
        <is>
          <t>HAGFORS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45212</v>
      </c>
      <c r="E502" s="1" t="n">
        <v>46252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46252</v>
      </c>
      <c r="F503" t="inlineStr">
        <is>
          <t>VÄRMLANDS LÄN</t>
        </is>
      </c>
      <c r="G503" t="inlineStr">
        <is>
          <t>HAGFORS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46252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46252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46252</v>
      </c>
      <c r="F506" t="inlineStr">
        <is>
          <t>VÄRMLANDS LÄN</t>
        </is>
      </c>
      <c r="G506" t="inlineStr">
        <is>
          <t>HAGFORS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46252</v>
      </c>
      <c r="F507" t="inlineStr">
        <is>
          <t>VÄRMLANDS LÄN</t>
        </is>
      </c>
      <c r="G507" t="inlineStr">
        <is>
          <t>HAGFORS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44610</v>
      </c>
      <c r="E508" s="1" t="n">
        <v>46252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46252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18.2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46252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20.5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44950</v>
      </c>
      <c r="E511" s="1" t="n">
        <v>46252</v>
      </c>
      <c r="F511" t="inlineStr">
        <is>
          <t>VÄRMLANDS LÄN</t>
        </is>
      </c>
      <c r="G511" t="inlineStr">
        <is>
          <t>HAGFORS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44950</v>
      </c>
      <c r="E512" s="1" t="n">
        <v>46252</v>
      </c>
      <c r="F512" t="inlineStr">
        <is>
          <t>VÄRMLANDS LÄN</t>
        </is>
      </c>
      <c r="G512" t="inlineStr">
        <is>
          <t>HAGFORS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46252</v>
      </c>
      <c r="F513" t="inlineStr">
        <is>
          <t>VÄRMLANDS LÄN</t>
        </is>
      </c>
      <c r="G513" t="inlineStr">
        <is>
          <t>HAGFORS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46087</v>
      </c>
      <c r="E514" s="1" t="n">
        <v>46252</v>
      </c>
      <c r="F514" t="inlineStr">
        <is>
          <t>VÄRMLANDS LÄN</t>
        </is>
      </c>
      <c r="G514" t="inlineStr">
        <is>
          <t>HAGFORS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46091</v>
      </c>
      <c r="E515" s="1" t="n">
        <v>46252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45518</v>
      </c>
      <c r="E516" s="1" t="n">
        <v>46252</v>
      </c>
      <c r="F516" t="inlineStr">
        <is>
          <t>VÄRMLANDS LÄN</t>
        </is>
      </c>
      <c r="G516" t="inlineStr">
        <is>
          <t>HAGFORS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42223-2022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44830</v>
      </c>
      <c r="E517" s="1" t="n">
        <v>46252</v>
      </c>
      <c r="F517" t="inlineStr">
        <is>
          <t>VÄRMLANDS LÄN</t>
        </is>
      </c>
      <c r="G517" t="inlineStr">
        <is>
          <t>HAGFORS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45428</v>
      </c>
      <c r="E518" s="1" t="n">
        <v>46252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46252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46252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46252</v>
      </c>
      <c r="F521" t="inlineStr">
        <is>
          <t>VÄRMLANDS LÄN</t>
        </is>
      </c>
      <c r="G521" t="inlineStr">
        <is>
          <t>HAGFORS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13411-2026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46252</v>
      </c>
      <c r="F522" t="inlineStr">
        <is>
          <t>VÄRMLANDS LÄN</t>
        </is>
      </c>
      <c r="G522" t="inlineStr">
        <is>
          <t>HAGFORS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46233</v>
      </c>
      <c r="E523" s="1" t="n">
        <v>46252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46252</v>
      </c>
      <c r="F524" t="inlineStr">
        <is>
          <t>VÄRMLANDS LÄN</t>
        </is>
      </c>
      <c r="G524" t="inlineStr">
        <is>
          <t>HAGFORS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46098</v>
      </c>
      <c r="E525" s="1" t="n">
        <v>46252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46098</v>
      </c>
      <c r="E526" s="1" t="n">
        <v>46252</v>
      </c>
      <c r="F526" t="inlineStr">
        <is>
          <t>VÄRMLANDS LÄN</t>
        </is>
      </c>
      <c r="G526" t="inlineStr">
        <is>
          <t>HAGFORS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46189</v>
      </c>
      <c r="E527" s="1" t="n">
        <v>46252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46098</v>
      </c>
      <c r="E528" s="1" t="n">
        <v>46252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46252</v>
      </c>
      <c r="F529" t="inlineStr">
        <is>
          <t>VÄRMLANDS LÄN</t>
        </is>
      </c>
      <c r="G529" t="inlineStr">
        <is>
          <t>HAGFORS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46252</v>
      </c>
      <c r="F530" t="inlineStr">
        <is>
          <t>VÄRMLANDS LÄN</t>
        </is>
      </c>
      <c r="G530" t="inlineStr">
        <is>
          <t>HAGFORS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45763</v>
      </c>
      <c r="E531" s="1" t="n">
        <v>46252</v>
      </c>
      <c r="F531" t="inlineStr">
        <is>
          <t>VÄRMLANDS LÄN</t>
        </is>
      </c>
      <c r="G531" t="inlineStr">
        <is>
          <t>HAGFORS</t>
        </is>
      </c>
      <c r="H531" t="inlineStr">
        <is>
          <t>Kyrkan</t>
        </is>
      </c>
      <c r="I531" t="n">
        <v>7.9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46252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8.300000000000001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46099</v>
      </c>
      <c r="E533" s="1" t="n">
        <v>46252</v>
      </c>
      <c r="F533" t="inlineStr">
        <is>
          <t>VÄRMLANDS LÄN</t>
        </is>
      </c>
      <c r="G533" t="inlineStr">
        <is>
          <t>HAGFORS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46104</v>
      </c>
      <c r="E534" s="1" t="n">
        <v>46252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46252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46252</v>
      </c>
      <c r="F536" t="inlineStr">
        <is>
          <t>VÄRMLANDS LÄN</t>
        </is>
      </c>
      <c r="G536" t="inlineStr">
        <is>
          <t>HAGFORS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46252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46252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46252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47019-2023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45201</v>
      </c>
      <c r="E540" s="1" t="n">
        <v>46252</v>
      </c>
      <c r="F540" t="inlineStr">
        <is>
          <t>VÄRMLANDS LÄN</t>
        </is>
      </c>
      <c r="G540" t="inlineStr">
        <is>
          <t>HAGFORS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46252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46252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46252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46252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46105</v>
      </c>
      <c r="E545" s="1" t="n">
        <v>46252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46252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46252</v>
      </c>
      <c r="F547" t="inlineStr">
        <is>
          <t>VÄRMLANDS LÄN</t>
        </is>
      </c>
      <c r="G547" t="inlineStr">
        <is>
          <t>HAGFORS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60664-2023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45259</v>
      </c>
      <c r="E548" s="1" t="n">
        <v>46252</v>
      </c>
      <c r="F548" t="inlineStr">
        <is>
          <t>VÄRMLANDS LÄN</t>
        </is>
      </c>
      <c r="G548" t="inlineStr">
        <is>
          <t>HAGFORS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35775-2024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45532</v>
      </c>
      <c r="E549" s="1" t="n">
        <v>46252</v>
      </c>
      <c r="F549" t="inlineStr">
        <is>
          <t>VÄRMLANDS LÄN</t>
        </is>
      </c>
      <c r="G549" t="inlineStr">
        <is>
          <t>HAGFORS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46108</v>
      </c>
      <c r="E550" s="1" t="n">
        <v>46252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16157-2026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46252</v>
      </c>
      <c r="F551" t="inlineStr">
        <is>
          <t>VÄRMLANDS LÄN</t>
        </is>
      </c>
      <c r="G551" t="inlineStr">
        <is>
          <t>HAGFORS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46252</v>
      </c>
      <c r="F552" t="inlineStr">
        <is>
          <t>VÄRMLANDS LÄN</t>
        </is>
      </c>
      <c r="G552" t="inlineStr">
        <is>
          <t>HAGFORS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46111</v>
      </c>
      <c r="E553" s="1" t="n">
        <v>46252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9.4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46252</v>
      </c>
      <c r="F554" t="inlineStr">
        <is>
          <t>VÄRMLANDS LÄN</t>
        </is>
      </c>
      <c r="G554" t="inlineStr">
        <is>
          <t>HAGFORS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57359-2022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44896</v>
      </c>
      <c r="E555" s="1" t="n">
        <v>46252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45559</v>
      </c>
      <c r="E556" s="1" t="n">
        <v>46252</v>
      </c>
      <c r="F556" t="inlineStr">
        <is>
          <t>VÄRMLANDS LÄN</t>
        </is>
      </c>
      <c r="G556" t="inlineStr">
        <is>
          <t>HAGFORS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46252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15587-2026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46252</v>
      </c>
      <c r="F558" t="inlineStr">
        <is>
          <t>VÄRMLANDS LÄN</t>
        </is>
      </c>
      <c r="G558" t="inlineStr">
        <is>
          <t>HAGFORS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46252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46239</v>
      </c>
      <c r="E560" s="1" t="n">
        <v>46252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19.3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58084-2024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46252</v>
      </c>
      <c r="F561" t="inlineStr">
        <is>
          <t>VÄRMLANDS LÄN</t>
        </is>
      </c>
      <c r="G561" t="inlineStr">
        <is>
          <t>HAGFORS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19702-2022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44694</v>
      </c>
      <c r="E562" s="1" t="n">
        <v>46252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46252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17843-2026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46122</v>
      </c>
      <c r="E564" s="1" t="n">
        <v>46252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46122</v>
      </c>
      <c r="E565" s="1" t="n">
        <v>46252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32507-2026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46239</v>
      </c>
      <c r="E566" s="1" t="n">
        <v>46252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46239</v>
      </c>
      <c r="E567" s="1" t="n">
        <v>46252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45447</v>
      </c>
      <c r="E568" s="1" t="n">
        <v>46252</v>
      </c>
      <c r="F568" t="inlineStr">
        <is>
          <t>VÄRMLANDS LÄN</t>
        </is>
      </c>
      <c r="G568" t="inlineStr">
        <is>
          <t>HAGFORS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46126</v>
      </c>
      <c r="E569" s="1" t="n">
        <v>46252</v>
      </c>
      <c r="F569" t="inlineStr">
        <is>
          <t>VÄRMLANDS LÄN</t>
        </is>
      </c>
      <c r="G569" t="inlineStr">
        <is>
          <t>HAGFORS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4279-2024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45324</v>
      </c>
      <c r="E570" s="1" t="n">
        <v>46252</v>
      </c>
      <c r="F570" t="inlineStr">
        <is>
          <t>VÄRMLANDS LÄN</t>
        </is>
      </c>
      <c r="G570" t="inlineStr">
        <is>
          <t>HAGFORS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44571</v>
      </c>
      <c r="E571" s="1" t="n">
        <v>46252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46252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45446</v>
      </c>
      <c r="E573" s="1" t="n">
        <v>46252</v>
      </c>
      <c r="F573" t="inlineStr">
        <is>
          <t>VÄRMLANDS LÄN</t>
        </is>
      </c>
      <c r="G573" t="inlineStr">
        <is>
          <t>HAGFORS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46129</v>
      </c>
      <c r="E574" s="1" t="n">
        <v>46252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46252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46129</v>
      </c>
      <c r="E576" s="1" t="n">
        <v>46252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12426-2024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45379</v>
      </c>
      <c r="E577" s="1" t="n">
        <v>46252</v>
      </c>
      <c r="F577" t="inlineStr">
        <is>
          <t>VÄRMLANDS LÄN</t>
        </is>
      </c>
      <c r="G577" t="inlineStr">
        <is>
          <t>HAGFORS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45713</v>
      </c>
      <c r="E578" s="1" t="n">
        <v>46252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46252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46252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46252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46133</v>
      </c>
      <c r="E582" s="1" t="n">
        <v>46252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19307-2026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46252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46252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46252</v>
      </c>
      <c r="F585" t="inlineStr">
        <is>
          <t>VÄRMLANDS LÄN</t>
        </is>
      </c>
      <c r="G585" t="inlineStr">
        <is>
          <t>HAGFORS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45703</v>
      </c>
      <c r="E586" s="1" t="n">
        <v>46252</v>
      </c>
      <c r="F586" t="inlineStr">
        <is>
          <t>VÄRMLANDS LÄN</t>
        </is>
      </c>
      <c r="G586" t="inlineStr">
        <is>
          <t>HAGFORS</t>
        </is>
      </c>
      <c r="H586" t="inlineStr">
        <is>
          <t>Kyrkan</t>
        </is>
      </c>
      <c r="I586" t="n">
        <v>15.9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46252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17329-2024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45414</v>
      </c>
      <c r="E588" s="1" t="n">
        <v>46252</v>
      </c>
      <c r="F588" t="inlineStr">
        <is>
          <t>VÄRMLANDS LÄN</t>
        </is>
      </c>
      <c r="G588" t="inlineStr">
        <is>
          <t>HAGFORS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19421-2026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46133</v>
      </c>
      <c r="E589" s="1" t="n">
        <v>46252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46252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45684</v>
      </c>
      <c r="E591" s="1" t="n">
        <v>46252</v>
      </c>
      <c r="F591" t="inlineStr">
        <is>
          <t>VÄRMLANDS LÄN</t>
        </is>
      </c>
      <c r="G591" t="inlineStr">
        <is>
          <t>HAGFORS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52924-2023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45226</v>
      </c>
      <c r="E592" s="1" t="n">
        <v>46252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46241</v>
      </c>
      <c r="E593" s="1" t="n">
        <v>46252</v>
      </c>
      <c r="F593" t="inlineStr">
        <is>
          <t>VÄRMLANDS LÄN</t>
        </is>
      </c>
      <c r="G593" t="inlineStr">
        <is>
          <t>HAGFORS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46252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46252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9.699999999999999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46252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45671</v>
      </c>
      <c r="E598" s="1" t="n">
        <v>46252</v>
      </c>
      <c r="F598" t="inlineStr">
        <is>
          <t>VÄRMLANDS LÄN</t>
        </is>
      </c>
      <c r="G598" t="inlineStr">
        <is>
          <t>HAGFORS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46252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48276-2024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45590</v>
      </c>
      <c r="E600" s="1" t="n">
        <v>46252</v>
      </c>
      <c r="F600" t="inlineStr">
        <is>
          <t>VÄRMLANDS LÄN</t>
        </is>
      </c>
      <c r="G600" t="inlineStr">
        <is>
          <t>HAGFORS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20260-2026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46252</v>
      </c>
      <c r="F601" t="inlineStr">
        <is>
          <t>VÄRMLANDS LÄN</t>
        </is>
      </c>
      <c r="G601" t="inlineStr">
        <is>
          <t>HAGFORS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54751-2022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44883</v>
      </c>
      <c r="E602" s="1" t="n">
        <v>46252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46252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46252</v>
      </c>
      <c r="F604" t="inlineStr">
        <is>
          <t>VÄRMLANDS LÄN</t>
        </is>
      </c>
      <c r="G604" t="inlineStr">
        <is>
          <t>HAGFORS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46252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46200</v>
      </c>
      <c r="E606" s="1" t="n">
        <v>46252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29103-2026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46200</v>
      </c>
      <c r="E607" s="1" t="n">
        <v>46252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27855-2026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46191</v>
      </c>
      <c r="E608" s="1" t="n">
        <v>46252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45107</v>
      </c>
      <c r="E609" s="1" t="n">
        <v>46252</v>
      </c>
      <c r="F609" t="inlineStr">
        <is>
          <t>VÄRMLANDS LÄN</t>
        </is>
      </c>
      <c r="G609" t="inlineStr">
        <is>
          <t>HAGFORS</t>
        </is>
      </c>
      <c r="I609" t="n">
        <v>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52494-2024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45609</v>
      </c>
      <c r="E610" s="1" t="n">
        <v>46252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46252</v>
      </c>
      <c r="F611" t="inlineStr">
        <is>
          <t>VÄRMLANDS LÄN</t>
        </is>
      </c>
      <c r="G611" t="inlineStr">
        <is>
          <t>HAGFORS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45692</v>
      </c>
      <c r="E612" s="1" t="n">
        <v>46252</v>
      </c>
      <c r="F612" t="inlineStr">
        <is>
          <t>VÄRMLANDS LÄN</t>
        </is>
      </c>
      <c r="G612" t="inlineStr">
        <is>
          <t>HAGFORS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33187-2025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45840</v>
      </c>
      <c r="E613" s="1" t="n">
        <v>46252</v>
      </c>
      <c r="F613" t="inlineStr">
        <is>
          <t>VÄRMLANDS LÄN</t>
        </is>
      </c>
      <c r="G613" t="inlineStr">
        <is>
          <t>HAGFORS</t>
        </is>
      </c>
      <c r="I613" t="n">
        <v>18.2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45366</v>
      </c>
      <c r="E614" s="1" t="n">
        <v>46252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44595</v>
      </c>
      <c r="E615" s="1" t="n">
        <v>46252</v>
      </c>
      <c r="F615" t="inlineStr">
        <is>
          <t>VÄRMLANDS LÄN</t>
        </is>
      </c>
      <c r="G615" t="inlineStr">
        <is>
          <t>HAGFORS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26628-2024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45469</v>
      </c>
      <c r="E616" s="1" t="n">
        <v>46252</v>
      </c>
      <c r="F616" t="inlineStr">
        <is>
          <t>VÄRMLANDS LÄN</t>
        </is>
      </c>
      <c r="G616" t="inlineStr">
        <is>
          <t>HAGFORS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29492-2024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45484</v>
      </c>
      <c r="E617" s="1" t="n">
        <v>46252</v>
      </c>
      <c r="F617" t="inlineStr">
        <is>
          <t>VÄRMLANDS LÄN</t>
        </is>
      </c>
      <c r="G617" t="inlineStr">
        <is>
          <t>HAGFORS</t>
        </is>
      </c>
      <c r="I617" t="n">
        <v>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60167-2023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45258</v>
      </c>
      <c r="E618" s="1" t="n">
        <v>46252</v>
      </c>
      <c r="F618" t="inlineStr">
        <is>
          <t>VÄRMLANDS LÄN</t>
        </is>
      </c>
      <c r="G618" t="inlineStr">
        <is>
          <t>HAGFORS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45258</v>
      </c>
      <c r="E619" s="1" t="n">
        <v>46252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46136</v>
      </c>
      <c r="E620" s="1" t="n">
        <v>46252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4748-2024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45328</v>
      </c>
      <c r="E621" s="1" t="n">
        <v>46252</v>
      </c>
      <c r="F621" t="inlineStr">
        <is>
          <t>VÄRMLANDS LÄN</t>
        </is>
      </c>
      <c r="G621" t="inlineStr">
        <is>
          <t>HAGFORS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46252</v>
      </c>
      <c r="F622" t="inlineStr">
        <is>
          <t>VÄRMLANDS LÄN</t>
        </is>
      </c>
      <c r="G622" t="inlineStr">
        <is>
          <t>HAGFORS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45791</v>
      </c>
      <c r="E623" s="1" t="n">
        <v>46252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16525-2023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45029</v>
      </c>
      <c r="E624" s="1" t="n">
        <v>46252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41603-2023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45175</v>
      </c>
      <c r="E625" s="1" t="n">
        <v>46252</v>
      </c>
      <c r="F625" t="inlineStr">
        <is>
          <t>VÄRMLANDS LÄN</t>
        </is>
      </c>
      <c r="G625" t="inlineStr">
        <is>
          <t>HAGFORS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45838</v>
      </c>
      <c r="E626" s="1" t="n">
        <v>46252</v>
      </c>
      <c r="F626" t="inlineStr">
        <is>
          <t>VÄRMLANDS LÄN</t>
        </is>
      </c>
      <c r="G626" t="inlineStr">
        <is>
          <t>HAGFORS</t>
        </is>
      </c>
      <c r="H626" t="inlineStr">
        <is>
          <t>Kyrkan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12673-2024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45384</v>
      </c>
      <c r="E627" s="1" t="n">
        <v>46252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45819</v>
      </c>
      <c r="E628" s="1" t="n">
        <v>46252</v>
      </c>
      <c r="F628" t="inlineStr">
        <is>
          <t>VÄRMLANDS LÄN</t>
        </is>
      </c>
      <c r="G628" t="inlineStr">
        <is>
          <t>HAGFORS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46245</v>
      </c>
      <c r="E629" s="1" t="n">
        <v>46252</v>
      </c>
      <c r="F629" t="inlineStr">
        <is>
          <t>VÄRMLANDS LÄN</t>
        </is>
      </c>
      <c r="G629" t="inlineStr">
        <is>
          <t>HAGFORS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46252</v>
      </c>
      <c r="F630" t="inlineStr">
        <is>
          <t>VÄRMLANDS LÄN</t>
        </is>
      </c>
      <c r="G630" t="inlineStr">
        <is>
          <t>HAGFORS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23047-2024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45450</v>
      </c>
      <c r="E631" s="1" t="n">
        <v>46252</v>
      </c>
      <c r="F631" t="inlineStr">
        <is>
          <t>VÄRMLANDS LÄN</t>
        </is>
      </c>
      <c r="G631" t="inlineStr">
        <is>
          <t>HAGFORS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11367-2025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45726</v>
      </c>
      <c r="E632" s="1" t="n">
        <v>46252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56895-2023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45244</v>
      </c>
      <c r="E633" s="1" t="n">
        <v>46252</v>
      </c>
      <c r="F633" t="inlineStr">
        <is>
          <t>VÄRMLANDS LÄN</t>
        </is>
      </c>
      <c r="G633" t="inlineStr">
        <is>
          <t>HAGFORS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21724-2025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45783</v>
      </c>
      <c r="E634" s="1" t="n">
        <v>46252</v>
      </c>
      <c r="F634" t="inlineStr">
        <is>
          <t>VÄRMLANDS LÄN</t>
        </is>
      </c>
      <c r="G634" t="inlineStr">
        <is>
          <t>HAGFORS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46252</v>
      </c>
      <c r="F635" t="inlineStr">
        <is>
          <t>VÄRMLANDS LÄN</t>
        </is>
      </c>
      <c r="G635" t="inlineStr">
        <is>
          <t>HAGFORS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42150-2024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46252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46252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45839</v>
      </c>
      <c r="E638" s="1" t="n">
        <v>46252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40835-2023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45172</v>
      </c>
      <c r="E639" s="1" t="n">
        <v>46252</v>
      </c>
      <c r="F639" t="inlineStr">
        <is>
          <t>VÄRMLANDS LÄN</t>
        </is>
      </c>
      <c r="G639" t="inlineStr">
        <is>
          <t>HAGFORS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36764-2025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45873</v>
      </c>
      <c r="E640" s="1" t="n">
        <v>46252</v>
      </c>
      <c r="F640" t="inlineStr">
        <is>
          <t>VÄRMLANDS LÄN</t>
        </is>
      </c>
      <c r="G640" t="inlineStr">
        <is>
          <t>HAGFORS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47028-2023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46252</v>
      </c>
      <c r="F641" t="inlineStr">
        <is>
          <t>VÄRMLANDS LÄN</t>
        </is>
      </c>
      <c r="G641" t="inlineStr">
        <is>
          <t>HAGFORS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26615-2024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45469</v>
      </c>
      <c r="E642" s="1" t="n">
        <v>46252</v>
      </c>
      <c r="F642" t="inlineStr">
        <is>
          <t>VÄRMLANDS LÄN</t>
        </is>
      </c>
      <c r="G642" t="inlineStr">
        <is>
          <t>HAGFORS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30520-2024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45492</v>
      </c>
      <c r="E643" s="1" t="n">
        <v>46252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46252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46252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33399-2024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45519</v>
      </c>
      <c r="E646" s="1" t="n">
        <v>46252</v>
      </c>
      <c r="F646" t="inlineStr">
        <is>
          <t>VÄRMLANDS LÄN</t>
        </is>
      </c>
      <c r="G646" t="inlineStr">
        <is>
          <t>HAGFORS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34281-2025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45846</v>
      </c>
      <c r="E647" s="1" t="n">
        <v>46252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46252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10236-2022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44622</v>
      </c>
      <c r="E649" s="1" t="n">
        <v>46252</v>
      </c>
      <c r="F649" t="inlineStr">
        <is>
          <t>VÄRMLANDS LÄN</t>
        </is>
      </c>
      <c r="G649" t="inlineStr">
        <is>
          <t>HAGFORS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46203</v>
      </c>
      <c r="E650" s="1" t="n">
        <v>46252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9.6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46252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46792-2022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46252</v>
      </c>
      <c r="F652" t="inlineStr">
        <is>
          <t>VÄRMLANDS LÄN</t>
        </is>
      </c>
      <c r="G652" t="inlineStr">
        <is>
          <t>HAGFORS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46252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34572-2025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45847</v>
      </c>
      <c r="E654" s="1" t="n">
        <v>46252</v>
      </c>
      <c r="F654" t="inlineStr">
        <is>
          <t>VÄRMLANDS LÄN</t>
        </is>
      </c>
      <c r="G654" t="inlineStr">
        <is>
          <t>HAGFORS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46252</v>
      </c>
      <c r="F655" t="inlineStr">
        <is>
          <t>VÄRMLANDS LÄN</t>
        </is>
      </c>
      <c r="G655" t="inlineStr">
        <is>
          <t>HAGFORS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68252-2021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44526</v>
      </c>
      <c r="E656" s="1" t="n">
        <v>46252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54744-2024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45618</v>
      </c>
      <c r="E657" s="1" t="n">
        <v>46252</v>
      </c>
      <c r="F657" t="inlineStr">
        <is>
          <t>VÄRMLANDS LÄN</t>
        </is>
      </c>
      <c r="G657" t="inlineStr">
        <is>
          <t>HAGFORS</t>
        </is>
      </c>
      <c r="H657" t="inlineStr">
        <is>
          <t>Kyrkan</t>
        </is>
      </c>
      <c r="I657" t="n">
        <v>8.800000000000001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45097</v>
      </c>
      <c r="E658" s="1" t="n">
        <v>46252</v>
      </c>
      <c r="F658" t="inlineStr">
        <is>
          <t>VÄRMLANDS LÄN</t>
        </is>
      </c>
      <c r="G658" t="inlineStr">
        <is>
          <t>HAGFORS</t>
        </is>
      </c>
      <c r="H658" t="inlineStr">
        <is>
          <t>Kyrkan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19391-2025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45769</v>
      </c>
      <c r="E659" s="1" t="n">
        <v>46252</v>
      </c>
      <c r="F659" t="inlineStr">
        <is>
          <t>VÄRMLANDS LÄN</t>
        </is>
      </c>
      <c r="G659" t="inlineStr">
        <is>
          <t>HAGFORS</t>
        </is>
      </c>
      <c r="I659" t="n">
        <v>6.2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20756-2026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46141</v>
      </c>
      <c r="E660" s="1" t="n">
        <v>46252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8.300000000000001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20594-2026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46140</v>
      </c>
      <c r="E661" s="1" t="n">
        <v>46252</v>
      </c>
      <c r="F661" t="inlineStr">
        <is>
          <t>VÄRMLANDS LÄN</t>
        </is>
      </c>
      <c r="G661" t="inlineStr">
        <is>
          <t>HAGFORS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20706-2026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46141</v>
      </c>
      <c r="E662" s="1" t="n">
        <v>46252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39640-2022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46252</v>
      </c>
      <c r="F663" t="inlineStr">
        <is>
          <t>VÄRMLANDS LÄN</t>
        </is>
      </c>
      <c r="G663" t="inlineStr">
        <is>
          <t>HAGFORS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33833-2026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46251</v>
      </c>
      <c r="E664" s="1" t="n">
        <v>46252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45308</v>
      </c>
      <c r="E665" s="1" t="n">
        <v>46252</v>
      </c>
      <c r="F665" t="inlineStr">
        <is>
          <t>VÄRMLANDS LÄN</t>
        </is>
      </c>
      <c r="G665" t="inlineStr">
        <is>
          <t>HAGFORS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33635-2026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46248</v>
      </c>
      <c r="E666" s="1" t="n">
        <v>46252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57159-2024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45629</v>
      </c>
      <c r="E667" s="1" t="n">
        <v>46252</v>
      </c>
      <c r="F667" t="inlineStr">
        <is>
          <t>VÄRMLANDS LÄN</t>
        </is>
      </c>
      <c r="G667" t="inlineStr">
        <is>
          <t>HAGFORS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46252</v>
      </c>
      <c r="F668" t="inlineStr">
        <is>
          <t>VÄRMLANDS LÄN</t>
        </is>
      </c>
      <c r="G668" t="inlineStr">
        <is>
          <t>HAGFORS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20759-2026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46141</v>
      </c>
      <c r="E669" s="1" t="n">
        <v>46252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61265-2022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44915</v>
      </c>
      <c r="E670" s="1" t="n">
        <v>46252</v>
      </c>
      <c r="F670" t="inlineStr">
        <is>
          <t>VÄRMLANDS LÄN</t>
        </is>
      </c>
      <c r="G670" t="inlineStr">
        <is>
          <t>HAGFORS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45132</v>
      </c>
      <c r="E671" s="1" t="n">
        <v>46252</v>
      </c>
      <c r="F671" t="inlineStr">
        <is>
          <t>VÄRMLANDS LÄN</t>
        </is>
      </c>
      <c r="G671" t="inlineStr">
        <is>
          <t>HAGFORS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46205</v>
      </c>
      <c r="E672" s="1" t="n">
        <v>46252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11160-2025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45723</v>
      </c>
      <c r="E673" s="1" t="n">
        <v>46252</v>
      </c>
      <c r="F673" t="inlineStr">
        <is>
          <t>VÄRMLANDS LÄN</t>
        </is>
      </c>
      <c r="G673" t="inlineStr">
        <is>
          <t>HAGFORS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46140</v>
      </c>
      <c r="E674" s="1" t="n">
        <v>46252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43998-2024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45572</v>
      </c>
      <c r="E675" s="1" t="n">
        <v>46252</v>
      </c>
      <c r="F675" t="inlineStr">
        <is>
          <t>VÄRMLANDS LÄN</t>
        </is>
      </c>
      <c r="G675" t="inlineStr">
        <is>
          <t>HAGFORS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13282-2024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45386</v>
      </c>
      <c r="E676" s="1" t="n">
        <v>46252</v>
      </c>
      <c r="F676" t="inlineStr">
        <is>
          <t>VÄRMLANDS LÄN</t>
        </is>
      </c>
      <c r="G676" t="inlineStr">
        <is>
          <t>HAGFORS</t>
        </is>
      </c>
      <c r="H676" t="inlineStr">
        <is>
          <t>Kommuner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31618-2025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45833</v>
      </c>
      <c r="E677" s="1" t="n">
        <v>46252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44728-2023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45190</v>
      </c>
      <c r="E678" s="1" t="n">
        <v>46252</v>
      </c>
      <c r="F678" t="inlineStr">
        <is>
          <t>VÄRMLANDS LÄN</t>
        </is>
      </c>
      <c r="G678" t="inlineStr">
        <is>
          <t>HAGFORS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20798-2026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46252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20752-2026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46141</v>
      </c>
      <c r="E680" s="1" t="n">
        <v>46252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42168-2024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45562</v>
      </c>
      <c r="E681" s="1" t="n">
        <v>46252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42170-2024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45562</v>
      </c>
      <c r="E682" s="1" t="n">
        <v>46252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42171-2024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45562</v>
      </c>
      <c r="E683" s="1" t="n">
        <v>46252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42243-2024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45562</v>
      </c>
      <c r="E684" s="1" t="n">
        <v>46252</v>
      </c>
      <c r="F684" t="inlineStr">
        <is>
          <t>VÄRMLANDS LÄN</t>
        </is>
      </c>
      <c r="G684" t="inlineStr">
        <is>
          <t>HAGFORS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4028-2025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45684</v>
      </c>
      <c r="E685" s="1" t="n">
        <v>46252</v>
      </c>
      <c r="F685" t="inlineStr">
        <is>
          <t>VÄRMLANDS LÄN</t>
        </is>
      </c>
      <c r="G685" t="inlineStr">
        <is>
          <t>HAGFORS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6980-2022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44603</v>
      </c>
      <c r="E686" s="1" t="n">
        <v>46252</v>
      </c>
      <c r="F686" t="inlineStr">
        <is>
          <t>VÄRMLANDS LÄN</t>
        </is>
      </c>
      <c r="G686" t="inlineStr">
        <is>
          <t>HAGFORS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46248</v>
      </c>
      <c r="E687" s="1" t="n">
        <v>46252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7087-2026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46252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12.6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30167-2026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46252</v>
      </c>
      <c r="F689" t="inlineStr">
        <is>
          <t>VÄRMLANDS LÄN</t>
        </is>
      </c>
      <c r="G689" t="inlineStr">
        <is>
          <t>HAGFORS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20494-2026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46140</v>
      </c>
      <c r="E690" s="1" t="n">
        <v>46252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36013-2023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46252</v>
      </c>
      <c r="F691" t="inlineStr">
        <is>
          <t>VÄRMLANDS LÄN</t>
        </is>
      </c>
      <c r="G691" t="inlineStr">
        <is>
          <t>HAGFORS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20729-2026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46141</v>
      </c>
      <c r="E692" s="1" t="n">
        <v>46252</v>
      </c>
      <c r="F692" t="inlineStr">
        <is>
          <t>VÄRMLANDS LÄN</t>
        </is>
      </c>
      <c r="G692" t="inlineStr">
        <is>
          <t>HAGFORS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20880-2026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46142</v>
      </c>
      <c r="E693" s="1" t="n">
        <v>46252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61311-2023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45264</v>
      </c>
      <c r="E694" s="1" t="n">
        <v>46252</v>
      </c>
      <c r="F694" t="inlineStr">
        <is>
          <t>VÄRMLANDS LÄN</t>
        </is>
      </c>
      <c r="G694" t="inlineStr">
        <is>
          <t>HAGFORS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61315-2023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45264</v>
      </c>
      <c r="E695" s="1" t="n">
        <v>46252</v>
      </c>
      <c r="F695" t="inlineStr">
        <is>
          <t>VÄRMLANDS LÄN</t>
        </is>
      </c>
      <c r="G695" t="inlineStr">
        <is>
          <t>HAGFORS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20870-2026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46142</v>
      </c>
      <c r="E696" s="1" t="n">
        <v>46252</v>
      </c>
      <c r="F696" t="inlineStr">
        <is>
          <t>VÄRMLANDS LÄN</t>
        </is>
      </c>
      <c r="G696" t="inlineStr">
        <is>
          <t>HAGFORS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20911-2026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46252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18907-2025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45764</v>
      </c>
      <c r="E698" s="1" t="n">
        <v>46252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33821-2026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46252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21203-2026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46252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17305-2023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45035</v>
      </c>
      <c r="E701" s="1" t="n">
        <v>46252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46149</v>
      </c>
      <c r="E702" s="1" t="n">
        <v>46252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31178-2022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44770</v>
      </c>
      <c r="E703" s="1" t="n">
        <v>46252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59552-2024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45638</v>
      </c>
      <c r="E704" s="1" t="n">
        <v>46252</v>
      </c>
      <c r="F704" t="inlineStr">
        <is>
          <t>VÄRMLANDS LÄN</t>
        </is>
      </c>
      <c r="G704" t="inlineStr">
        <is>
          <t>HAGFORS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21067-2025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45777</v>
      </c>
      <c r="E705" s="1" t="n">
        <v>46252</v>
      </c>
      <c r="F705" t="inlineStr">
        <is>
          <t>VÄRMLANDS LÄN</t>
        </is>
      </c>
      <c r="G705" t="inlineStr">
        <is>
          <t>HAGFORS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21879-2026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46252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21762-2026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46150</v>
      </c>
      <c r="E707" s="1" t="n">
        <v>46252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21723-2025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45783</v>
      </c>
      <c r="E708" s="1" t="n">
        <v>46252</v>
      </c>
      <c r="F708" t="inlineStr">
        <is>
          <t>VÄRMLANDS LÄN</t>
        </is>
      </c>
      <c r="G708" t="inlineStr">
        <is>
          <t>HAGFORS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21776-2026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46252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24680-2024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46252</v>
      </c>
      <c r="F710" t="inlineStr">
        <is>
          <t>VÄRMLANDS LÄN</t>
        </is>
      </c>
      <c r="G710" t="inlineStr">
        <is>
          <t>HAGFORS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8129-2024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45351</v>
      </c>
      <c r="E711" s="1" t="n">
        <v>46252</v>
      </c>
      <c r="F711" t="inlineStr">
        <is>
          <t>VÄRMLANDS LÄN</t>
        </is>
      </c>
      <c r="G711" t="inlineStr">
        <is>
          <t>HAGFORS</t>
        </is>
      </c>
      <c r="H711" t="inlineStr">
        <is>
          <t>Kyrkan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17833-2022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44683</v>
      </c>
      <c r="E712" s="1" t="n">
        <v>46252</v>
      </c>
      <c r="F712" t="inlineStr">
        <is>
          <t>VÄRMLANDS LÄN</t>
        </is>
      </c>
      <c r="G712" t="inlineStr">
        <is>
          <t>HAGFORS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30433-2026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46209</v>
      </c>
      <c r="E713" s="1" t="n">
        <v>46252</v>
      </c>
      <c r="F713" t="inlineStr">
        <is>
          <t>VÄRMLANDS LÄN</t>
        </is>
      </c>
      <c r="G713" t="inlineStr">
        <is>
          <t>HAGFORS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45587</v>
      </c>
      <c r="E714" s="1" t="n">
        <v>46252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46252</v>
      </c>
      <c r="F715" t="inlineStr">
        <is>
          <t>VÄRMLANDS LÄN</t>
        </is>
      </c>
      <c r="G715" t="inlineStr">
        <is>
          <t>HAGFORS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22516-2026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46252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46252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46252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46252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40332-2023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46252</v>
      </c>
      <c r="F720" t="inlineStr">
        <is>
          <t>VÄRMLANDS LÄN</t>
        </is>
      </c>
      <c r="G720" t="inlineStr">
        <is>
          <t>HAGFORS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33515-2026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46248</v>
      </c>
      <c r="E721" s="1" t="n">
        <v>46252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30436-2026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46209</v>
      </c>
      <c r="E722" s="1" t="n">
        <v>46252</v>
      </c>
      <c r="F722" t="inlineStr">
        <is>
          <t>VÄRMLANDS LÄN</t>
        </is>
      </c>
      <c r="G722" t="inlineStr">
        <is>
          <t>HAGFORS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30437-2026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46209</v>
      </c>
      <c r="E723" s="1" t="n">
        <v>46252</v>
      </c>
      <c r="F723" t="inlineStr">
        <is>
          <t>VÄRMLANDS LÄN</t>
        </is>
      </c>
      <c r="G723" t="inlineStr">
        <is>
          <t>HAGFORS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46252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46252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22799-2025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45789</v>
      </c>
      <c r="E726" s="1" t="n">
        <v>46252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22461-2025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45786</v>
      </c>
      <c r="E727" s="1" t="n">
        <v>46252</v>
      </c>
      <c r="F727" t="inlineStr">
        <is>
          <t>VÄRMLANDS LÄN</t>
        </is>
      </c>
      <c r="G727" t="inlineStr">
        <is>
          <t>HAGFORS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22911-2026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46160</v>
      </c>
      <c r="E728" s="1" t="n">
        <v>46252</v>
      </c>
      <c r="F728" t="inlineStr">
        <is>
          <t>VÄRMLANDS LÄN</t>
        </is>
      </c>
      <c r="G728" t="inlineStr">
        <is>
          <t>HAGFORS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46029</v>
      </c>
      <c r="E729" s="1" t="n">
        <v>46252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23268-2025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45791</v>
      </c>
      <c r="E730" s="1" t="n">
        <v>46252</v>
      </c>
      <c r="F730" t="inlineStr">
        <is>
          <t>VÄRMLANDS LÄN</t>
        </is>
      </c>
      <c r="G730" t="inlineStr">
        <is>
          <t>HAGFORS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22917-2025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45790</v>
      </c>
      <c r="E731" s="1" t="n">
        <v>46252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38239-2024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45545</v>
      </c>
      <c r="E732" s="1" t="n">
        <v>46252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23016-2026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46161</v>
      </c>
      <c r="E733" s="1" t="n">
        <v>46252</v>
      </c>
      <c r="F733" t="inlineStr">
        <is>
          <t>VÄRMLANDS LÄN</t>
        </is>
      </c>
      <c r="G733" t="inlineStr">
        <is>
          <t>HAGFORS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23129-2026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46161</v>
      </c>
      <c r="E734" s="1" t="n">
        <v>46252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8.699999999999999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46252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17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46160</v>
      </c>
      <c r="E736" s="1" t="n">
        <v>46252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31087-2024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45502</v>
      </c>
      <c r="E737" s="1" t="n">
        <v>46252</v>
      </c>
      <c r="F737" t="inlineStr">
        <is>
          <t>VÄRMLANDS LÄN</t>
        </is>
      </c>
      <c r="G737" t="inlineStr">
        <is>
          <t>HAGFORS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23549-2026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46252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51015-2025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45947</v>
      </c>
      <c r="E739" s="1" t="n">
        <v>46252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8.9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52016-2025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45952</v>
      </c>
      <c r="E740" s="1" t="n">
        <v>46252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9.800000000000001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52691-2025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45956</v>
      </c>
      <c r="E741" s="1" t="n">
        <v>46252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28.2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45869</v>
      </c>
      <c r="E742" s="1" t="n">
        <v>46252</v>
      </c>
      <c r="F742" t="inlineStr">
        <is>
          <t>VÄRMLANDS LÄN</t>
        </is>
      </c>
      <c r="G742" t="inlineStr">
        <is>
          <t>HAGFORS</t>
        </is>
      </c>
      <c r="H742" t="inlineStr">
        <is>
          <t>Kyrkan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46252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23269-2026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46252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46252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55950-2024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45623</v>
      </c>
      <c r="E746" s="1" t="n">
        <v>46252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23556-2025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45792</v>
      </c>
      <c r="E747" s="1" t="n">
        <v>46252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23525-2025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45792</v>
      </c>
      <c r="E748" s="1" t="n">
        <v>46252</v>
      </c>
      <c r="F748" t="inlineStr">
        <is>
          <t>VÄRMLANDS LÄN</t>
        </is>
      </c>
      <c r="G748" t="inlineStr">
        <is>
          <t>HAGFORS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23674-2025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45793</v>
      </c>
      <c r="E749" s="1" t="n">
        <v>46252</v>
      </c>
      <c r="F749" t="inlineStr">
        <is>
          <t>VÄRMLANDS LÄN</t>
        </is>
      </c>
      <c r="G749" t="inlineStr">
        <is>
          <t>HAGFORS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23712-2025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45793</v>
      </c>
      <c r="E750" s="1" t="n">
        <v>46252</v>
      </c>
      <c r="F750" t="inlineStr">
        <is>
          <t>VÄRMLANDS LÄN</t>
        </is>
      </c>
      <c r="G750" t="inlineStr">
        <is>
          <t>HAGFORS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54008-2024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45615</v>
      </c>
      <c r="E751" s="1" t="n">
        <v>46252</v>
      </c>
      <c r="F751" t="inlineStr">
        <is>
          <t>VÄRMLANDS LÄN</t>
        </is>
      </c>
      <c r="G751" t="inlineStr">
        <is>
          <t>HAGFORS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23728-2026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46164</v>
      </c>
      <c r="E752" s="1" t="n">
        <v>46252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16798-2025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45754</v>
      </c>
      <c r="E753" s="1" t="n">
        <v>46252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23678-2026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46164</v>
      </c>
      <c r="E754" s="1" t="n">
        <v>46252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8.300000000000001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30635-2025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45831</v>
      </c>
      <c r="E755" s="1" t="n">
        <v>46252</v>
      </c>
      <c r="F755" t="inlineStr">
        <is>
          <t>VÄRMLANDS LÄN</t>
        </is>
      </c>
      <c r="G755" t="inlineStr">
        <is>
          <t>HAGFORS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30642-2025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45831</v>
      </c>
      <c r="E756" s="1" t="n">
        <v>46252</v>
      </c>
      <c r="F756" t="inlineStr">
        <is>
          <t>VÄRMLANDS LÄN</t>
        </is>
      </c>
      <c r="G756" t="inlineStr">
        <is>
          <t>HAGFORS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46252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24238-2026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46252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8.1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15643-2024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45404</v>
      </c>
      <c r="E759" s="1" t="n">
        <v>46252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46252</v>
      </c>
      <c r="F760" t="inlineStr">
        <is>
          <t>VÄRMLANDS LÄN</t>
        </is>
      </c>
      <c r="G760" t="inlineStr">
        <is>
          <t>HAGFORS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24434-2025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45797</v>
      </c>
      <c r="E761" s="1" t="n">
        <v>46252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24435-2025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45797</v>
      </c>
      <c r="E762" s="1" t="n">
        <v>46252</v>
      </c>
      <c r="F762" t="inlineStr">
        <is>
          <t>VÄRMLANDS LÄN</t>
        </is>
      </c>
      <c r="G762" t="inlineStr">
        <is>
          <t>HAGFORS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24438-2025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45797</v>
      </c>
      <c r="E763" s="1" t="n">
        <v>46252</v>
      </c>
      <c r="F763" t="inlineStr">
        <is>
          <t>VÄRMLANDS LÄN</t>
        </is>
      </c>
      <c r="G763" t="inlineStr">
        <is>
          <t>HAGFORS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13524-2025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45736</v>
      </c>
      <c r="E764" s="1" t="n">
        <v>46252</v>
      </c>
      <c r="F764" t="inlineStr">
        <is>
          <t>VÄRMLANDS LÄN</t>
        </is>
      </c>
      <c r="G764" t="inlineStr">
        <is>
          <t>HAGFORS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24895-2025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45799</v>
      </c>
      <c r="E765" s="1" t="n">
        <v>46252</v>
      </c>
      <c r="F765" t="inlineStr">
        <is>
          <t>VÄRMLANDS LÄN</t>
        </is>
      </c>
      <c r="G765" t="inlineStr">
        <is>
          <t>HAGFORS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24793-2025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45799</v>
      </c>
      <c r="E766" s="1" t="n">
        <v>46252</v>
      </c>
      <c r="F766" t="inlineStr">
        <is>
          <t>VÄRMLANDS LÄN</t>
        </is>
      </c>
      <c r="G766" t="inlineStr">
        <is>
          <t>HAGFORS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46252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30914-2026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46213</v>
      </c>
      <c r="E768" s="1" t="n">
        <v>46252</v>
      </c>
      <c r="F768" t="inlineStr">
        <is>
          <t>VÄRMLANDS LÄN</t>
        </is>
      </c>
      <c r="G768" t="inlineStr">
        <is>
          <t>HAGFORS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24625-2026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46171</v>
      </c>
      <c r="E769" s="1" t="n">
        <v>46252</v>
      </c>
      <c r="F769" t="inlineStr">
        <is>
          <t>VÄRMLANDS LÄN</t>
        </is>
      </c>
      <c r="G769" t="inlineStr">
        <is>
          <t>HAGFORS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24862-2026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46174</v>
      </c>
      <c r="E770" s="1" t="n">
        <v>46252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9.699999999999999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24677-2026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46171</v>
      </c>
      <c r="E771" s="1" t="n">
        <v>46252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33823-2025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45842</v>
      </c>
      <c r="E772" s="1" t="n">
        <v>46252</v>
      </c>
      <c r="F772" t="inlineStr">
        <is>
          <t>VÄRMLANDS LÄN</t>
        </is>
      </c>
      <c r="G772" t="inlineStr">
        <is>
          <t>HAGFORS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24761-2026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46171</v>
      </c>
      <c r="E773" s="1" t="n">
        <v>46252</v>
      </c>
      <c r="F773" t="inlineStr">
        <is>
          <t>VÄRMLANDS LÄN</t>
        </is>
      </c>
      <c r="G773" t="inlineStr">
        <is>
          <t>HAGFORS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24628-2026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46171</v>
      </c>
      <c r="E774" s="1" t="n">
        <v>46252</v>
      </c>
      <c r="F774" t="inlineStr">
        <is>
          <t>VÄRMLANDS LÄN</t>
        </is>
      </c>
      <c r="G774" t="inlineStr">
        <is>
          <t>HAGFORS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46252</v>
      </c>
      <c r="F775" t="inlineStr">
        <is>
          <t>VÄRMLANDS LÄN</t>
        </is>
      </c>
      <c r="G775" t="inlineStr">
        <is>
          <t>HAGFORS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26463-2025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45807</v>
      </c>
      <c r="E776" s="1" t="n">
        <v>46252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24699-2026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46171</v>
      </c>
      <c r="E777" s="1" t="n">
        <v>46252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16755-2025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46252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38474-2024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45546</v>
      </c>
      <c r="E779" s="1" t="n">
        <v>46252</v>
      </c>
      <c r="F779" t="inlineStr">
        <is>
          <t>VÄRMLANDS LÄN</t>
        </is>
      </c>
      <c r="G779" t="inlineStr">
        <is>
          <t>HAGFORS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45811</v>
      </c>
      <c r="E780" s="1" t="n">
        <v>46252</v>
      </c>
      <c r="F780" t="inlineStr">
        <is>
          <t>VÄRMLANDS LÄN</t>
        </is>
      </c>
      <c r="G780" t="inlineStr">
        <is>
          <t>HAGFORS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52383-2024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45608</v>
      </c>
      <c r="E781" s="1" t="n">
        <v>46252</v>
      </c>
      <c r="F781" t="inlineStr">
        <is>
          <t>VÄRMLANDS LÄN</t>
        </is>
      </c>
      <c r="G781" t="inlineStr">
        <is>
          <t>HAGFORS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24626-2026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46171</v>
      </c>
      <c r="E782" s="1" t="n">
        <v>46252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24713-2026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46171</v>
      </c>
      <c r="E783" s="1" t="n">
        <v>46252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25276-2026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46252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2225-2020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44127</v>
      </c>
      <c r="E785" s="1" t="n">
        <v>46252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2050-2022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44671</v>
      </c>
      <c r="E786" s="1" t="n">
        <v>46252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4419-2023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45266</v>
      </c>
      <c r="E787" s="1" t="n">
        <v>46252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4420-2023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45266</v>
      </c>
      <c r="E788" s="1" t="n">
        <v>46252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44.2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937-2022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46252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59.4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4426-2023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46252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9.699999999999999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5512-2022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44834</v>
      </c>
      <c r="E791" s="1" t="n">
        <v>46252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931-2022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46252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4415-2023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9.199999999999999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262-2022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44578</v>
      </c>
      <c r="E794" s="1" t="n">
        <v>46252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78.90000000000001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6970-2022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44901</v>
      </c>
      <c r="E795" s="1" t="n">
        <v>46252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29.3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4408-2023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6968-2022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44901</v>
      </c>
      <c r="E797" s="1" t="n">
        <v>46252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19.3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4423-2023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46252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4418-2023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19.1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46252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651-2024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45356</v>
      </c>
      <c r="E801" s="1" t="n">
        <v>46252</v>
      </c>
      <c r="F801" t="inlineStr">
        <is>
          <t>VÄRMLANDS LÄN</t>
        </is>
      </c>
      <c r="G801" t="inlineStr">
        <is>
          <t>HAGFORS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46252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4145-2023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45247</v>
      </c>
      <c r="E803" s="1" t="n">
        <v>46252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6967-2022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46252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89-2025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45316</v>
      </c>
      <c r="E805" s="1" t="n">
        <v>46252</v>
      </c>
      <c r="F805" t="inlineStr">
        <is>
          <t>VÄRMLANDS LÄN</t>
        </is>
      </c>
      <c r="G805" t="inlineStr">
        <is>
          <t>HAGFORS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6969-2022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46252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220-2025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45680</v>
      </c>
      <c r="E807" s="1" t="n">
        <v>46252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46252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24.9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4150-2023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45247</v>
      </c>
      <c r="E809" s="1" t="n">
        <v>46252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46252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46252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914-2022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46252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4409-2023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46252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4155-2023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46252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40.9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4140-2023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46252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6977-2022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46252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6973-2022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46252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4143-2023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46252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4407-2023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46252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6965-2022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46252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662-2025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45716</v>
      </c>
      <c r="E821" s="1" t="n">
        <v>46252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108-2026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46037</v>
      </c>
      <c r="E822" s="1" t="n">
        <v>46252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204.4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46036</v>
      </c>
      <c r="E823" s="1" t="n">
        <v>46252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57.9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46013</v>
      </c>
      <c r="E824" s="1" t="n">
        <v>46252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382-2025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45691</v>
      </c>
      <c r="E825" s="1" t="n">
        <v>46252</v>
      </c>
      <c r="F825" t="inlineStr">
        <is>
          <t>VÄRMLANDS LÄN</t>
        </is>
      </c>
      <c r="G825" t="inlineStr">
        <is>
          <t>HAGFORS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2026-08-18T01:47:05Z</dcterms:created>
  <dcterms:modified xmlns:dcterms="http://purl.org/dc/terms/" xmlns:xsi="http://www.w3.org/2001/XMLSchema-instance" xsi:type="dcterms:W3CDTF">2026-08-18T01:47:05Z</dcterms:modified>
</cp:coreProperties>
</file>