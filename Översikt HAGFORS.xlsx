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46228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46228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46228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46228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46228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46228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46228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46228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46228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46228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46228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46228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46228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46228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46228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46228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37152-2023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46228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Hökuggla</t>
        </is>
      </c>
      <c r="W32">
        <f>HYPERLINK("https://klasma.github.io/Logging_1783/artfynd/A 37152-2023 artfynd.xlsx", "A 37152-2023")</f>
        <v/>
      </c>
      <c r="X32">
        <f>HYPERLINK("https://klasma.github.io/Logging_1783/kartor/A 37152-2023 karta.png", "A 37152-2023")</f>
        <v/>
      </c>
      <c r="Y32">
        <f>HYPERLINK("https://klasma.github.io/Logging_1783/kartor_geotiff/A 37152-2023 georefererad karta.tif", "A 37152-2023")</f>
        <v/>
      </c>
      <c r="AA32">
        <f>HYPERLINK("https://klasma.github.io/Logging_1783/klagomål/A 37152-2023 FSC-klagomål.docx", "A 37152-2023")</f>
        <v/>
      </c>
      <c r="AB32">
        <f>HYPERLINK("https://klasma.github.io/Logging_1783/klagomålsmail/A 37152-2023 FSC-klagomål mail.docx", "A 37152-2023")</f>
        <v/>
      </c>
      <c r="AC32">
        <f>HYPERLINK("https://klasma.github.io/Logging_1783/tillsyn/A 37152-2023 tillsynsbegäran.docx", "A 37152-2023")</f>
        <v/>
      </c>
      <c r="AD32">
        <f>HYPERLINK("https://klasma.github.io/Logging_1783/tillsynsmail/A 37152-2023 tillsynsbegäran mail.docx", "A 37152-2023")</f>
        <v/>
      </c>
      <c r="AE32">
        <f>HYPERLINK("https://klasma.github.io/Logging_1783/fåglar/A 37152-2023 prioriterade fågelarter.docx", "A 37152-2023")</f>
        <v/>
      </c>
    </row>
    <row r="33" ht="15" customHeight="1">
      <c r="A33" t="inlineStr">
        <is>
          <t>A 51194-2022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46228</v>
      </c>
      <c r="F33" t="inlineStr">
        <is>
          <t>VÄRMLANDS LÄN</t>
        </is>
      </c>
      <c r="G33" t="inlineStr">
        <is>
          <t>HAGFORS</t>
        </is>
      </c>
      <c r="I33" t="n">
        <v>1.6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HYPERLINK("https://klasma.github.io/Logging_1783/artfynd/A 51194-2022 artfynd.xlsx", "A 51194-2022")</f>
        <v/>
      </c>
      <c r="X33">
        <f>HYPERLINK("https://klasma.github.io/Logging_1783/kartor/A 51194-2022 karta.png", "A 51194-2022")</f>
        <v/>
      </c>
      <c r="Y33">
        <f>HYPERLINK("https://klasma.github.io/Logging_1783/kartor_geotiff/A 51194-2022 georefererad karta.tif", "A 51194-2022")</f>
        <v/>
      </c>
      <c r="AA33">
        <f>HYPERLINK("https://klasma.github.io/Logging_1783/klagomål/A 51194-2022 FSC-klagomål.docx", "A 51194-2022")</f>
        <v/>
      </c>
      <c r="AB33">
        <f>HYPERLINK("https://klasma.github.io/Logging_1783/klagomålsmail/A 51194-2022 FSC-klagomål mail.docx", "A 51194-2022")</f>
        <v/>
      </c>
      <c r="AC33">
        <f>HYPERLINK("https://klasma.github.io/Logging_1783/tillsyn/A 51194-2022 tillsynsbegäran.docx", "A 51194-2022")</f>
        <v/>
      </c>
      <c r="AD33">
        <f>HYPERLINK("https://klasma.github.io/Logging_1783/tillsynsmail/A 51194-2022 tillsynsbegäran mail.docx", "A 51194-2022")</f>
        <v/>
      </c>
    </row>
    <row r="34" ht="15" customHeight="1">
      <c r="A34" t="inlineStr">
        <is>
          <t>A 44095-2023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46228</v>
      </c>
      <c r="F34" t="inlineStr">
        <is>
          <t>VÄRMLANDS LÄN</t>
        </is>
      </c>
      <c r="G34" t="inlineStr">
        <is>
          <t>HAGFORS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44095-2023 artfynd.xlsx", "A 44095-2023")</f>
        <v/>
      </c>
      <c r="X34">
        <f>HYPERLINK("https://klasma.github.io/Logging_1783/kartor/A 44095-2023 karta.png", "A 44095-2023")</f>
        <v/>
      </c>
      <c r="Y34">
        <f>HYPERLINK("https://klasma.github.io/Logging_1783/kartor_geotiff/A 44095-2023 georefererad karta.tif", "A 44095-2023")</f>
        <v/>
      </c>
      <c r="AA34">
        <f>HYPERLINK("https://klasma.github.io/Logging_1783/klagomål/A 44095-2023 FSC-klagomål.docx", "A 44095-2023")</f>
        <v/>
      </c>
      <c r="AB34">
        <f>HYPERLINK("https://klasma.github.io/Logging_1783/klagomålsmail/A 44095-2023 FSC-klagomål mail.docx", "A 44095-2023")</f>
        <v/>
      </c>
      <c r="AC34">
        <f>HYPERLINK("https://klasma.github.io/Logging_1783/tillsyn/A 44095-2023 tillsynsbegäran.docx", "A 44095-2023")</f>
        <v/>
      </c>
      <c r="AD34">
        <f>HYPERLINK("https://klasma.github.io/Logging_1783/tillsynsmail/A 44095-2023 tillsynsbegäran mail.docx", "A 44095-2023")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34158-2025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45845</v>
      </c>
      <c r="E36" s="1" t="n">
        <v>46228</v>
      </c>
      <c r="F36" t="inlineStr">
        <is>
          <t>VÄRMLANDS LÄN</t>
        </is>
      </c>
      <c r="G36" t="inlineStr">
        <is>
          <t>HAGFORS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Korallblylav</t>
        </is>
      </c>
      <c r="W36">
        <f>HYPERLINK("https://klasma.github.io/Logging_1783/artfynd/A 34158-2025 artfynd.xlsx", "A 34158-2025")</f>
        <v/>
      </c>
      <c r="X36">
        <f>HYPERLINK("https://klasma.github.io/Logging_1783/kartor/A 34158-2025 karta.png", "A 34158-2025")</f>
        <v/>
      </c>
      <c r="Y36">
        <f>HYPERLINK("https://klasma.github.io/Logging_1783/kartor_geotiff/A 34158-2025 georefererad karta.tif", "A 34158-2025")</f>
        <v/>
      </c>
      <c r="AA36">
        <f>HYPERLINK("https://klasma.github.io/Logging_1783/klagomål/A 34158-2025 FSC-klagomål.docx", "A 34158-2025")</f>
        <v/>
      </c>
      <c r="AB36">
        <f>HYPERLINK("https://klasma.github.io/Logging_1783/klagomålsmail/A 34158-2025 FSC-klagomål mail.docx", "A 34158-2025")</f>
        <v/>
      </c>
      <c r="AC36">
        <f>HYPERLINK("https://klasma.github.io/Logging_1783/tillsyn/A 34158-2025 tillsynsbegäran.docx", "A 34158-2025")</f>
        <v/>
      </c>
      <c r="AD36">
        <f>HYPERLINK("https://klasma.github.io/Logging_1783/tillsynsmail/A 34158-2025 tillsynsbegäran mail.docx", "A 34158-2025")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46228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46228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46228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46228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29432-2026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46228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3.1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Vedtrappmossa</t>
        </is>
      </c>
      <c r="W41">
        <f>HYPERLINK("https://klasma.github.io/Logging_1783/artfynd/A 29432-2026 artfynd.xlsx", "A 29432-2026")</f>
        <v/>
      </c>
      <c r="X41">
        <f>HYPERLINK("https://klasma.github.io/Logging_1783/kartor/A 29432-2026 karta.png", "A 29432-2026")</f>
        <v/>
      </c>
      <c r="Y41">
        <f>HYPERLINK("https://klasma.github.io/Logging_1783/kartor_geotiff/A 29432-2026 georefererad karta.tif", "A 29432-2026")</f>
        <v/>
      </c>
      <c r="AA41">
        <f>HYPERLINK("https://klasma.github.io/Logging_1783/klagomål/A 29432-2026 FSC-klagomål.docx", "A 29432-2026")</f>
        <v/>
      </c>
      <c r="AB41">
        <f>HYPERLINK("https://klasma.github.io/Logging_1783/klagomålsmail/A 29432-2026 FSC-klagomål mail.docx", "A 29432-2026")</f>
        <v/>
      </c>
      <c r="AC41">
        <f>HYPERLINK("https://klasma.github.io/Logging_1783/tillsyn/A 29432-2026 tillsynsbegäran.docx", "A 29432-2026")</f>
        <v/>
      </c>
      <c r="AD41">
        <f>HYPERLINK("https://klasma.github.io/Logging_1783/tillsynsmail/A 29432-2026 tillsynsbegäran mail.docx", "A 29432-2026")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46228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46228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46228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46228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12445-2026 artfynd.xlsx", "A 12445-2026")</f>
        <v/>
      </c>
      <c r="X45">
        <f>HYPERLINK("https://klasma.github.io/Logging_1783/kartor/A 12445-2026 karta.png", "A 12445-2026")</f>
        <v/>
      </c>
      <c r="Y45">
        <f>HYPERLINK("https://klasma.github.io/Logging_1783/kartor_geotiff/A 12445-2026 georefererad karta.tif", "A 12445-2026")</f>
        <v/>
      </c>
      <c r="AA45">
        <f>HYPERLINK("https://klasma.github.io/Logging_1783/klagomål/A 12445-2026 FSC-klagomål.docx", "A 12445-2026")</f>
        <v/>
      </c>
      <c r="AB45">
        <f>HYPERLINK("https://klasma.github.io/Logging_1783/klagomålsmail/A 12445-2026 FSC-klagomål mail.docx", "A 12445-2026")</f>
        <v/>
      </c>
      <c r="AC45">
        <f>HYPERLINK("https://klasma.github.io/Logging_1783/tillsyn/A 12445-2026 tillsynsbegäran.docx", "A 12445-2026")</f>
        <v/>
      </c>
      <c r="AD45">
        <f>HYPERLINK("https://klasma.github.io/Logging_1783/tillsynsmail/A 12445-2026 tillsynsbegäran mail.docx", "A 12445-2026")</f>
        <v/>
      </c>
      <c r="AE45">
        <f>HYPERLINK("https://klasma.github.io/Logging_1783/fåglar/A 12445-2026 prioriterade fågelarter.docx", "A 12445-2026")</f>
        <v/>
      </c>
    </row>
    <row r="46" ht="15" customHeight="1">
      <c r="A46" t="inlineStr">
        <is>
          <t>A 24659-2026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46228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24659-2026 artfynd.xlsx", "A 24659-2026")</f>
        <v/>
      </c>
      <c r="X46">
        <f>HYPERLINK("https://klasma.github.io/Logging_1783/kartor/A 24659-2026 karta.png", "A 24659-2026")</f>
        <v/>
      </c>
      <c r="Y46">
        <f>HYPERLINK("https://klasma.github.io/Logging_1783/kartor_geotiff/A 24659-2026 georefererad karta.tif", "A 24659-2026")</f>
        <v/>
      </c>
      <c r="AA46">
        <f>HYPERLINK("https://klasma.github.io/Logging_1783/klagomål/A 24659-2026 FSC-klagomål.docx", "A 24659-2026")</f>
        <v/>
      </c>
      <c r="AB46">
        <f>HYPERLINK("https://klasma.github.io/Logging_1783/klagomålsmail/A 24659-2026 FSC-klagomål mail.docx", "A 24659-2026")</f>
        <v/>
      </c>
      <c r="AC46">
        <f>HYPERLINK("https://klasma.github.io/Logging_1783/tillsyn/A 24659-2026 tillsynsbegäran.docx", "A 24659-2026")</f>
        <v/>
      </c>
      <c r="AD46">
        <f>HYPERLINK("https://klasma.github.io/Logging_1783/tillsynsmail/A 24659-2026 tillsynsbegäran mail.docx", "A 24659-2026")</f>
        <v/>
      </c>
    </row>
    <row r="47" ht="15" customHeight="1">
      <c r="A47" t="inlineStr">
        <is>
          <t>A 38267-2024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46228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HYPERLINK("https://klasma.github.io/Logging_1783/artfynd/A 38267-2024 artfynd.xlsx", "A 38267-2024")</f>
        <v/>
      </c>
      <c r="X47">
        <f>HYPERLINK("https://klasma.github.io/Logging_1783/kartor/A 38267-2024 karta.png", "A 38267-2024")</f>
        <v/>
      </c>
      <c r="Y47">
        <f>HYPERLINK("https://klasma.github.io/Logging_1783/kartor_geotiff/A 38267-2024 georefererad karta.tif", "A 38267-2024")</f>
        <v/>
      </c>
      <c r="AA47">
        <f>HYPERLINK("https://klasma.github.io/Logging_1783/klagomål/A 38267-2024 FSC-klagomål.docx", "A 38267-2024")</f>
        <v/>
      </c>
      <c r="AB47">
        <f>HYPERLINK("https://klasma.github.io/Logging_1783/klagomålsmail/A 38267-2024 FSC-klagomål mail.docx", "A 38267-2024")</f>
        <v/>
      </c>
      <c r="AC47">
        <f>HYPERLINK("https://klasma.github.io/Logging_1783/tillsyn/A 38267-2024 tillsynsbegäran.docx", "A 38267-2024")</f>
        <v/>
      </c>
      <c r="AD47">
        <f>HYPERLINK("https://klasma.github.io/Logging_1783/tillsynsmail/A 38267-2024 tillsynsbegäran mail.docx", "A 38267-2024")</f>
        <v/>
      </c>
    </row>
    <row r="48" ht="15" customHeight="1">
      <c r="A48" t="inlineStr">
        <is>
          <t>A 56083-2022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46228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19.1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HYPERLINK("https://klasma.github.io/Logging_1783/artfynd/A 56083-2022 artfynd.xlsx", "A 56083-2022")</f>
        <v/>
      </c>
      <c r="X48">
        <f>HYPERLINK("https://klasma.github.io/Logging_1783/kartor/A 56083-2022 karta.png", "A 56083-2022")</f>
        <v/>
      </c>
      <c r="Y48">
        <f>HYPERLINK("https://klasma.github.io/Logging_1783/kartor_geotiff/A 56083-2022 georefererad karta.tif", "A 56083-2022")</f>
        <v/>
      </c>
      <c r="AA48">
        <f>HYPERLINK("https://klasma.github.io/Logging_1783/klagomål/A 56083-2022 FSC-klagomål.docx", "A 56083-2022")</f>
        <v/>
      </c>
      <c r="AB48">
        <f>HYPERLINK("https://klasma.github.io/Logging_1783/klagomålsmail/A 56083-2022 FSC-klagomål mail.docx", "A 56083-2022")</f>
        <v/>
      </c>
      <c r="AC48">
        <f>HYPERLINK("https://klasma.github.io/Logging_1783/tillsyn/A 56083-2022 tillsynsbegäran.docx", "A 56083-2022")</f>
        <v/>
      </c>
      <c r="AD48">
        <f>HYPERLINK("https://klasma.github.io/Logging_1783/tillsynsmail/A 56083-2022 tillsynsbegäran mail.docx", "A 56083-2022")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46228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42446-2024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46228</v>
      </c>
      <c r="F50" t="inlineStr">
        <is>
          <t>VÄRMLANDS LÄN</t>
        </is>
      </c>
      <c r="G50" t="inlineStr">
        <is>
          <t>HAGFORS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HYPERLINK("https://klasma.github.io/Logging_1783/artfynd/A 42446-2024 artfynd.xlsx", "A 42446-2024")</f>
        <v/>
      </c>
      <c r="X50">
        <f>HYPERLINK("https://klasma.github.io/Logging_1783/kartor/A 42446-2024 karta.png", "A 42446-2024")</f>
        <v/>
      </c>
      <c r="Y50">
        <f>HYPERLINK("https://klasma.github.io/Logging_1783/kartor_geotiff/A 42446-2024 georefererad karta.tif", "A 42446-2024")</f>
        <v/>
      </c>
      <c r="AA50">
        <f>HYPERLINK("https://klasma.github.io/Logging_1783/klagomål/A 42446-2024 FSC-klagomål.docx", "A 42446-2024")</f>
        <v/>
      </c>
      <c r="AB50">
        <f>HYPERLINK("https://klasma.github.io/Logging_1783/klagomålsmail/A 42446-2024 FSC-klagomål mail.docx", "A 42446-2024")</f>
        <v/>
      </c>
      <c r="AC50">
        <f>HYPERLINK("https://klasma.github.io/Logging_1783/tillsyn/A 42446-2024 tillsynsbegäran.docx", "A 42446-2024")</f>
        <v/>
      </c>
      <c r="AD50">
        <f>HYPERLINK("https://klasma.github.io/Logging_1783/tillsynsmail/A 42446-2024 tillsynsbegäran mail.docx", "A 42446-2024")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46228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46228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46228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46228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46228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46228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46228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46228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46228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20119-2025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46228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4.1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HYPERLINK("https://klasma.github.io/Logging_1783/artfynd/A 20119-2025 artfynd.xlsx", "A 20119-2025")</f>
        <v/>
      </c>
      <c r="X60">
        <f>HYPERLINK("https://klasma.github.io/Logging_1783/kartor/A 20119-2025 karta.png", "A 20119-2025")</f>
        <v/>
      </c>
      <c r="Y60">
        <f>HYPERLINK("https://klasma.github.io/Logging_1783/kartor_geotiff/A 20119-2025 georefererad karta.tif", "A 20119-2025")</f>
        <v/>
      </c>
      <c r="AA60">
        <f>HYPERLINK("https://klasma.github.io/Logging_1783/klagomål/A 20119-2025 FSC-klagomål.docx", "A 20119-2025")</f>
        <v/>
      </c>
      <c r="AB60">
        <f>HYPERLINK("https://klasma.github.io/Logging_1783/klagomålsmail/A 20119-2025 FSC-klagomål mail.docx", "A 20119-2025")</f>
        <v/>
      </c>
      <c r="AC60">
        <f>HYPERLINK("https://klasma.github.io/Logging_1783/tillsyn/A 20119-2025 tillsynsbegäran.docx", "A 20119-2025")</f>
        <v/>
      </c>
      <c r="AD60">
        <f>HYPERLINK("https://klasma.github.io/Logging_1783/tillsynsmail/A 20119-2025 tillsynsbegäran mail.docx", "A 20119-2025")</f>
        <v/>
      </c>
      <c r="AE60">
        <f>HYPERLINK("https://klasma.github.io/Logging_1783/fåglar/A 20119-2025 prioriterade fågelarter.docx", "A 20119-2025")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46228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46228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46228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46228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46228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46228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46228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46228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46228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46228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46228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46228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46228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46228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46228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46228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46228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46228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46228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46228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46228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46228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46228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46228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46228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46228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46228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44405</v>
      </c>
      <c r="E88" s="1" t="n">
        <v>46228</v>
      </c>
      <c r="F88" t="inlineStr">
        <is>
          <t>VÄRMLANDS LÄN</t>
        </is>
      </c>
      <c r="G88" t="inlineStr">
        <is>
          <t>HAGFORS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46228</v>
      </c>
      <c r="F89" t="inlineStr">
        <is>
          <t>VÄRMLANDS LÄN</t>
        </is>
      </c>
      <c r="G89" t="inlineStr">
        <is>
          <t>HAGFORS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46228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44432</v>
      </c>
      <c r="E91" s="1" t="n">
        <v>46228</v>
      </c>
      <c r="F91" t="inlineStr">
        <is>
          <t>VÄRMLANDS LÄN</t>
        </is>
      </c>
      <c r="G91" t="inlineStr">
        <is>
          <t>HAGFORS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46228</v>
      </c>
      <c r="F92" t="inlineStr">
        <is>
          <t>VÄRMLANDS LÄN</t>
        </is>
      </c>
      <c r="G92" t="inlineStr">
        <is>
          <t>HAGFORS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46228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28.9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44613</v>
      </c>
      <c r="E94" s="1" t="n">
        <v>46228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46228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46228</v>
      </c>
      <c r="F96" t="inlineStr">
        <is>
          <t>VÄRMLANDS LÄN</t>
        </is>
      </c>
      <c r="G96" t="inlineStr">
        <is>
          <t>HAGFORS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44763</v>
      </c>
      <c r="E97" s="1" t="n">
        <v>46228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46228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46228</v>
      </c>
      <c r="F99" t="inlineStr">
        <is>
          <t>VÄRMLANDS LÄN</t>
        </is>
      </c>
      <c r="G99" t="inlineStr">
        <is>
          <t>HAGFORS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46228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46228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46228</v>
      </c>
      <c r="F102" t="inlineStr">
        <is>
          <t>VÄRMLANDS LÄN</t>
        </is>
      </c>
      <c r="G102" t="inlineStr">
        <is>
          <t>HAGFORS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46228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46228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46228</v>
      </c>
      <c r="F105" t="inlineStr">
        <is>
          <t>VÄRMLANDS LÄN</t>
        </is>
      </c>
      <c r="G105" t="inlineStr">
        <is>
          <t>HAGFORS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46228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44545</v>
      </c>
      <c r="E107" s="1" t="n">
        <v>46228</v>
      </c>
      <c r="F107" t="inlineStr">
        <is>
          <t>VÄRMLANDS LÄN</t>
        </is>
      </c>
      <c r="G107" t="inlineStr">
        <is>
          <t>HAGFORS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44836</v>
      </c>
      <c r="E108" s="1" t="n">
        <v>46228</v>
      </c>
      <c r="F108" t="inlineStr">
        <is>
          <t>VÄRMLANDS LÄN</t>
        </is>
      </c>
      <c r="G108" t="inlineStr">
        <is>
          <t>HAGFORS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46228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46228</v>
      </c>
      <c r="F110" t="inlineStr">
        <is>
          <t>VÄRMLANDS LÄN</t>
        </is>
      </c>
      <c r="G110" t="inlineStr">
        <is>
          <t>HAGFORS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46228</v>
      </c>
      <c r="F111" t="inlineStr">
        <is>
          <t>VÄRMLANDS LÄN</t>
        </is>
      </c>
      <c r="G111" t="inlineStr">
        <is>
          <t>HAGFORS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46228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46228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46228</v>
      </c>
      <c r="F114" t="inlineStr">
        <is>
          <t>VÄRMLANDS LÄN</t>
        </is>
      </c>
      <c r="G114" t="inlineStr">
        <is>
          <t>HAGFORS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46228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46228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46228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46228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46228</v>
      </c>
      <c r="F119" t="inlineStr">
        <is>
          <t>VÄRMLANDS LÄN</t>
        </is>
      </c>
      <c r="G119" t="inlineStr">
        <is>
          <t>HAGFORS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46228</v>
      </c>
      <c r="F120" t="inlineStr">
        <is>
          <t>VÄRMLANDS LÄN</t>
        </is>
      </c>
      <c r="G120" t="inlineStr">
        <is>
          <t>HAGFORS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46228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46228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46228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46228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46228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45489</v>
      </c>
      <c r="E126" s="1" t="n">
        <v>46228</v>
      </c>
      <c r="F126" t="inlineStr">
        <is>
          <t>VÄRMLANDS LÄN</t>
        </is>
      </c>
      <c r="G126" t="inlineStr">
        <is>
          <t>HAGFORS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46228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46228</v>
      </c>
      <c r="F128" t="inlineStr">
        <is>
          <t>VÄRMLANDS LÄN</t>
        </is>
      </c>
      <c r="G128" t="inlineStr">
        <is>
          <t>HAGFORS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46228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46228</v>
      </c>
      <c r="F130" t="inlineStr">
        <is>
          <t>VÄRMLANDS LÄN</t>
        </is>
      </c>
      <c r="G130" t="inlineStr">
        <is>
          <t>HAGFORS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46228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46228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46228</v>
      </c>
      <c r="F133" t="inlineStr">
        <is>
          <t>VÄRMLANDS LÄN</t>
        </is>
      </c>
      <c r="G133" t="inlineStr">
        <is>
          <t>HAGFORS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46228</v>
      </c>
      <c r="F134" t="inlineStr">
        <is>
          <t>VÄRMLANDS LÄN</t>
        </is>
      </c>
      <c r="G134" t="inlineStr">
        <is>
          <t>HAGFORS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45218-2021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44439</v>
      </c>
      <c r="E135" s="1" t="n">
        <v>46228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49.5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46228</v>
      </c>
      <c r="F136" t="inlineStr">
        <is>
          <t>VÄRMLANDS LÄN</t>
        </is>
      </c>
      <c r="G136" t="inlineStr">
        <is>
          <t>HAGFORS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46228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44434</v>
      </c>
      <c r="E138" s="1" t="n">
        <v>46228</v>
      </c>
      <c r="F138" t="inlineStr">
        <is>
          <t>VÄRMLANDS LÄN</t>
        </is>
      </c>
      <c r="G138" t="inlineStr">
        <is>
          <t>HAGFORS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46228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46228</v>
      </c>
      <c r="F140" t="inlineStr">
        <is>
          <t>VÄRMLANDS LÄN</t>
        </is>
      </c>
      <c r="G140" t="inlineStr">
        <is>
          <t>HAGFORS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58210-2022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44901</v>
      </c>
      <c r="E141" s="1" t="n">
        <v>46228</v>
      </c>
      <c r="F141" t="inlineStr">
        <is>
          <t>VÄRMLANDS LÄN</t>
        </is>
      </c>
      <c r="G141" t="inlineStr">
        <is>
          <t>HAGFORS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46228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46228</v>
      </c>
      <c r="F143" t="inlineStr">
        <is>
          <t>VÄRMLANDS LÄN</t>
        </is>
      </c>
      <c r="G143" t="inlineStr">
        <is>
          <t>HAGFORS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46228</v>
      </c>
      <c r="F144" t="inlineStr">
        <is>
          <t>VÄRMLANDS LÄN</t>
        </is>
      </c>
      <c r="G144" t="inlineStr">
        <is>
          <t>HAGFORS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46228</v>
      </c>
      <c r="F145" t="inlineStr">
        <is>
          <t>VÄRMLANDS LÄN</t>
        </is>
      </c>
      <c r="G145" t="inlineStr">
        <is>
          <t>HAGFORS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46228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45258</v>
      </c>
      <c r="E147" s="1" t="n">
        <v>46228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46228</v>
      </c>
      <c r="F148" t="inlineStr">
        <is>
          <t>VÄRMLANDS LÄN</t>
        </is>
      </c>
      <c r="G148" t="inlineStr">
        <is>
          <t>HAGFORS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46228</v>
      </c>
      <c r="F149" t="inlineStr">
        <is>
          <t>VÄRMLANDS LÄN</t>
        </is>
      </c>
      <c r="G149" t="inlineStr">
        <is>
          <t>HAGFORS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46228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46228</v>
      </c>
      <c r="F151" t="inlineStr">
        <is>
          <t>VÄRMLANDS LÄN</t>
        </is>
      </c>
      <c r="G151" t="inlineStr">
        <is>
          <t>HAGFORS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46228</v>
      </c>
      <c r="F152" t="inlineStr">
        <is>
          <t>VÄRMLANDS LÄN</t>
        </is>
      </c>
      <c r="G152" t="inlineStr">
        <is>
          <t>HAGFORS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46228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46228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46228</v>
      </c>
      <c r="F155" t="inlineStr">
        <is>
          <t>VÄRMLANDS LÄN</t>
        </is>
      </c>
      <c r="G155" t="inlineStr">
        <is>
          <t>HAGFORS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60582-2024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46228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46228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45659</v>
      </c>
      <c r="E158" s="1" t="n">
        <v>46228</v>
      </c>
      <c r="F158" t="inlineStr">
        <is>
          <t>VÄRMLANDS LÄN</t>
        </is>
      </c>
      <c r="G158" t="inlineStr">
        <is>
          <t>HAGFORS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46228</v>
      </c>
      <c r="F159" t="inlineStr">
        <is>
          <t>VÄRMLANDS LÄN</t>
        </is>
      </c>
      <c r="G159" t="inlineStr">
        <is>
          <t>HAGFORS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46228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44649</v>
      </c>
      <c r="E161" s="1" t="n">
        <v>46228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46228</v>
      </c>
      <c r="F162" t="inlineStr">
        <is>
          <t>VÄRMLANDS LÄN</t>
        </is>
      </c>
      <c r="G162" t="inlineStr">
        <is>
          <t>HAGFORS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44770</v>
      </c>
      <c r="E163" s="1" t="n">
        <v>46228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46228</v>
      </c>
      <c r="F164" t="inlineStr">
        <is>
          <t>VÄRMLANDS LÄN</t>
        </is>
      </c>
      <c r="G164" t="inlineStr">
        <is>
          <t>HAGFORS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45055</v>
      </c>
      <c r="E165" s="1" t="n">
        <v>46228</v>
      </c>
      <c r="F165" t="inlineStr">
        <is>
          <t>VÄRMLANDS LÄN</t>
        </is>
      </c>
      <c r="G165" t="inlineStr">
        <is>
          <t>HAGFORS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46228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46228</v>
      </c>
      <c r="F167" t="inlineStr">
        <is>
          <t>VÄRMLANDS LÄN</t>
        </is>
      </c>
      <c r="G167" t="inlineStr">
        <is>
          <t>HAGFORS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46228</v>
      </c>
      <c r="F168" t="inlineStr">
        <is>
          <t>VÄRMLANDS LÄN</t>
        </is>
      </c>
      <c r="G168" t="inlineStr">
        <is>
          <t>HAGFORS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46228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61140-2023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45261</v>
      </c>
      <c r="E170" s="1" t="n">
        <v>46228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46228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46228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46228</v>
      </c>
      <c r="F173" t="inlineStr">
        <is>
          <t>VÄRMLANDS LÄN</t>
        </is>
      </c>
      <c r="G173" t="inlineStr">
        <is>
          <t>HAGFORS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46228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46228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46228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44566</v>
      </c>
      <c r="E177" s="1" t="n">
        <v>46228</v>
      </c>
      <c r="F177" t="inlineStr">
        <is>
          <t>VÄRMLANDS LÄN</t>
        </is>
      </c>
      <c r="G177" t="inlineStr">
        <is>
          <t>HAGFORS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46228</v>
      </c>
      <c r="F178" t="inlineStr">
        <is>
          <t>VÄRMLANDS LÄN</t>
        </is>
      </c>
      <c r="G178" t="inlineStr">
        <is>
          <t>HAGFORS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57379-2022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44896</v>
      </c>
      <c r="E179" s="1" t="n">
        <v>46228</v>
      </c>
      <c r="F179" t="inlineStr">
        <is>
          <t>VÄRMLANDS LÄN</t>
        </is>
      </c>
      <c r="G179" t="inlineStr">
        <is>
          <t>HAGFORS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46228</v>
      </c>
      <c r="F180" t="inlineStr">
        <is>
          <t>VÄRMLANDS LÄN</t>
        </is>
      </c>
      <c r="G180" t="inlineStr">
        <is>
          <t>HAGFORS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46228</v>
      </c>
      <c r="F181" t="inlineStr">
        <is>
          <t>VÄRMLANDS LÄN</t>
        </is>
      </c>
      <c r="G181" t="inlineStr">
        <is>
          <t>HAGFORS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45224</v>
      </c>
      <c r="E182" s="1" t="n">
        <v>46228</v>
      </c>
      <c r="F182" t="inlineStr">
        <is>
          <t>VÄRMLANDS LÄN</t>
        </is>
      </c>
      <c r="G182" t="inlineStr">
        <is>
          <t>HAGFORS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46228</v>
      </c>
      <c r="F183" t="inlineStr">
        <is>
          <t>VÄRMLANDS LÄN</t>
        </is>
      </c>
      <c r="G183" t="inlineStr">
        <is>
          <t>HAGFORS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46228</v>
      </c>
      <c r="F184" t="inlineStr">
        <is>
          <t>VÄRMLANDS LÄN</t>
        </is>
      </c>
      <c r="G184" t="inlineStr">
        <is>
          <t>HAGFORS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45433</v>
      </c>
      <c r="E185" s="1" t="n">
        <v>46228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46228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46228</v>
      </c>
      <c r="F187" t="inlineStr">
        <is>
          <t>VÄRMLANDS LÄN</t>
        </is>
      </c>
      <c r="G187" t="inlineStr">
        <is>
          <t>HAGFORS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46228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46228</v>
      </c>
      <c r="F189" t="inlineStr">
        <is>
          <t>VÄRMLANDS LÄN</t>
        </is>
      </c>
      <c r="G189" t="inlineStr">
        <is>
          <t>HAGFORS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46228</v>
      </c>
      <c r="F190" t="inlineStr">
        <is>
          <t>VÄRMLANDS LÄN</t>
        </is>
      </c>
      <c r="G190" t="inlineStr">
        <is>
          <t>HAGFORS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46228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46228</v>
      </c>
      <c r="F192" t="inlineStr">
        <is>
          <t>VÄRMLANDS LÄN</t>
        </is>
      </c>
      <c r="G192" t="inlineStr">
        <is>
          <t>HAGFORS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46228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45673</v>
      </c>
      <c r="E194" s="1" t="n">
        <v>46228</v>
      </c>
      <c r="F194" t="inlineStr">
        <is>
          <t>VÄRMLANDS LÄN</t>
        </is>
      </c>
      <c r="G194" t="inlineStr">
        <is>
          <t>HAGFORS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46228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11104-2022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44628</v>
      </c>
      <c r="E196" s="1" t="n">
        <v>46228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46228</v>
      </c>
      <c r="F197" t="inlineStr">
        <is>
          <t>VÄRMLANDS LÄN</t>
        </is>
      </c>
      <c r="G197" t="inlineStr">
        <is>
          <t>HAGFORS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46228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16824-2023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45033</v>
      </c>
      <c r="E199" s="1" t="n">
        <v>46228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46228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46228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46228</v>
      </c>
      <c r="F202" t="inlineStr">
        <is>
          <t>VÄRMLANDS LÄN</t>
        </is>
      </c>
      <c r="G202" t="inlineStr">
        <is>
          <t>HAGFORS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46228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46228</v>
      </c>
      <c r="F204" t="inlineStr">
        <is>
          <t>VÄRMLANDS LÄN</t>
        </is>
      </c>
      <c r="G204" t="inlineStr">
        <is>
          <t>HAGFORS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46228</v>
      </c>
      <c r="F205" t="inlineStr">
        <is>
          <t>VÄRMLANDS LÄN</t>
        </is>
      </c>
      <c r="G205" t="inlineStr">
        <is>
          <t>HAGFORS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46228</v>
      </c>
      <c r="F206" t="inlineStr">
        <is>
          <t>VÄRMLANDS LÄN</t>
        </is>
      </c>
      <c r="G206" t="inlineStr">
        <is>
          <t>HAGFORS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45310</v>
      </c>
      <c r="E207" s="1" t="n">
        <v>46228</v>
      </c>
      <c r="F207" t="inlineStr">
        <is>
          <t>VÄRMLANDS LÄN</t>
        </is>
      </c>
      <c r="G207" t="inlineStr">
        <is>
          <t>HAGFORS</t>
        </is>
      </c>
      <c r="H207" t="inlineStr">
        <is>
          <t>Kyrkan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46228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46228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46228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46020</v>
      </c>
      <c r="E211" s="1" t="n">
        <v>46228</v>
      </c>
      <c r="F211" t="inlineStr">
        <is>
          <t>VÄRMLANDS LÄN</t>
        </is>
      </c>
      <c r="G211" t="inlineStr">
        <is>
          <t>HAGFORS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46228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46228</v>
      </c>
      <c r="F213" t="inlineStr">
        <is>
          <t>VÄRMLANDS LÄN</t>
        </is>
      </c>
      <c r="G213" t="inlineStr">
        <is>
          <t>HAGFORS</t>
        </is>
      </c>
      <c r="H213" t="inlineStr">
        <is>
          <t>Kyrkan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46228</v>
      </c>
      <c r="F214" t="inlineStr">
        <is>
          <t>VÄRMLANDS LÄN</t>
        </is>
      </c>
      <c r="G214" t="inlineStr">
        <is>
          <t>HAGFORS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46228</v>
      </c>
      <c r="F215" t="inlineStr">
        <is>
          <t>VÄRMLANDS LÄN</t>
        </is>
      </c>
      <c r="G215" t="inlineStr">
        <is>
          <t>HAGFORS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46228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46228</v>
      </c>
      <c r="F218" t="inlineStr">
        <is>
          <t>VÄRMLANDS LÄN</t>
        </is>
      </c>
      <c r="G218" t="inlineStr">
        <is>
          <t>HAGFORS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45733</v>
      </c>
      <c r="E219" s="1" t="n">
        <v>46228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46228</v>
      </c>
      <c r="F220" t="inlineStr">
        <is>
          <t>VÄRMLANDS LÄN</t>
        </is>
      </c>
      <c r="G220" t="inlineStr">
        <is>
          <t>HAGFORS</t>
        </is>
      </c>
      <c r="I220" t="n">
        <v>18.2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46228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44757</v>
      </c>
      <c r="E222" s="1" t="n">
        <v>46228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46228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46228</v>
      </c>
      <c r="F224" t="inlineStr">
        <is>
          <t>VÄRMLANDS LÄN</t>
        </is>
      </c>
      <c r="G224" t="inlineStr">
        <is>
          <t>HAGFORS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46228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46228</v>
      </c>
      <c r="F226" t="inlineStr">
        <is>
          <t>VÄRMLANDS LÄN</t>
        </is>
      </c>
      <c r="G226" t="inlineStr">
        <is>
          <t>HAGFORS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46228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46228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46228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46228</v>
      </c>
      <c r="F230" t="inlineStr">
        <is>
          <t>VÄRMLANDS LÄN</t>
        </is>
      </c>
      <c r="G230" t="inlineStr">
        <is>
          <t>HAGFORS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46228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41739-2025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45902</v>
      </c>
      <c r="E232" s="1" t="n">
        <v>46228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46228</v>
      </c>
      <c r="F233" t="inlineStr">
        <is>
          <t>VÄRMLANDS LÄN</t>
        </is>
      </c>
      <c r="G233" t="inlineStr">
        <is>
          <t>HAGFORS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44687</v>
      </c>
      <c r="E234" s="1" t="n">
        <v>46228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46228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46228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46228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45786</v>
      </c>
      <c r="E238" s="1" t="n">
        <v>46228</v>
      </c>
      <c r="F238" t="inlineStr">
        <is>
          <t>VÄRMLANDS LÄN</t>
        </is>
      </c>
      <c r="G238" t="inlineStr">
        <is>
          <t>HAGFORS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46228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46228</v>
      </c>
      <c r="F240" t="inlineStr">
        <is>
          <t>VÄRMLANDS LÄN</t>
        </is>
      </c>
      <c r="G240" t="inlineStr">
        <is>
          <t>HAGFORS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46228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46228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46228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46228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46228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19.2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45390</v>
      </c>
      <c r="E246" s="1" t="n">
        <v>46228</v>
      </c>
      <c r="F246" t="inlineStr">
        <is>
          <t>VÄRMLANDS LÄN</t>
        </is>
      </c>
      <c r="G246" t="inlineStr">
        <is>
          <t>HAGFORS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46228</v>
      </c>
      <c r="F247" t="inlineStr">
        <is>
          <t>VÄRMLANDS LÄN</t>
        </is>
      </c>
      <c r="G247" t="inlineStr">
        <is>
          <t>HAGFORS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46228</v>
      </c>
      <c r="F248" t="inlineStr">
        <is>
          <t>VÄRMLANDS LÄN</t>
        </is>
      </c>
      <c r="G248" t="inlineStr">
        <is>
          <t>HAGFORS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46228</v>
      </c>
      <c r="F249" t="inlineStr">
        <is>
          <t>VÄRMLANDS LÄN</t>
        </is>
      </c>
      <c r="G249" t="inlineStr">
        <is>
          <t>HAGFORS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46228</v>
      </c>
      <c r="F250" t="inlineStr">
        <is>
          <t>VÄRMLANDS LÄN</t>
        </is>
      </c>
      <c r="G250" t="inlineStr">
        <is>
          <t>HAGFORS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46228</v>
      </c>
      <c r="F251" t="inlineStr">
        <is>
          <t>VÄRMLANDS LÄN</t>
        </is>
      </c>
      <c r="G251" t="inlineStr">
        <is>
          <t>HAGFORS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46228</v>
      </c>
      <c r="F252" t="inlineStr">
        <is>
          <t>VÄRMLANDS LÄN</t>
        </is>
      </c>
      <c r="G252" t="inlineStr">
        <is>
          <t>HAGFORS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46228</v>
      </c>
      <c r="F253" t="inlineStr">
        <is>
          <t>VÄRMLANDS LÄN</t>
        </is>
      </c>
      <c r="G253" t="inlineStr">
        <is>
          <t>HAGFORS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46228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45450</v>
      </c>
      <c r="E255" s="1" t="n">
        <v>46228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46228</v>
      </c>
      <c r="F256" t="inlineStr">
        <is>
          <t>VÄRMLANDS LÄN</t>
        </is>
      </c>
      <c r="G256" t="inlineStr">
        <is>
          <t>HAGFORS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46228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46228</v>
      </c>
      <c r="F258" t="inlineStr">
        <is>
          <t>VÄRMLANDS LÄN</t>
        </is>
      </c>
      <c r="G258" t="inlineStr">
        <is>
          <t>HAGFORS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46228</v>
      </c>
      <c r="F259" t="inlineStr">
        <is>
          <t>VÄRMLANDS LÄN</t>
        </is>
      </c>
      <c r="G259" t="inlineStr">
        <is>
          <t>HAGFORS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45790</v>
      </c>
      <c r="E260" s="1" t="n">
        <v>46228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45839</v>
      </c>
      <c r="E261" s="1" t="n">
        <v>46228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15538-2024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45401</v>
      </c>
      <c r="E262" s="1" t="n">
        <v>46228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46228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46228</v>
      </c>
      <c r="F264" t="inlineStr">
        <is>
          <t>VÄRMLANDS LÄN</t>
        </is>
      </c>
      <c r="G264" t="inlineStr">
        <is>
          <t>HAGFORS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46228</v>
      </c>
      <c r="F265" t="inlineStr">
        <is>
          <t>VÄRMLANDS LÄN</t>
        </is>
      </c>
      <c r="G265" t="inlineStr">
        <is>
          <t>HAGFORS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46228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46228</v>
      </c>
      <c r="F267" t="inlineStr">
        <is>
          <t>VÄRMLANDS LÄN</t>
        </is>
      </c>
      <c r="G267" t="inlineStr">
        <is>
          <t>HAGFORS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46228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46228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44924</v>
      </c>
      <c r="E270" s="1" t="n">
        <v>46228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46228</v>
      </c>
      <c r="F271" t="inlineStr">
        <is>
          <t>VÄRMLANDS LÄN</t>
        </is>
      </c>
      <c r="G271" t="inlineStr">
        <is>
          <t>HAGFORS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46228</v>
      </c>
      <c r="F272" t="inlineStr">
        <is>
          <t>VÄRMLANDS LÄN</t>
        </is>
      </c>
      <c r="G272" t="inlineStr">
        <is>
          <t>HAGFORS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46228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46228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46228</v>
      </c>
      <c r="F275" t="inlineStr">
        <is>
          <t>VÄRMLANDS LÄN</t>
        </is>
      </c>
      <c r="G275" t="inlineStr">
        <is>
          <t>HAGFORS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46228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46228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46371-2025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46228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46228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46228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46228</v>
      </c>
      <c r="F281" t="inlineStr">
        <is>
          <t>VÄRMLANDS LÄN</t>
        </is>
      </c>
      <c r="G281" t="inlineStr">
        <is>
          <t>HAGFORS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45928</v>
      </c>
      <c r="E282" s="1" t="n">
        <v>46228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68252-2021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44526</v>
      </c>
      <c r="E283" s="1" t="n">
        <v>46228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45927</v>
      </c>
      <c r="E284" s="1" t="n">
        <v>46228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46228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46228</v>
      </c>
      <c r="F286" t="inlineStr">
        <is>
          <t>VÄRMLANDS LÄN</t>
        </is>
      </c>
      <c r="G286" t="inlineStr">
        <is>
          <t>HAGFORS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45266</v>
      </c>
      <c r="E287" s="1" t="n">
        <v>46228</v>
      </c>
      <c r="F287" t="inlineStr">
        <is>
          <t>VÄRMLANDS LÄN</t>
        </is>
      </c>
      <c r="G287" t="inlineStr">
        <is>
          <t>HAGFORS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46228</v>
      </c>
      <c r="F288" t="inlineStr">
        <is>
          <t>VÄRMLANDS LÄN</t>
        </is>
      </c>
      <c r="G288" t="inlineStr">
        <is>
          <t>HAGFORS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44638</v>
      </c>
      <c r="E289" s="1" t="n">
        <v>46228</v>
      </c>
      <c r="F289" t="inlineStr">
        <is>
          <t>VÄRMLANDS LÄN</t>
        </is>
      </c>
      <c r="G289" t="inlineStr">
        <is>
          <t>HAGFORS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46228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46228</v>
      </c>
      <c r="F291" t="inlineStr">
        <is>
          <t>VÄRMLANDS LÄN</t>
        </is>
      </c>
      <c r="G291" t="inlineStr">
        <is>
          <t>HAGFORS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46228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44824</v>
      </c>
      <c r="E293" s="1" t="n">
        <v>46228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44420</v>
      </c>
      <c r="E294" s="1" t="n">
        <v>46228</v>
      </c>
      <c r="F294" t="inlineStr">
        <is>
          <t>VÄRMLANDS LÄN</t>
        </is>
      </c>
      <c r="G294" t="inlineStr">
        <is>
          <t>HAGFORS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46228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46228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46228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46228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46228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46228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46228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46228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46228</v>
      </c>
      <c r="F303" t="inlineStr">
        <is>
          <t>VÄRMLANDS LÄN</t>
        </is>
      </c>
      <c r="G303" t="inlineStr">
        <is>
          <t>HAGFORS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46228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46228</v>
      </c>
      <c r="F305" t="inlineStr">
        <is>
          <t>VÄRMLANDS LÄN</t>
        </is>
      </c>
      <c r="G305" t="inlineStr">
        <is>
          <t>HAGFORS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46228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46228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71447-2021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46228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46228</v>
      </c>
      <c r="F310" t="inlineStr">
        <is>
          <t>VÄRMLANDS LÄN</t>
        </is>
      </c>
      <c r="G310" t="inlineStr">
        <is>
          <t>HAGFORS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46228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46228</v>
      </c>
      <c r="F312" t="inlineStr">
        <is>
          <t>VÄRMLANDS LÄN</t>
        </is>
      </c>
      <c r="G312" t="inlineStr">
        <is>
          <t>HAGFORS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46228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45941</v>
      </c>
      <c r="E314" s="1" t="n">
        <v>46228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46141</v>
      </c>
      <c r="E315" s="1" t="n">
        <v>46228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46228</v>
      </c>
      <c r="F316" t="inlineStr">
        <is>
          <t>VÄRMLANDS LÄN</t>
        </is>
      </c>
      <c r="G316" t="inlineStr">
        <is>
          <t>HAGFORS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46228</v>
      </c>
      <c r="F317" t="inlineStr">
        <is>
          <t>VÄRMLANDS LÄN</t>
        </is>
      </c>
      <c r="G317" t="inlineStr">
        <is>
          <t>HAGFORS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46228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46228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46228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46228</v>
      </c>
      <c r="F321" t="inlineStr">
        <is>
          <t>VÄRMLANDS LÄN</t>
        </is>
      </c>
      <c r="G321" t="inlineStr">
        <is>
          <t>HAGFORS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46228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46228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46228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46228</v>
      </c>
      <c r="F325" t="inlineStr">
        <is>
          <t>VÄRMLANDS LÄN</t>
        </is>
      </c>
      <c r="G325" t="inlineStr">
        <is>
          <t>HAGFORS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46228</v>
      </c>
      <c r="F326" t="inlineStr">
        <is>
          <t>VÄRMLANDS LÄN</t>
        </is>
      </c>
      <c r="G326" t="inlineStr">
        <is>
          <t>HAGFORS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45509</v>
      </c>
      <c r="E327" s="1" t="n">
        <v>46228</v>
      </c>
      <c r="F327" t="inlineStr">
        <is>
          <t>VÄRMLANDS LÄN</t>
        </is>
      </c>
      <c r="G327" t="inlineStr">
        <is>
          <t>HAGFORS</t>
        </is>
      </c>
      <c r="H327" t="inlineStr">
        <is>
          <t>Kommuner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46142</v>
      </c>
      <c r="E328" s="1" t="n">
        <v>46228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46228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45949</v>
      </c>
      <c r="E330" s="1" t="n">
        <v>46228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46228</v>
      </c>
      <c r="F331" t="inlineStr">
        <is>
          <t>VÄRMLANDS LÄN</t>
        </is>
      </c>
      <c r="G331" t="inlineStr">
        <is>
          <t>HAGFORS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46228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46228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46228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45087</v>
      </c>
      <c r="E335" s="1" t="n">
        <v>46228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46228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46189</v>
      </c>
      <c r="E337" s="1" t="n">
        <v>46228</v>
      </c>
      <c r="F337" t="inlineStr">
        <is>
          <t>VÄRMLANDS LÄN</t>
        </is>
      </c>
      <c r="G337" t="inlineStr">
        <is>
          <t>HAGFORS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46228</v>
      </c>
      <c r="F338" t="inlineStr">
        <is>
          <t>VÄRMLANDS LÄN</t>
        </is>
      </c>
      <c r="G338" t="inlineStr">
        <is>
          <t>HAGFORS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46228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52479-2025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46228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46228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46228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46228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44938</v>
      </c>
      <c r="E345" s="1" t="n">
        <v>46228</v>
      </c>
      <c r="F345" t="inlineStr">
        <is>
          <t>VÄRMLANDS LÄN</t>
        </is>
      </c>
      <c r="G345" t="inlineStr">
        <is>
          <t>HAGFORS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46228</v>
      </c>
      <c r="F346" t="inlineStr">
        <is>
          <t>VÄRMLANDS LÄN</t>
        </is>
      </c>
      <c r="G346" t="inlineStr">
        <is>
          <t>HAGFORS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46228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46228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46228</v>
      </c>
      <c r="F349" t="inlineStr">
        <is>
          <t>VÄRMLANDS LÄN</t>
        </is>
      </c>
      <c r="G349" t="inlineStr">
        <is>
          <t>HAGFORS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46228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46228</v>
      </c>
      <c r="F351" t="inlineStr">
        <is>
          <t>VÄRMLANDS LÄN</t>
        </is>
      </c>
      <c r="G351" t="inlineStr">
        <is>
          <t>HAGFORS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46228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46228</v>
      </c>
      <c r="F354" t="inlineStr">
        <is>
          <t>VÄRMLANDS LÄN</t>
        </is>
      </c>
      <c r="G354" t="inlineStr">
        <is>
          <t>HAGFORS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45713</v>
      </c>
      <c r="E355" s="1" t="n">
        <v>46228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46228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46228</v>
      </c>
      <c r="F357" t="inlineStr">
        <is>
          <t>VÄRMLANDS LÄN</t>
        </is>
      </c>
      <c r="G357" t="inlineStr">
        <is>
          <t>HAGFORS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46228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61902-2021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44502</v>
      </c>
      <c r="E359" s="1" t="n">
        <v>46228</v>
      </c>
      <c r="F359" t="inlineStr">
        <is>
          <t>VÄRMLANDS LÄN</t>
        </is>
      </c>
      <c r="G359" t="inlineStr">
        <is>
          <t>HAGFORS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46228</v>
      </c>
      <c r="F360" t="inlineStr">
        <is>
          <t>VÄRMLANDS LÄN</t>
        </is>
      </c>
      <c r="G360" t="inlineStr">
        <is>
          <t>HAGFORS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46228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46228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27855-2026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46191</v>
      </c>
      <c r="E363" s="1" t="n">
        <v>46228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46228</v>
      </c>
      <c r="F364" t="inlineStr">
        <is>
          <t>VÄRMLANDS LÄN</t>
        </is>
      </c>
      <c r="G364" t="inlineStr">
        <is>
          <t>HAGFORS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46228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46228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46228</v>
      </c>
      <c r="F367" t="inlineStr">
        <is>
          <t>VÄRMLANDS LÄN</t>
        </is>
      </c>
      <c r="G367" t="inlineStr">
        <is>
          <t>HAGFORS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46228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46228</v>
      </c>
      <c r="F369" t="inlineStr">
        <is>
          <t>VÄRMLANDS LÄN</t>
        </is>
      </c>
      <c r="G369" t="inlineStr">
        <is>
          <t>HAGFORS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46228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45036</v>
      </c>
      <c r="E371" s="1" t="n">
        <v>46228</v>
      </c>
      <c r="F371" t="inlineStr">
        <is>
          <t>VÄRMLANDS LÄN</t>
        </is>
      </c>
      <c r="G371" t="inlineStr">
        <is>
          <t>HAGFORS</t>
        </is>
      </c>
      <c r="H371" t="inlineStr">
        <is>
          <t>Kommuner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46228</v>
      </c>
      <c r="F372" t="inlineStr">
        <is>
          <t>VÄRMLANDS LÄN</t>
        </is>
      </c>
      <c r="G372" t="inlineStr">
        <is>
          <t>HAGFORS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46228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46228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45618</v>
      </c>
      <c r="E375" s="1" t="n">
        <v>46228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44613</v>
      </c>
      <c r="E376" s="1" t="n">
        <v>46228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46228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46228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46228</v>
      </c>
      <c r="F379" t="inlineStr">
        <is>
          <t>VÄRMLANDS LÄN</t>
        </is>
      </c>
      <c r="G379" t="inlineStr">
        <is>
          <t>HAGFORS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46228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61169-2024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45645</v>
      </c>
      <c r="E381" s="1" t="n">
        <v>46228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46228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21762-2026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46150</v>
      </c>
      <c r="E383" s="1" t="n">
        <v>46228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45461</v>
      </c>
      <c r="E384" s="1" t="n">
        <v>46228</v>
      </c>
      <c r="F384" t="inlineStr">
        <is>
          <t>VÄRMLANDS LÄN</t>
        </is>
      </c>
      <c r="G384" t="inlineStr">
        <is>
          <t>HAGFORS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46228</v>
      </c>
      <c r="F385" t="inlineStr">
        <is>
          <t>VÄRMLANDS LÄN</t>
        </is>
      </c>
      <c r="G385" t="inlineStr">
        <is>
          <t>HAGFORS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46228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46228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45152</v>
      </c>
      <c r="E388" s="1" t="n">
        <v>46228</v>
      </c>
      <c r="F388" t="inlineStr">
        <is>
          <t>VÄRMLANDS LÄN</t>
        </is>
      </c>
      <c r="G388" t="inlineStr">
        <is>
          <t>HAGFORS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46228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46228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45435</v>
      </c>
      <c r="E391" s="1" t="n">
        <v>46228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46228</v>
      </c>
      <c r="F392" t="inlineStr">
        <is>
          <t>VÄRMLANDS LÄN</t>
        </is>
      </c>
      <c r="G392" t="inlineStr">
        <is>
          <t>HAGFORS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45988</v>
      </c>
      <c r="E393" s="1" t="n">
        <v>46228</v>
      </c>
      <c r="F393" t="inlineStr">
        <is>
          <t>VÄRMLANDS LÄN</t>
        </is>
      </c>
      <c r="G393" t="inlineStr">
        <is>
          <t>HAGFORS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59048-2022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44903</v>
      </c>
      <c r="E394" s="1" t="n">
        <v>46228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45351</v>
      </c>
      <c r="E395" s="1" t="n">
        <v>46228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46228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18.8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46228</v>
      </c>
      <c r="F397" t="inlineStr">
        <is>
          <t>VÄRMLANDS LÄN</t>
        </is>
      </c>
      <c r="G397" t="inlineStr">
        <is>
          <t>HAGFORS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46228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19554-2024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45429</v>
      </c>
      <c r="E399" s="1" t="n">
        <v>46228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46228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44763</v>
      </c>
      <c r="E401" s="1" t="n">
        <v>46228</v>
      </c>
      <c r="F401" t="inlineStr">
        <is>
          <t>VÄRMLANDS LÄN</t>
        </is>
      </c>
      <c r="G401" t="inlineStr">
        <is>
          <t>HAGFORS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45226</v>
      </c>
      <c r="E402" s="1" t="n">
        <v>46228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46228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60648-2025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45996</v>
      </c>
      <c r="E404" s="1" t="n">
        <v>46228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46228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45420</v>
      </c>
      <c r="E406" s="1" t="n">
        <v>46228</v>
      </c>
      <c r="F406" t="inlineStr">
        <is>
          <t>VÄRMLANDS LÄN</t>
        </is>
      </c>
      <c r="G406" t="inlineStr">
        <is>
          <t>HAGFORS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46228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46228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46228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46228</v>
      </c>
      <c r="F410" t="inlineStr">
        <is>
          <t>VÄRMLANDS LÄN</t>
        </is>
      </c>
      <c r="G410" t="inlineStr">
        <is>
          <t>HAGFORS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46228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61843-2025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46003</v>
      </c>
      <c r="E412" s="1" t="n">
        <v>46228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46228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61718-2025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46002</v>
      </c>
      <c r="E414" s="1" t="n">
        <v>46228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46228</v>
      </c>
      <c r="F415" t="inlineStr">
        <is>
          <t>VÄRMLANDS LÄN</t>
        </is>
      </c>
      <c r="G415" t="inlineStr">
        <is>
          <t>HAGFORS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46228</v>
      </c>
      <c r="F416" t="inlineStr">
        <is>
          <t>VÄRMLANDS LÄN</t>
        </is>
      </c>
      <c r="G416" t="inlineStr">
        <is>
          <t>HAGFORS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46228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46228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46003</v>
      </c>
      <c r="E419" s="1" t="n">
        <v>46228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45525</v>
      </c>
      <c r="E420" s="1" t="n">
        <v>46228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46228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46228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46006</v>
      </c>
      <c r="E423" s="1" t="n">
        <v>46228</v>
      </c>
      <c r="F423" t="inlineStr">
        <is>
          <t>VÄRMLANDS LÄN</t>
        </is>
      </c>
      <c r="G423" t="inlineStr">
        <is>
          <t>HAGFORS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46228</v>
      </c>
      <c r="F424" t="inlineStr">
        <is>
          <t>VÄRMLANDS LÄN</t>
        </is>
      </c>
      <c r="G424" t="inlineStr">
        <is>
          <t>HAGFORS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46228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46228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46228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45287</v>
      </c>
      <c r="E429" s="1" t="n">
        <v>46228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42593-2021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44428</v>
      </c>
      <c r="E430" s="1" t="n">
        <v>46228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46228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46228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46228</v>
      </c>
      <c r="F433" t="inlineStr">
        <is>
          <t>VÄRMLANDS LÄN</t>
        </is>
      </c>
      <c r="G433" t="inlineStr">
        <is>
          <t>HAGFORS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46228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46228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46228</v>
      </c>
      <c r="F436" t="inlineStr">
        <is>
          <t>VÄRMLANDS LÄN</t>
        </is>
      </c>
      <c r="G436" t="inlineStr">
        <is>
          <t>HAGFORS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46228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46228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45765</v>
      </c>
      <c r="E439" s="1" t="n">
        <v>46228</v>
      </c>
      <c r="F439" t="inlineStr">
        <is>
          <t>VÄRMLANDS LÄN</t>
        </is>
      </c>
      <c r="G439" t="inlineStr">
        <is>
          <t>HAGFORS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46228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46228</v>
      </c>
      <c r="F441" t="inlineStr">
        <is>
          <t>VÄRMLANDS LÄN</t>
        </is>
      </c>
      <c r="G441" t="inlineStr">
        <is>
          <t>HAGFORS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46228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46228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45624</v>
      </c>
      <c r="E444" s="1" t="n">
        <v>46228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46228</v>
      </c>
      <c r="F445" t="inlineStr">
        <is>
          <t>VÄRMLANDS LÄN</t>
        </is>
      </c>
      <c r="G445" t="inlineStr">
        <is>
          <t>HAGFORS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46228</v>
      </c>
      <c r="F446" t="inlineStr">
        <is>
          <t>VÄRMLANDS LÄN</t>
        </is>
      </c>
      <c r="G446" t="inlineStr">
        <is>
          <t>HAGFORS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46018</v>
      </c>
      <c r="E447" s="1" t="n">
        <v>46228</v>
      </c>
      <c r="F447" t="inlineStr">
        <is>
          <t>VÄRMLANDS LÄN</t>
        </is>
      </c>
      <c r="G447" t="inlineStr">
        <is>
          <t>HAGFORS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46228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46228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46228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46228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46228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45534</v>
      </c>
      <c r="E453" s="1" t="n">
        <v>46228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46228</v>
      </c>
      <c r="F454" t="inlineStr">
        <is>
          <t>VÄRMLANDS LÄN</t>
        </is>
      </c>
      <c r="G454" t="inlineStr">
        <is>
          <t>HAGFORS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46228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9.699999999999999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46228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44582</v>
      </c>
      <c r="E457" s="1" t="n">
        <v>46228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45434</v>
      </c>
      <c r="E458" s="1" t="n">
        <v>46228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46228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45725</v>
      </c>
      <c r="E460" s="1" t="n">
        <v>46228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48807-2025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45937</v>
      </c>
      <c r="E461" s="1" t="n">
        <v>46228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46228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46228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45400</v>
      </c>
      <c r="E464" s="1" t="n">
        <v>46228</v>
      </c>
      <c r="F464" t="inlineStr">
        <is>
          <t>VÄRMLANDS LÄN</t>
        </is>
      </c>
      <c r="G464" t="inlineStr">
        <is>
          <t>HAGFORS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46228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46228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46228</v>
      </c>
      <c r="F467" t="inlineStr">
        <is>
          <t>VÄRMLANDS LÄN</t>
        </is>
      </c>
      <c r="G467" t="inlineStr">
        <is>
          <t>HAGFORS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46228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46228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46426-2024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46228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46200</v>
      </c>
      <c r="E471" s="1" t="n">
        <v>46228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46030</v>
      </c>
      <c r="E472" s="1" t="n">
        <v>46228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46228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44567</v>
      </c>
      <c r="E475" s="1" t="n">
        <v>46228</v>
      </c>
      <c r="F475" t="inlineStr">
        <is>
          <t>VÄRMLANDS LÄN</t>
        </is>
      </c>
      <c r="G475" t="inlineStr">
        <is>
          <t>HAGFORS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46228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46228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46228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46228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46228</v>
      </c>
      <c r="F480" t="inlineStr">
        <is>
          <t>VÄRMLANDS LÄN</t>
        </is>
      </c>
      <c r="G480" t="inlineStr">
        <is>
          <t>HAGFORS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45741</v>
      </c>
      <c r="E481" s="1" t="n">
        <v>46228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46228</v>
      </c>
      <c r="F482" t="inlineStr">
        <is>
          <t>VÄRMLANDS LÄN</t>
        </is>
      </c>
      <c r="G482" t="inlineStr">
        <is>
          <t>HAGFORS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46228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44883</v>
      </c>
      <c r="E484" s="1" t="n">
        <v>46228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46228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45575</v>
      </c>
      <c r="E486" s="1" t="n">
        <v>46228</v>
      </c>
      <c r="F486" t="inlineStr">
        <is>
          <t>VÄRMLANDS LÄN</t>
        </is>
      </c>
      <c r="G486" t="inlineStr">
        <is>
          <t>HAGFORS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46228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46228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44809</v>
      </c>
      <c r="E489" s="1" t="n">
        <v>46228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46228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46228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45502</v>
      </c>
      <c r="E492" s="1" t="n">
        <v>46228</v>
      </c>
      <c r="F492" t="inlineStr">
        <is>
          <t>VÄRMLANDS LÄN</t>
        </is>
      </c>
      <c r="G492" t="inlineStr">
        <is>
          <t>HAGFORS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46228</v>
      </c>
      <c r="F493" t="inlineStr">
        <is>
          <t>VÄRMLANDS LÄN</t>
        </is>
      </c>
      <c r="G493" t="inlineStr">
        <is>
          <t>HAGFORS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44906-2024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46228</v>
      </c>
      <c r="F494" t="inlineStr">
        <is>
          <t>VÄRMLANDS LÄN</t>
        </is>
      </c>
      <c r="G494" t="inlineStr">
        <is>
          <t>HAGFORS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40843-2021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44421</v>
      </c>
      <c r="E495" s="1" t="n">
        <v>46228</v>
      </c>
      <c r="F495" t="inlineStr">
        <is>
          <t>VÄRMLANDS LÄN</t>
        </is>
      </c>
      <c r="G495" t="inlineStr">
        <is>
          <t>HAGFORS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46228</v>
      </c>
      <c r="F497" t="inlineStr">
        <is>
          <t>VÄRMLANDS LÄN</t>
        </is>
      </c>
      <c r="G497" t="inlineStr">
        <is>
          <t>HAGFORS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46228</v>
      </c>
      <c r="F498" t="inlineStr">
        <is>
          <t>VÄRMLANDS LÄN</t>
        </is>
      </c>
      <c r="G498" t="inlineStr">
        <is>
          <t>HAGFORS</t>
        </is>
      </c>
      <c r="I498" t="n">
        <v>13.1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46228</v>
      </c>
      <c r="F499" t="inlineStr">
        <is>
          <t>VÄRMLANDS LÄN</t>
        </is>
      </c>
      <c r="G499" t="inlineStr">
        <is>
          <t>HAGFORS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45562</v>
      </c>
      <c r="E500" s="1" t="n">
        <v>46228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8.9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46228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46228</v>
      </c>
      <c r="F503" t="inlineStr">
        <is>
          <t>VÄRMLANDS LÄN</t>
        </is>
      </c>
      <c r="G503" t="inlineStr">
        <is>
          <t>HAGFORS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46228</v>
      </c>
      <c r="F504" t="inlineStr">
        <is>
          <t>VÄRMLANDS LÄN</t>
        </is>
      </c>
      <c r="G504" t="inlineStr">
        <is>
          <t>HAGFORS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46228</v>
      </c>
      <c r="F505" t="inlineStr">
        <is>
          <t>VÄRMLANDS LÄN</t>
        </is>
      </c>
      <c r="G505" t="inlineStr">
        <is>
          <t>HAGFORS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46228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9.800000000000001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45956</v>
      </c>
      <c r="E507" s="1" t="n">
        <v>46228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28.2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45079</v>
      </c>
      <c r="E508" s="1" t="n">
        <v>46228</v>
      </c>
      <c r="F508" t="inlineStr">
        <is>
          <t>VÄRMLANDS LÄN</t>
        </is>
      </c>
      <c r="G508" t="inlineStr">
        <is>
          <t>HAGFORS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46228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46228</v>
      </c>
      <c r="F510" t="inlineStr">
        <is>
          <t>VÄRMLANDS LÄN</t>
        </is>
      </c>
      <c r="G510" t="inlineStr">
        <is>
          <t>HAGFORS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46228</v>
      </c>
      <c r="F511" t="inlineStr">
        <is>
          <t>VÄRMLANDS LÄN</t>
        </is>
      </c>
      <c r="G511" t="inlineStr">
        <is>
          <t>HAGFORS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46228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45869</v>
      </c>
      <c r="E513" s="1" t="n">
        <v>46228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46228</v>
      </c>
      <c r="F514" t="inlineStr">
        <is>
          <t>VÄRMLANDS LÄN</t>
        </is>
      </c>
      <c r="G514" t="inlineStr">
        <is>
          <t>HAGFORS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45441</v>
      </c>
      <c r="E515" s="1" t="n">
        <v>46228</v>
      </c>
      <c r="F515" t="inlineStr">
        <is>
          <t>VÄRMLANDS LÄN</t>
        </is>
      </c>
      <c r="G515" t="inlineStr">
        <is>
          <t>HAGFORS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46228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46228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46228</v>
      </c>
      <c r="F519" t="inlineStr">
        <is>
          <t>VÄRMLANDS LÄN</t>
        </is>
      </c>
      <c r="G519" t="inlineStr">
        <is>
          <t>HAGFORS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46228</v>
      </c>
      <c r="F520" t="inlineStr">
        <is>
          <t>VÄRMLANDS LÄN</t>
        </is>
      </c>
      <c r="G520" t="inlineStr">
        <is>
          <t>HAGFORS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46228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46228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46228</v>
      </c>
      <c r="F523" t="inlineStr">
        <is>
          <t>VÄRMLANDS LÄN</t>
        </is>
      </c>
      <c r="G523" t="inlineStr">
        <is>
          <t>HAGFORS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46228</v>
      </c>
      <c r="F524" t="inlineStr">
        <is>
          <t>VÄRMLANDS LÄN</t>
        </is>
      </c>
      <c r="G524" t="inlineStr">
        <is>
          <t>HAGFORS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46228</v>
      </c>
      <c r="F525" t="inlineStr">
        <is>
          <t>VÄRMLANDS LÄN</t>
        </is>
      </c>
      <c r="G525" t="inlineStr">
        <is>
          <t>HAGFORS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45506</v>
      </c>
      <c r="E526" s="1" t="n">
        <v>46228</v>
      </c>
      <c r="F526" t="inlineStr">
        <is>
          <t>VÄRMLANDS LÄN</t>
        </is>
      </c>
      <c r="G526" t="inlineStr">
        <is>
          <t>HAGFORS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23728-2026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46164</v>
      </c>
      <c r="E527" s="1" t="n">
        <v>46228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46228</v>
      </c>
      <c r="F528" t="inlineStr">
        <is>
          <t>VÄRMLANDS LÄN</t>
        </is>
      </c>
      <c r="G528" t="inlineStr">
        <is>
          <t>HAGFORS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44951</v>
      </c>
      <c r="E529" s="1" t="n">
        <v>46228</v>
      </c>
      <c r="F529" t="inlineStr">
        <is>
          <t>VÄRMLANDS LÄN</t>
        </is>
      </c>
      <c r="G529" t="inlineStr">
        <is>
          <t>HAGFORS</t>
        </is>
      </c>
      <c r="H529" t="inlineStr">
        <is>
          <t>Kommuner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46228</v>
      </c>
      <c r="F530" t="inlineStr">
        <is>
          <t>VÄRMLANDS LÄN</t>
        </is>
      </c>
      <c r="G530" t="inlineStr">
        <is>
          <t>HAGFORS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64936-2023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45282</v>
      </c>
      <c r="E531" s="1" t="n">
        <v>46228</v>
      </c>
      <c r="F531" t="inlineStr">
        <is>
          <t>VÄRMLANDS LÄN</t>
        </is>
      </c>
      <c r="G531" t="inlineStr">
        <is>
          <t>HAGFORS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46228</v>
      </c>
      <c r="F532" t="inlineStr">
        <is>
          <t>VÄRMLANDS LÄN</t>
        </is>
      </c>
      <c r="G532" t="inlineStr">
        <is>
          <t>HAGFORS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46228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45684</v>
      </c>
      <c r="E534" s="1" t="n">
        <v>46228</v>
      </c>
      <c r="F534" t="inlineStr">
        <is>
          <t>VÄRMLANDS LÄN</t>
        </is>
      </c>
      <c r="G534" t="inlineStr">
        <is>
          <t>HAGFORS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45436</v>
      </c>
      <c r="E535" s="1" t="n">
        <v>46228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46228</v>
      </c>
      <c r="F536" t="inlineStr">
        <is>
          <t>VÄRMLANDS LÄN</t>
        </is>
      </c>
      <c r="G536" t="inlineStr">
        <is>
          <t>HAGFORS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29950-2026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46228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46228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45831</v>
      </c>
      <c r="E539" s="1" t="n">
        <v>46228</v>
      </c>
      <c r="F539" t="inlineStr">
        <is>
          <t>VÄRMLANDS LÄN</t>
        </is>
      </c>
      <c r="G539" t="inlineStr">
        <is>
          <t>HAGFORS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46228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46228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44760</v>
      </c>
      <c r="E542" s="1" t="n">
        <v>46228</v>
      </c>
      <c r="F542" t="inlineStr">
        <is>
          <t>VÄRMLANDS LÄN</t>
        </is>
      </c>
      <c r="G542" t="inlineStr">
        <is>
          <t>HAGFORS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46228</v>
      </c>
      <c r="F543" t="inlineStr">
        <is>
          <t>VÄRMLANDS LÄN</t>
        </is>
      </c>
      <c r="G543" t="inlineStr">
        <is>
          <t>HAGFORS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46228</v>
      </c>
      <c r="F544" t="inlineStr">
        <is>
          <t>VÄRMLANDS LÄN</t>
        </is>
      </c>
      <c r="G544" t="inlineStr">
        <is>
          <t>HAGFORS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46228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45050</v>
      </c>
      <c r="E546" s="1" t="n">
        <v>46228</v>
      </c>
      <c r="F546" t="inlineStr">
        <is>
          <t>VÄRMLANDS LÄN</t>
        </is>
      </c>
      <c r="G546" t="inlineStr">
        <is>
          <t>HAGFORS</t>
        </is>
      </c>
      <c r="H546" t="inlineStr">
        <is>
          <t>Kommuner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10271-2026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46076</v>
      </c>
      <c r="E547" s="1" t="n">
        <v>46228</v>
      </c>
      <c r="F547" t="inlineStr">
        <is>
          <t>VÄRMLANDS LÄN</t>
        </is>
      </c>
      <c r="G547" t="inlineStr">
        <is>
          <t>HAGFORS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46228</v>
      </c>
      <c r="F548" t="inlineStr">
        <is>
          <t>VÄRMLANDS LÄN</t>
        </is>
      </c>
      <c r="G548" t="inlineStr">
        <is>
          <t>HAGFORS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44817</v>
      </c>
      <c r="E549" s="1" t="n">
        <v>46228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45681</v>
      </c>
      <c r="E550" s="1" t="n">
        <v>46228</v>
      </c>
      <c r="F550" t="inlineStr">
        <is>
          <t>VÄRMLANDS LÄN</t>
        </is>
      </c>
      <c r="G550" t="inlineStr">
        <is>
          <t>HAGFORS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46228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45373</v>
      </c>
      <c r="E552" s="1" t="n">
        <v>46228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46228</v>
      </c>
      <c r="F553" t="inlineStr">
        <is>
          <t>VÄRMLANDS LÄN</t>
        </is>
      </c>
      <c r="G553" t="inlineStr">
        <is>
          <t>HAGFORS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46228</v>
      </c>
      <c r="F554" t="inlineStr">
        <is>
          <t>VÄRMLANDS LÄN</t>
        </is>
      </c>
      <c r="G554" t="inlineStr">
        <is>
          <t>HAGFORS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46213</v>
      </c>
      <c r="E555" s="1" t="n">
        <v>46228</v>
      </c>
      <c r="F555" t="inlineStr">
        <is>
          <t>VÄRMLANDS LÄN</t>
        </is>
      </c>
      <c r="G555" t="inlineStr">
        <is>
          <t>HAGFORS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46228</v>
      </c>
      <c r="F556" t="inlineStr">
        <is>
          <t>VÄRMLANDS LÄN</t>
        </is>
      </c>
      <c r="G556" t="inlineStr">
        <is>
          <t>HAGFORS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46228</v>
      </c>
      <c r="F557" t="inlineStr">
        <is>
          <t>VÄRMLANDS LÄN</t>
        </is>
      </c>
      <c r="G557" t="inlineStr">
        <is>
          <t>HAGFORS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46228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46228</v>
      </c>
      <c r="F559" t="inlineStr">
        <is>
          <t>VÄRMLANDS LÄN</t>
        </is>
      </c>
      <c r="G559" t="inlineStr">
        <is>
          <t>HAGFORS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46228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46228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46228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13419-2026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46228</v>
      </c>
      <c r="F563" t="inlineStr">
        <is>
          <t>VÄRMLANDS LÄN</t>
        </is>
      </c>
      <c r="G563" t="inlineStr">
        <is>
          <t>HAGFORS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46228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46228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24761-2026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46171</v>
      </c>
      <c r="E566" s="1" t="n">
        <v>46228</v>
      </c>
      <c r="F566" t="inlineStr">
        <is>
          <t>VÄRMLANDS LÄN</t>
        </is>
      </c>
      <c r="G566" t="inlineStr">
        <is>
          <t>HAGFORS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58808-2022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46228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46228</v>
      </c>
      <c r="F568" t="inlineStr">
        <is>
          <t>VÄRMLANDS LÄN</t>
        </is>
      </c>
      <c r="G568" t="inlineStr">
        <is>
          <t>HAGFORS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20652-2022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44700</v>
      </c>
      <c r="E569" s="1" t="n">
        <v>46228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46228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46228</v>
      </c>
      <c r="F571" t="inlineStr">
        <is>
          <t>VÄRMLANDS LÄN</t>
        </is>
      </c>
      <c r="G571" t="inlineStr">
        <is>
          <t>HAGFORS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24628-2026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46171</v>
      </c>
      <c r="E572" s="1" t="n">
        <v>46228</v>
      </c>
      <c r="F572" t="inlineStr">
        <is>
          <t>VÄRMLANDS LÄN</t>
        </is>
      </c>
      <c r="G572" t="inlineStr">
        <is>
          <t>HAGFORS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46228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46228</v>
      </c>
      <c r="F574" t="inlineStr">
        <is>
          <t>VÄRMLANDS LÄN</t>
        </is>
      </c>
      <c r="G574" t="inlineStr">
        <is>
          <t>HAGFORS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45632</v>
      </c>
      <c r="E575" s="1" t="n">
        <v>46228</v>
      </c>
      <c r="F575" t="inlineStr">
        <is>
          <t>VÄRMLANDS LÄN</t>
        </is>
      </c>
      <c r="G575" t="inlineStr">
        <is>
          <t>HAGFORS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46228</v>
      </c>
      <c r="F576" t="inlineStr">
        <is>
          <t>VÄRMLANDS LÄN</t>
        </is>
      </c>
      <c r="G576" t="inlineStr">
        <is>
          <t>HAGFORS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45679</v>
      </c>
      <c r="E577" s="1" t="n">
        <v>46228</v>
      </c>
      <c r="F577" t="inlineStr">
        <is>
          <t>VÄRMLANDS LÄN</t>
        </is>
      </c>
      <c r="G577" t="inlineStr">
        <is>
          <t>HAGFORS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46228</v>
      </c>
      <c r="F578" t="inlineStr">
        <is>
          <t>VÄRMLANDS LÄN</t>
        </is>
      </c>
      <c r="G578" t="inlineStr">
        <is>
          <t>HAGFORS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46228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24699-2026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46228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46228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46228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46228</v>
      </c>
      <c r="F583" t="inlineStr">
        <is>
          <t>VÄRMLANDS LÄN</t>
        </is>
      </c>
      <c r="G583" t="inlineStr">
        <is>
          <t>HAGFORS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46228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46228</v>
      </c>
      <c r="F585" t="inlineStr">
        <is>
          <t>VÄRMLANDS LÄN</t>
        </is>
      </c>
      <c r="G585" t="inlineStr">
        <is>
          <t>HAGFORS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46228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46228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15639-2026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46228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46228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46228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24626-2026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46228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46228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46228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15554-2026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46228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46228</v>
      </c>
      <c r="F595" t="inlineStr">
        <is>
          <t>VÄRMLANDS LÄN</t>
        </is>
      </c>
      <c r="G595" t="inlineStr">
        <is>
          <t>HAGFORS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46228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46228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46228</v>
      </c>
      <c r="F598" t="inlineStr">
        <is>
          <t>VÄRMLANDS LÄN</t>
        </is>
      </c>
      <c r="G598" t="inlineStr">
        <is>
          <t>HAGFORS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44596</v>
      </c>
      <c r="E599" s="1" t="n">
        <v>46228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46228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46228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46228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46228</v>
      </c>
      <c r="F603" t="inlineStr">
        <is>
          <t>VÄRMLANDS LÄN</t>
        </is>
      </c>
      <c r="G603" t="inlineStr">
        <is>
          <t>HAGFORS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46228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25583-2026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46228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52378-2021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44465</v>
      </c>
      <c r="E606" s="1" t="n">
        <v>46228</v>
      </c>
      <c r="F606" t="inlineStr">
        <is>
          <t>VÄRMLANDS LÄN</t>
        </is>
      </c>
      <c r="G606" t="inlineStr">
        <is>
          <t>HAGFORS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20060-2023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46228</v>
      </c>
      <c r="F607" t="inlineStr">
        <is>
          <t>VÄRMLANDS LÄN</t>
        </is>
      </c>
      <c r="G607" t="inlineStr">
        <is>
          <t>HAGFORS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46178</v>
      </c>
      <c r="E608" s="1" t="n">
        <v>46228</v>
      </c>
      <c r="F608" t="inlineStr">
        <is>
          <t>VÄRMLANDS LÄN</t>
        </is>
      </c>
      <c r="G608" t="inlineStr">
        <is>
          <t>HAGFORS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46228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46228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17843-2026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46228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46228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46228</v>
      </c>
      <c r="F613" t="inlineStr">
        <is>
          <t>VÄRMLANDS LÄN</t>
        </is>
      </c>
      <c r="G613" t="inlineStr">
        <is>
          <t>HAGFORS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46228</v>
      </c>
      <c r="F614" t="inlineStr">
        <is>
          <t>VÄRMLANDS LÄN</t>
        </is>
      </c>
      <c r="G614" t="inlineStr">
        <is>
          <t>HAGFORS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8304-2022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44610</v>
      </c>
      <c r="E615" s="1" t="n">
        <v>46228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18217-2026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46228</v>
      </c>
      <c r="F616" t="inlineStr">
        <is>
          <t>VÄRMLANDS LÄN</t>
        </is>
      </c>
      <c r="G616" t="inlineStr">
        <is>
          <t>HAGFORS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46228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46228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46228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46129</v>
      </c>
      <c r="E620" s="1" t="n">
        <v>46228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46228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46129</v>
      </c>
      <c r="E622" s="1" t="n">
        <v>46228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46228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46228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46228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46228</v>
      </c>
      <c r="F626" t="inlineStr">
        <is>
          <t>VÄRMLANDS LÄN</t>
        </is>
      </c>
      <c r="G626" t="inlineStr">
        <is>
          <t>HAGFORS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46228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44950</v>
      </c>
      <c r="E628" s="1" t="n">
        <v>46228</v>
      </c>
      <c r="F628" t="inlineStr">
        <is>
          <t>VÄRMLANDS LÄN</t>
        </is>
      </c>
      <c r="G628" t="inlineStr">
        <is>
          <t>HAGFORS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46228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46228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46228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46228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46133</v>
      </c>
      <c r="E633" s="1" t="n">
        <v>46228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46228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46228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46228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46228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46228</v>
      </c>
      <c r="F638" t="inlineStr">
        <is>
          <t>VÄRMLANDS LÄN</t>
        </is>
      </c>
      <c r="G638" t="inlineStr">
        <is>
          <t>HAGFORS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42223-2022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44830</v>
      </c>
      <c r="E639" s="1" t="n">
        <v>46228</v>
      </c>
      <c r="F639" t="inlineStr">
        <is>
          <t>VÄRMLANDS LÄN</t>
        </is>
      </c>
      <c r="G639" t="inlineStr">
        <is>
          <t>HAGFORS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46228</v>
      </c>
      <c r="F640" t="inlineStr">
        <is>
          <t>VÄRMLANDS LÄN</t>
        </is>
      </c>
      <c r="G640" t="inlineStr">
        <is>
          <t>HAGFORS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45428</v>
      </c>
      <c r="E641" s="1" t="n">
        <v>46228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19.5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46228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46228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46228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19459-2026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46228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46228</v>
      </c>
      <c r="F647" t="inlineStr">
        <is>
          <t>VÄRMLANDS LÄN</t>
        </is>
      </c>
      <c r="G647" t="inlineStr">
        <is>
          <t>HAGFORS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26740-2026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46228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46228</v>
      </c>
      <c r="F649" t="inlineStr">
        <is>
          <t>VÄRMLANDS LÄN</t>
        </is>
      </c>
      <c r="G649" t="inlineStr">
        <is>
          <t>HAGFORS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46228</v>
      </c>
      <c r="F650" t="inlineStr">
        <is>
          <t>VÄRMLANDS LÄN</t>
        </is>
      </c>
      <c r="G650" t="inlineStr">
        <is>
          <t>HAGFORS</t>
        </is>
      </c>
      <c r="H650" t="inlineStr">
        <is>
          <t>Kyrkan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46228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18.2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46228</v>
      </c>
      <c r="F652" t="inlineStr">
        <is>
          <t>VÄRMLANDS LÄN</t>
        </is>
      </c>
      <c r="G652" t="inlineStr">
        <is>
          <t>HAGFORS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46228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46228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46225</v>
      </c>
      <c r="E655" s="1" t="n">
        <v>46228</v>
      </c>
      <c r="F655" t="inlineStr">
        <is>
          <t>VÄRMLANDS LÄN</t>
        </is>
      </c>
      <c r="G655" t="inlineStr">
        <is>
          <t>HAGFORS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46184</v>
      </c>
      <c r="E656" s="1" t="n">
        <v>46228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46228</v>
      </c>
      <c r="F657" t="inlineStr">
        <is>
          <t>VÄRMLANDS LÄN</t>
        </is>
      </c>
      <c r="G657" t="inlineStr">
        <is>
          <t>HAGFORS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46228</v>
      </c>
      <c r="F658" t="inlineStr">
        <is>
          <t>VÄRMLANDS LÄN</t>
        </is>
      </c>
      <c r="G658" t="inlineStr">
        <is>
          <t>HAGFORS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60664-2023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45259</v>
      </c>
      <c r="E659" s="1" t="n">
        <v>46228</v>
      </c>
      <c r="F659" t="inlineStr">
        <is>
          <t>VÄRMLANDS LÄN</t>
        </is>
      </c>
      <c r="G659" t="inlineStr">
        <is>
          <t>HAGFORS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35775-2024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45532</v>
      </c>
      <c r="E660" s="1" t="n">
        <v>46228</v>
      </c>
      <c r="F660" t="inlineStr">
        <is>
          <t>VÄRMLANDS LÄN</t>
        </is>
      </c>
      <c r="G660" t="inlineStr">
        <is>
          <t>HAGFORS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50929-2023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46228</v>
      </c>
      <c r="F661" t="inlineStr">
        <is>
          <t>VÄRMLANDS LÄN</t>
        </is>
      </c>
      <c r="G661" t="inlineStr">
        <is>
          <t>HAGFORS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57359-2022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46228</v>
      </c>
      <c r="F662" t="inlineStr">
        <is>
          <t>VÄRMLANDS LÄN</t>
        </is>
      </c>
      <c r="G662" t="inlineStr">
        <is>
          <t>HAGFORS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46228</v>
      </c>
      <c r="F663" t="inlineStr">
        <is>
          <t>VÄRMLANDS LÄN</t>
        </is>
      </c>
      <c r="G663" t="inlineStr">
        <is>
          <t>HAGFORS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50199-2022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46228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45714</v>
      </c>
      <c r="E665" s="1" t="n">
        <v>46228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58084-2024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46228</v>
      </c>
      <c r="F666" t="inlineStr">
        <is>
          <t>VÄRMLANDS LÄN</t>
        </is>
      </c>
      <c r="G666" t="inlineStr">
        <is>
          <t>HAGFORS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19702-2022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44694</v>
      </c>
      <c r="E667" s="1" t="n">
        <v>46228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22503-2024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45447</v>
      </c>
      <c r="E668" s="1" t="n">
        <v>46228</v>
      </c>
      <c r="F668" t="inlineStr">
        <is>
          <t>VÄRMLANDS LÄN</t>
        </is>
      </c>
      <c r="G668" t="inlineStr">
        <is>
          <t>HAGFORS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46228</v>
      </c>
      <c r="F669" t="inlineStr">
        <is>
          <t>VÄRMLANDS LÄN</t>
        </is>
      </c>
      <c r="G669" t="inlineStr">
        <is>
          <t>HAGFORS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44571</v>
      </c>
      <c r="E670" s="1" t="n">
        <v>46228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22332-2024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45446</v>
      </c>
      <c r="E671" s="1" t="n">
        <v>46228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12426-2024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45379</v>
      </c>
      <c r="E672" s="1" t="n">
        <v>46228</v>
      </c>
      <c r="F672" t="inlineStr">
        <is>
          <t>VÄRMLANDS LÄN</t>
        </is>
      </c>
      <c r="G672" t="inlineStr">
        <is>
          <t>HAGFORS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8922-2025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46228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17882-2025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45758</v>
      </c>
      <c r="E674" s="1" t="n">
        <v>46228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45703</v>
      </c>
      <c r="E675" s="1" t="n">
        <v>46228</v>
      </c>
      <c r="F675" t="inlineStr">
        <is>
          <t>VÄRMLANDS LÄN</t>
        </is>
      </c>
      <c r="G675" t="inlineStr">
        <is>
          <t>HAGFORS</t>
        </is>
      </c>
      <c r="H675" t="inlineStr">
        <is>
          <t>Kyrkan</t>
        </is>
      </c>
      <c r="I675" t="n">
        <v>15.9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17329-2024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45414</v>
      </c>
      <c r="E676" s="1" t="n">
        <v>46228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45684</v>
      </c>
      <c r="E677" s="1" t="n">
        <v>46228</v>
      </c>
      <c r="F677" t="inlineStr">
        <is>
          <t>VÄRMLANDS LÄN</t>
        </is>
      </c>
      <c r="G677" t="inlineStr">
        <is>
          <t>HAGFORS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45226</v>
      </c>
      <c r="E678" s="1" t="n">
        <v>46228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45671</v>
      </c>
      <c r="E679" s="1" t="n">
        <v>46228</v>
      </c>
      <c r="F679" t="inlineStr">
        <is>
          <t>VÄRMLANDS LÄN</t>
        </is>
      </c>
      <c r="G679" t="inlineStr">
        <is>
          <t>HAGFORS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48276-2024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45590</v>
      </c>
      <c r="E680" s="1" t="n">
        <v>46228</v>
      </c>
      <c r="F680" t="inlineStr">
        <is>
          <t>VÄRMLANDS LÄN</t>
        </is>
      </c>
      <c r="G680" t="inlineStr">
        <is>
          <t>HAGFORS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54751-2022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44883</v>
      </c>
      <c r="E681" s="1" t="n">
        <v>46228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46228</v>
      </c>
      <c r="F682" t="inlineStr">
        <is>
          <t>VÄRMLANDS LÄN</t>
        </is>
      </c>
      <c r="G682" t="inlineStr">
        <is>
          <t>HAGFORS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46228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45692</v>
      </c>
      <c r="E684" s="1" t="n">
        <v>46228</v>
      </c>
      <c r="F684" t="inlineStr">
        <is>
          <t>VÄRMLANDS LÄN</t>
        </is>
      </c>
      <c r="G684" t="inlineStr">
        <is>
          <t>HAGFORS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10562-2024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46228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44595</v>
      </c>
      <c r="E686" s="1" t="n">
        <v>46228</v>
      </c>
      <c r="F686" t="inlineStr">
        <is>
          <t>VÄRMLANDS LÄN</t>
        </is>
      </c>
      <c r="G686" t="inlineStr">
        <is>
          <t>HAGFORS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60167-2023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45258</v>
      </c>
      <c r="E687" s="1" t="n">
        <v>46228</v>
      </c>
      <c r="F687" t="inlineStr">
        <is>
          <t>VÄRMLANDS LÄN</t>
        </is>
      </c>
      <c r="G687" t="inlineStr">
        <is>
          <t>HAGFORS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60178-2023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45258</v>
      </c>
      <c r="E688" s="1" t="n">
        <v>46228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45328</v>
      </c>
      <c r="E689" s="1" t="n">
        <v>46228</v>
      </c>
      <c r="F689" t="inlineStr">
        <is>
          <t>VÄRMLANDS LÄN</t>
        </is>
      </c>
      <c r="G689" t="inlineStr">
        <is>
          <t>HAGFORS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46228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45175</v>
      </c>
      <c r="E691" s="1" t="n">
        <v>46228</v>
      </c>
      <c r="F691" t="inlineStr">
        <is>
          <t>VÄRMLANDS LÄN</t>
        </is>
      </c>
      <c r="G691" t="inlineStr">
        <is>
          <t>HAGFORS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12673-2024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45384</v>
      </c>
      <c r="E692" s="1" t="n">
        <v>46228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11367-2025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45726</v>
      </c>
      <c r="E693" s="1" t="n">
        <v>46228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56895-2023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45244</v>
      </c>
      <c r="E694" s="1" t="n">
        <v>46228</v>
      </c>
      <c r="F694" t="inlineStr">
        <is>
          <t>VÄRMLANDS LÄN</t>
        </is>
      </c>
      <c r="G694" t="inlineStr">
        <is>
          <t>HAGFORS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45673</v>
      </c>
      <c r="E695" s="1" t="n">
        <v>46228</v>
      </c>
      <c r="F695" t="inlineStr">
        <is>
          <t>VÄRMLANDS LÄN</t>
        </is>
      </c>
      <c r="G695" t="inlineStr">
        <is>
          <t>HAGFORS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42150-2024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46228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40835-2023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45172</v>
      </c>
      <c r="E697" s="1" t="n">
        <v>46228</v>
      </c>
      <c r="F697" t="inlineStr">
        <is>
          <t>VÄRMLANDS LÄN</t>
        </is>
      </c>
      <c r="G697" t="inlineStr">
        <is>
          <t>HAGFORS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47028-2023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45201</v>
      </c>
      <c r="E698" s="1" t="n">
        <v>46228</v>
      </c>
      <c r="F698" t="inlineStr">
        <is>
          <t>VÄRMLANDS LÄN</t>
        </is>
      </c>
      <c r="G698" t="inlineStr">
        <is>
          <t>HAGFORS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45492</v>
      </c>
      <c r="E699" s="1" t="n">
        <v>46228</v>
      </c>
      <c r="F699" t="inlineStr">
        <is>
          <t>VÄRMLANDS LÄN</t>
        </is>
      </c>
      <c r="G699" t="inlineStr">
        <is>
          <t>HAGFORS</t>
        </is>
      </c>
      <c r="H699" t="inlineStr">
        <is>
          <t>Kyrkan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45519</v>
      </c>
      <c r="E700" s="1" t="n">
        <v>46228</v>
      </c>
      <c r="F700" t="inlineStr">
        <is>
          <t>VÄRMLANDS LÄN</t>
        </is>
      </c>
      <c r="G700" t="inlineStr">
        <is>
          <t>HAGFORS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10236-2022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44622</v>
      </c>
      <c r="E701" s="1" t="n">
        <v>46228</v>
      </c>
      <c r="F701" t="inlineStr">
        <is>
          <t>VÄRMLANDS LÄN</t>
        </is>
      </c>
      <c r="G701" t="inlineStr">
        <is>
          <t>HAGFORS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46792-2022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46228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45510</v>
      </c>
      <c r="E703" s="1" t="n">
        <v>46228</v>
      </c>
      <c r="F703" t="inlineStr">
        <is>
          <t>VÄRMLANDS LÄN</t>
        </is>
      </c>
      <c r="G703" t="inlineStr">
        <is>
          <t>HAGFORS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54744-2024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45618</v>
      </c>
      <c r="E704" s="1" t="n">
        <v>46228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8.800000000000001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39640-2022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44817</v>
      </c>
      <c r="E705" s="1" t="n">
        <v>46228</v>
      </c>
      <c r="F705" t="inlineStr">
        <is>
          <t>VÄRMLANDS LÄN</t>
        </is>
      </c>
      <c r="G705" t="inlineStr">
        <is>
          <t>HAGFORS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46228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45629</v>
      </c>
      <c r="E707" s="1" t="n">
        <v>46228</v>
      </c>
      <c r="F707" t="inlineStr">
        <is>
          <t>VÄRMLANDS LÄN</t>
        </is>
      </c>
      <c r="G707" t="inlineStr">
        <is>
          <t>HAGFORS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45132</v>
      </c>
      <c r="E708" s="1" t="n">
        <v>46228</v>
      </c>
      <c r="F708" t="inlineStr">
        <is>
          <t>VÄRMLANDS LÄN</t>
        </is>
      </c>
      <c r="G708" t="inlineStr">
        <is>
          <t>HAGFORS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11160-2025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45723</v>
      </c>
      <c r="E709" s="1" t="n">
        <v>46228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46228</v>
      </c>
      <c r="F710" t="inlineStr">
        <is>
          <t>VÄRMLANDS LÄN</t>
        </is>
      </c>
      <c r="G710" t="inlineStr">
        <is>
          <t>HAGFORS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46228</v>
      </c>
      <c r="F711" t="inlineStr">
        <is>
          <t>VÄRMLANDS LÄN</t>
        </is>
      </c>
      <c r="G711" t="inlineStr">
        <is>
          <t>HAGFORS</t>
        </is>
      </c>
      <c r="H711" t="inlineStr">
        <is>
          <t>Kommuner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44728-2023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45190</v>
      </c>
      <c r="E712" s="1" t="n">
        <v>46228</v>
      </c>
      <c r="F712" t="inlineStr">
        <is>
          <t>VÄRMLANDS LÄN</t>
        </is>
      </c>
      <c r="G712" t="inlineStr">
        <is>
          <t>HAGFORS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42168-2024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45562</v>
      </c>
      <c r="E713" s="1" t="n">
        <v>46228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45562</v>
      </c>
      <c r="E714" s="1" t="n">
        <v>46228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42171-2024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46228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42243-2024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46228</v>
      </c>
      <c r="F716" t="inlineStr">
        <is>
          <t>VÄRMLANDS LÄN</t>
        </is>
      </c>
      <c r="G716" t="inlineStr">
        <is>
          <t>HAGFORS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46228</v>
      </c>
      <c r="F717" t="inlineStr">
        <is>
          <t>VÄRMLANDS LÄN</t>
        </is>
      </c>
      <c r="G717" t="inlineStr">
        <is>
          <t>HAGFORS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36013-2023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46228</v>
      </c>
      <c r="F718" t="inlineStr">
        <is>
          <t>VÄRMLANDS LÄN</t>
        </is>
      </c>
      <c r="G718" t="inlineStr">
        <is>
          <t>HAGFORS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45264</v>
      </c>
      <c r="E719" s="1" t="n">
        <v>46228</v>
      </c>
      <c r="F719" t="inlineStr">
        <is>
          <t>VÄRMLANDS LÄN</t>
        </is>
      </c>
      <c r="G719" t="inlineStr">
        <is>
          <t>HAGFORS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61315-2023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45264</v>
      </c>
      <c r="E720" s="1" t="n">
        <v>46228</v>
      </c>
      <c r="F720" t="inlineStr">
        <is>
          <t>VÄRMLANDS LÄN</t>
        </is>
      </c>
      <c r="G720" t="inlineStr">
        <is>
          <t>HAGFORS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18907-2025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46228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17305-2023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45035</v>
      </c>
      <c r="E722" s="1" t="n">
        <v>46228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31178-2022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44770</v>
      </c>
      <c r="E723" s="1" t="n">
        <v>46228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59552-2024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45638</v>
      </c>
      <c r="E724" s="1" t="n">
        <v>46228</v>
      </c>
      <c r="F724" t="inlineStr">
        <is>
          <t>VÄRMLANDS LÄN</t>
        </is>
      </c>
      <c r="G724" t="inlineStr">
        <is>
          <t>HAGFORS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46228</v>
      </c>
      <c r="F725" t="inlineStr">
        <is>
          <t>VÄRMLANDS LÄN</t>
        </is>
      </c>
      <c r="G725" t="inlineStr">
        <is>
          <t>HAGFORS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21723-2025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46228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46228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24680-2024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46228</v>
      </c>
      <c r="F728" t="inlineStr">
        <is>
          <t>VÄRMLANDS LÄN</t>
        </is>
      </c>
      <c r="G728" t="inlineStr">
        <is>
          <t>HAGFORS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44683</v>
      </c>
      <c r="E729" s="1" t="n">
        <v>46228</v>
      </c>
      <c r="F729" t="inlineStr">
        <is>
          <t>VÄRMLANDS LÄN</t>
        </is>
      </c>
      <c r="G729" t="inlineStr">
        <is>
          <t>HAGFORS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47425-2024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45587</v>
      </c>
      <c r="E730" s="1" t="n">
        <v>46228</v>
      </c>
      <c r="F730" t="inlineStr">
        <is>
          <t>VÄRMLANDS LÄN</t>
        </is>
      </c>
      <c r="G730" t="inlineStr">
        <is>
          <t>HAGFORS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45785</v>
      </c>
      <c r="E731" s="1" t="n">
        <v>46228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40332-2023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45169</v>
      </c>
      <c r="E732" s="1" t="n">
        <v>46228</v>
      </c>
      <c r="F732" t="inlineStr">
        <is>
          <t>VÄRMLANDS LÄN</t>
        </is>
      </c>
      <c r="G732" t="inlineStr">
        <is>
          <t>HAGFORS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22799-2025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45789</v>
      </c>
      <c r="E733" s="1" t="n">
        <v>46228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45786</v>
      </c>
      <c r="E734" s="1" t="n">
        <v>46228</v>
      </c>
      <c r="F734" t="inlineStr">
        <is>
          <t>VÄRMLANDS LÄN</t>
        </is>
      </c>
      <c r="G734" t="inlineStr">
        <is>
          <t>HAGFORS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46228</v>
      </c>
      <c r="F735" t="inlineStr">
        <is>
          <t>VÄRMLANDS LÄN</t>
        </is>
      </c>
      <c r="G735" t="inlineStr">
        <is>
          <t>HAGFORS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46228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45545</v>
      </c>
      <c r="E737" s="1" t="n">
        <v>46228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46228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45623</v>
      </c>
      <c r="E739" s="1" t="n">
        <v>46228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23556-2025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45792</v>
      </c>
      <c r="E740" s="1" t="n">
        <v>46228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45792</v>
      </c>
      <c r="E741" s="1" t="n">
        <v>46228</v>
      </c>
      <c r="F741" t="inlineStr">
        <is>
          <t>VÄRMLANDS LÄN</t>
        </is>
      </c>
      <c r="G741" t="inlineStr">
        <is>
          <t>HAGFORS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23674-2025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45793</v>
      </c>
      <c r="E742" s="1" t="n">
        <v>46228</v>
      </c>
      <c r="F742" t="inlineStr">
        <is>
          <t>VÄRMLANDS LÄN</t>
        </is>
      </c>
      <c r="G742" t="inlineStr">
        <is>
          <t>HAGFORS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23712-2025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45793</v>
      </c>
      <c r="E743" s="1" t="n">
        <v>46228</v>
      </c>
      <c r="F743" t="inlineStr">
        <is>
          <t>VÄRMLANDS LÄN</t>
        </is>
      </c>
      <c r="G743" t="inlineStr">
        <is>
          <t>HAGFORS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54008-2024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46228</v>
      </c>
      <c r="F744" t="inlineStr">
        <is>
          <t>VÄRMLANDS LÄN</t>
        </is>
      </c>
      <c r="G744" t="inlineStr">
        <is>
          <t>HAGFORS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45754</v>
      </c>
      <c r="E745" s="1" t="n">
        <v>46228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15643-2024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45404</v>
      </c>
      <c r="E746" s="1" t="n">
        <v>46228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24434-2025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45797</v>
      </c>
      <c r="E747" s="1" t="n">
        <v>46228</v>
      </c>
      <c r="F747" t="inlineStr">
        <is>
          <t>VÄRMLANDS LÄN</t>
        </is>
      </c>
      <c r="G747" t="inlineStr">
        <is>
          <t>HAGFORS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24435-2025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45797</v>
      </c>
      <c r="E748" s="1" t="n">
        <v>46228</v>
      </c>
      <c r="F748" t="inlineStr">
        <is>
          <t>VÄRMLANDS LÄN</t>
        </is>
      </c>
      <c r="G748" t="inlineStr">
        <is>
          <t>HAGFORS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45797</v>
      </c>
      <c r="E749" s="1" t="n">
        <v>46228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13524-2025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46228</v>
      </c>
      <c r="F750" t="inlineStr">
        <is>
          <t>VÄRMLANDS LÄN</t>
        </is>
      </c>
      <c r="G750" t="inlineStr">
        <is>
          <t>HAGFORS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24895-2025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46228</v>
      </c>
      <c r="F751" t="inlineStr">
        <is>
          <t>VÄRMLANDS LÄN</t>
        </is>
      </c>
      <c r="G751" t="inlineStr">
        <is>
          <t>HAGFORS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46228</v>
      </c>
      <c r="F752" t="inlineStr">
        <is>
          <t>VÄRMLANDS LÄN</t>
        </is>
      </c>
      <c r="G752" t="inlineStr">
        <is>
          <t>HAGFORS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45799</v>
      </c>
      <c r="E753" s="1" t="n">
        <v>46228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45842</v>
      </c>
      <c r="E754" s="1" t="n">
        <v>46228</v>
      </c>
      <c r="F754" t="inlineStr">
        <is>
          <t>VÄRMLANDS LÄN</t>
        </is>
      </c>
      <c r="G754" t="inlineStr">
        <is>
          <t>HAGFORS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26463-2025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45807</v>
      </c>
      <c r="E755" s="1" t="n">
        <v>46228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16755-2025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45754</v>
      </c>
      <c r="E756" s="1" t="n">
        <v>46228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38474-2024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46228</v>
      </c>
      <c r="F757" t="inlineStr">
        <is>
          <t>VÄRMLANDS LÄN</t>
        </is>
      </c>
      <c r="G757" t="inlineStr">
        <is>
          <t>HAGFORS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46228</v>
      </c>
      <c r="F758" t="inlineStr">
        <is>
          <t>VÄRMLANDS LÄN</t>
        </is>
      </c>
      <c r="G758" t="inlineStr">
        <is>
          <t>HAGFORS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52383-2024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45608</v>
      </c>
      <c r="E759" s="1" t="n">
        <v>46228</v>
      </c>
      <c r="F759" t="inlineStr">
        <is>
          <t>VÄRMLANDS LÄN</t>
        </is>
      </c>
      <c r="G759" t="inlineStr">
        <is>
          <t>HAGFORS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26617-2025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45810</v>
      </c>
      <c r="E760" s="1" t="n">
        <v>46228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46228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46228</v>
      </c>
      <c r="F762" t="inlineStr">
        <is>
          <t>VÄRMLANDS LÄN</t>
        </is>
      </c>
      <c r="G762" t="inlineStr">
        <is>
          <t>HAGFORS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46228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46228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45812</v>
      </c>
      <c r="E765" s="1" t="n">
        <v>46228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46228</v>
      </c>
      <c r="F766" t="inlineStr">
        <is>
          <t>VÄRMLANDS LÄN</t>
        </is>
      </c>
      <c r="G766" t="inlineStr">
        <is>
          <t>HAGFORS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46228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27195-2025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46228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50922-2023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45211</v>
      </c>
      <c r="E769" s="1" t="n">
        <v>46228</v>
      </c>
      <c r="F769" t="inlineStr">
        <is>
          <t>VÄRMLANDS LÄN</t>
        </is>
      </c>
      <c r="G769" t="inlineStr">
        <is>
          <t>HAGFORS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28437-2025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45819</v>
      </c>
      <c r="E770" s="1" t="n">
        <v>46228</v>
      </c>
      <c r="F770" t="inlineStr">
        <is>
          <t>VÄRMLANDS LÄN</t>
        </is>
      </c>
      <c r="G770" t="inlineStr">
        <is>
          <t>HAGFORS</t>
        </is>
      </c>
      <c r="H770" t="inlineStr">
        <is>
          <t>Kyrkan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45818</v>
      </c>
      <c r="E771" s="1" t="n">
        <v>46228</v>
      </c>
      <c r="F771" t="inlineStr">
        <is>
          <t>VÄRMLANDS LÄN</t>
        </is>
      </c>
      <c r="G771" t="inlineStr">
        <is>
          <t>HAGFORS</t>
        </is>
      </c>
      <c r="H771" t="inlineStr">
        <is>
          <t>Kyrkan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29149-2025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45821</v>
      </c>
      <c r="E772" s="1" t="n">
        <v>46228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29115-2025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45821</v>
      </c>
      <c r="E773" s="1" t="n">
        <v>46228</v>
      </c>
      <c r="F773" t="inlineStr">
        <is>
          <t>VÄRMLANDS LÄN</t>
        </is>
      </c>
      <c r="G773" t="inlineStr">
        <is>
          <t>HAGFORS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46228</v>
      </c>
      <c r="F774" t="inlineStr">
        <is>
          <t>VÄRMLANDS LÄN</t>
        </is>
      </c>
      <c r="G774" t="inlineStr">
        <is>
          <t>HAGFORS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46228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29958-2025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46228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30778-2025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45831</v>
      </c>
      <c r="E777" s="1" t="n">
        <v>46228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32235-2025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45835</v>
      </c>
      <c r="E778" s="1" t="n">
        <v>46228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45835</v>
      </c>
      <c r="E779" s="1" t="n">
        <v>46228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45841</v>
      </c>
      <c r="E780" s="1" t="n">
        <v>46228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33364-2025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45841</v>
      </c>
      <c r="E781" s="1" t="n">
        <v>46228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33440-2025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45841</v>
      </c>
      <c r="E782" s="1" t="n">
        <v>46228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33454-2025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46228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34107-2025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46228</v>
      </c>
      <c r="F784" t="inlineStr">
        <is>
          <t>VÄRMLANDS LÄN</t>
        </is>
      </c>
      <c r="G784" t="inlineStr">
        <is>
          <t>HAGFORS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34133-2025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45845</v>
      </c>
      <c r="E785" s="1" t="n">
        <v>46228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46228</v>
      </c>
      <c r="F786" t="inlineStr">
        <is>
          <t>VÄRMLANDS LÄN</t>
        </is>
      </c>
      <c r="G786" t="inlineStr">
        <is>
          <t>HAGFORS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19515-2025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46228</v>
      </c>
      <c r="F787" t="inlineStr">
        <is>
          <t>VÄRMLANDS LÄN</t>
        </is>
      </c>
      <c r="G787" t="inlineStr">
        <is>
          <t>HAGFORS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42801-2024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46228</v>
      </c>
      <c r="F788" t="inlineStr">
        <is>
          <t>VÄRMLANDS LÄN</t>
        </is>
      </c>
      <c r="G788" t="inlineStr">
        <is>
          <t>HAGFORS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45784</v>
      </c>
      <c r="E789" s="1" t="n">
        <v>46228</v>
      </c>
      <c r="F789" t="inlineStr">
        <is>
          <t>VÄRMLANDS LÄN</t>
        </is>
      </c>
      <c r="G789" t="inlineStr">
        <is>
          <t>HAGFORS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45853</v>
      </c>
      <c r="E790" s="1" t="n">
        <v>46228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46228</v>
      </c>
      <c r="F791" t="inlineStr">
        <is>
          <t>VÄRMLANDS LÄN</t>
        </is>
      </c>
      <c r="G791" t="inlineStr">
        <is>
          <t>HAGFORS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35289-2025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45854</v>
      </c>
      <c r="E792" s="1" t="n">
        <v>46228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46228</v>
      </c>
      <c r="F793" t="inlineStr">
        <is>
          <t>VÄRMLANDS LÄN</t>
        </is>
      </c>
      <c r="G793" t="inlineStr">
        <is>
          <t>HAGFORS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45865</v>
      </c>
      <c r="E794" s="1" t="n">
        <v>46228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32604-2025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45838</v>
      </c>
      <c r="E795" s="1" t="n">
        <v>46228</v>
      </c>
      <c r="F795" t="inlineStr">
        <is>
          <t>VÄRMLANDS LÄN</t>
        </is>
      </c>
      <c r="G795" t="inlineStr">
        <is>
          <t>HAGFORS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46228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46228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46228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46228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46228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46228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46228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46228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46228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46228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46228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46228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46228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46228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46228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46228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46228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46228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46228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46228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46228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46228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46228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46228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46228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46228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46228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46228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2026-07-25T01:52:47Z</dcterms:created>
  <dcterms:modified xmlns:dcterms="http://purl.org/dc/terms/" xmlns:xsi="http://www.w3.org/2001/XMLSchema-instance" xsi:type="dcterms:W3CDTF">2026-07-25T01:52:48Z</dcterms:modified>
</cp:coreProperties>
</file>