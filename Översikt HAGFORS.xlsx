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46234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46234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46234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46234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46234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46234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23955-2025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45796</v>
      </c>
      <c r="E14" s="1" t="n">
        <v>46234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3.7</v>
      </c>
      <c r="J14" t="n">
        <v>2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5</v>
      </c>
      <c r="U14" t="n">
        <v>3</v>
      </c>
      <c r="V14" s="2" t="inlineStr">
        <is>
          <t>Garnlav
Knärot
Dropptaggsvamp
Tretåig hackspett</t>
        </is>
      </c>
      <c r="W14">
        <f>HYPERLINK("https://klasma.github.io/Logging_1783/artfynd/A 23955-2025 artfynd.xlsx", "A 23955-2025")</f>
        <v/>
      </c>
      <c r="X14">
        <f>HYPERLINK("https://klasma.github.io/Logging_1783/kartor/A 23955-2025 karta.png", "A 23955-2025")</f>
        <v/>
      </c>
      <c r="Y14">
        <f>HYPERLINK("https://klasma.github.io/Logging_1783/kartor_geotiff/A 23955-2025 georefererad karta.tif", "A 23955-2025")</f>
        <v/>
      </c>
      <c r="Z14">
        <f>HYPERLINK("https://klasma.github.io/Logging_1783/knärot/A 23955-2025 karta knärot.png", "A 23955-2025")</f>
        <v/>
      </c>
      <c r="AA14">
        <f>HYPERLINK("https://klasma.github.io/Logging_1783/klagomål/A 23955-2025 FSC-klagomål.docx", "A 23955-2025")</f>
        <v/>
      </c>
      <c r="AB14">
        <f>HYPERLINK("https://klasma.github.io/Logging_1783/klagomålsmail/A 23955-2025 FSC-klagomål mail.docx", "A 23955-2025")</f>
        <v/>
      </c>
      <c r="AC14">
        <f>HYPERLINK("https://klasma.github.io/Logging_1783/tillsyn/A 23955-2025 tillsynsbegäran.docx", "A 23955-2025")</f>
        <v/>
      </c>
      <c r="AD14">
        <f>HYPERLINK("https://klasma.github.io/Logging_1783/tillsynsmail/A 23955-2025 tillsynsbegäran mail.docx", "A 23955-2025")</f>
        <v/>
      </c>
      <c r="AE14">
        <f>HYPERLINK("https://klasma.github.io/Logging_1783/fåglar/A 23955-2025 prioriterade fågelarter.docx", "A 23955-2025")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46234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46234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46234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46234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46234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46234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46234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46234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46234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46234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46234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46234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46234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46234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46234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50030-2025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46234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9.9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HYPERLINK("https://klasma.github.io/Logging_1783/artfynd/A 50030-2025 artfynd.xlsx", "A 50030-2025")</f>
        <v/>
      </c>
      <c r="X32">
        <f>HYPERLINK("https://klasma.github.io/Logging_1783/kartor/A 50030-2025 karta.png", "A 50030-2025")</f>
        <v/>
      </c>
      <c r="Y32">
        <f>HYPERLINK("https://klasma.github.io/Logging_1783/kartor_geotiff/A 50030-2025 georefererad karta.tif", "A 50030-2025")</f>
        <v/>
      </c>
      <c r="AA32">
        <f>HYPERLINK("https://klasma.github.io/Logging_1783/klagomål/A 50030-2025 FSC-klagomål.docx", "A 50030-2025")</f>
        <v/>
      </c>
      <c r="AB32">
        <f>HYPERLINK("https://klasma.github.io/Logging_1783/klagomålsmail/A 50030-2025 FSC-klagomål mail.docx", "A 50030-2025")</f>
        <v/>
      </c>
      <c r="AC32">
        <f>HYPERLINK("https://klasma.github.io/Logging_1783/tillsyn/A 50030-2025 tillsynsbegäran.docx", "A 50030-2025")</f>
        <v/>
      </c>
      <c r="AD32">
        <f>HYPERLINK("https://klasma.github.io/Logging_1783/tillsynsmail/A 50030-2025 tillsynsbegäran mail.docx", "A 50030-2025")</f>
        <v/>
      </c>
    </row>
    <row r="33" ht="15" customHeight="1">
      <c r="A33" t="inlineStr">
        <is>
          <t>A 22484-2025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45786</v>
      </c>
      <c r="E33" s="1" t="n">
        <v>46234</v>
      </c>
      <c r="F33" t="inlineStr">
        <is>
          <t>VÄRMLANDS LÄN</t>
        </is>
      </c>
      <c r="G33" t="inlineStr">
        <is>
          <t>HAGFORS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Rödlånke</t>
        </is>
      </c>
      <c r="W33">
        <f>HYPERLINK("https://klasma.github.io/Logging_1783/artfynd/A 22484-2025 artfynd.xlsx", "A 22484-2025")</f>
        <v/>
      </c>
      <c r="X33">
        <f>HYPERLINK("https://klasma.github.io/Logging_1783/kartor/A 22484-2025 karta.png", "A 22484-2025")</f>
        <v/>
      </c>
      <c r="Y33">
        <f>HYPERLINK("https://klasma.github.io/Logging_1783/kartor_geotiff/A 22484-2025 georefererad karta.tif", "A 22484-2025")</f>
        <v/>
      </c>
      <c r="AA33">
        <f>HYPERLINK("https://klasma.github.io/Logging_1783/klagomål/A 22484-2025 FSC-klagomål.docx", "A 22484-2025")</f>
        <v/>
      </c>
      <c r="AB33">
        <f>HYPERLINK("https://klasma.github.io/Logging_1783/klagomålsmail/A 22484-2025 FSC-klagomål mail.docx", "A 22484-2025")</f>
        <v/>
      </c>
      <c r="AC33">
        <f>HYPERLINK("https://klasma.github.io/Logging_1783/tillsyn/A 22484-2025 tillsynsbegäran.docx", "A 22484-2025")</f>
        <v/>
      </c>
      <c r="AD33">
        <f>HYPERLINK("https://klasma.github.io/Logging_1783/tillsynsmail/A 22484-2025 tillsynsbegäran mail.docx", "A 22484-2025")</f>
        <v/>
      </c>
    </row>
    <row r="34" ht="15" customHeight="1">
      <c r="A34" t="inlineStr">
        <is>
          <t>A 24885-2025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46234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HYPERLINK("https://klasma.github.io/Logging_1783/artfynd/A 24885-2025 artfynd.xlsx", "A 24885-2025")</f>
        <v/>
      </c>
      <c r="X34">
        <f>HYPERLINK("https://klasma.github.io/Logging_1783/kartor/A 24885-2025 karta.png", "A 24885-2025")</f>
        <v/>
      </c>
      <c r="Y34">
        <f>HYPERLINK("https://klasma.github.io/Logging_1783/kartor_geotiff/A 24885-2025 georefererad karta.tif", "A 24885-2025")</f>
        <v/>
      </c>
      <c r="AA34">
        <f>HYPERLINK("https://klasma.github.io/Logging_1783/klagomål/A 24885-2025 FSC-klagomål.docx", "A 24885-2025")</f>
        <v/>
      </c>
      <c r="AB34">
        <f>HYPERLINK("https://klasma.github.io/Logging_1783/klagomålsmail/A 24885-2025 FSC-klagomål mail.docx", "A 24885-2025")</f>
        <v/>
      </c>
      <c r="AC34">
        <f>HYPERLINK("https://klasma.github.io/Logging_1783/tillsyn/A 24885-2025 tillsynsbegäran.docx", "A 24885-2025")</f>
        <v/>
      </c>
      <c r="AD34">
        <f>HYPERLINK("https://klasma.github.io/Logging_1783/tillsynsmail/A 24885-2025 tillsynsbegäran mail.docx", "A 24885-2025")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46234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26624-2025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45810</v>
      </c>
      <c r="E36" s="1" t="n">
        <v>46234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HYPERLINK("https://klasma.github.io/Logging_1783/artfynd/A 26624-2025 artfynd.xlsx", "A 26624-2025")</f>
        <v/>
      </c>
      <c r="X36">
        <f>HYPERLINK("https://klasma.github.io/Logging_1783/kartor/A 26624-2025 karta.png", "A 26624-2025")</f>
        <v/>
      </c>
      <c r="Y36">
        <f>HYPERLINK("https://klasma.github.io/Logging_1783/kartor_geotiff/A 26624-2025 georefererad karta.tif", "A 26624-2025")</f>
        <v/>
      </c>
      <c r="AA36">
        <f>HYPERLINK("https://klasma.github.io/Logging_1783/klagomål/A 26624-2025 FSC-klagomål.docx", "A 26624-2025")</f>
        <v/>
      </c>
      <c r="AB36">
        <f>HYPERLINK("https://klasma.github.io/Logging_1783/klagomålsmail/A 26624-2025 FSC-klagomål mail.docx", "A 26624-2025")</f>
        <v/>
      </c>
      <c r="AC36">
        <f>HYPERLINK("https://klasma.github.io/Logging_1783/tillsyn/A 26624-2025 tillsynsbegäran.docx", "A 26624-2025")</f>
        <v/>
      </c>
      <c r="AD36">
        <f>HYPERLINK("https://klasma.github.io/Logging_1783/tillsynsmail/A 26624-2025 tillsynsbegäran mail.docx", "A 26624-2025")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46234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46234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46234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46234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33905-2025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45842</v>
      </c>
      <c r="E41" s="1" t="n">
        <v>46234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7.8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33905-2025 artfynd.xlsx", "A 33905-2025")</f>
        <v/>
      </c>
      <c r="X41">
        <f>HYPERLINK("https://klasma.github.io/Logging_1783/kartor/A 33905-2025 karta.png", "A 33905-2025")</f>
        <v/>
      </c>
      <c r="Y41">
        <f>HYPERLINK("https://klasma.github.io/Logging_1783/kartor_geotiff/A 33905-2025 georefererad karta.tif", "A 33905-2025")</f>
        <v/>
      </c>
      <c r="AA41">
        <f>HYPERLINK("https://klasma.github.io/Logging_1783/klagomål/A 33905-2025 FSC-klagomål.docx", "A 33905-2025")</f>
        <v/>
      </c>
      <c r="AB41">
        <f>HYPERLINK("https://klasma.github.io/Logging_1783/klagomålsmail/A 33905-2025 FSC-klagomål mail.docx", "A 33905-2025")</f>
        <v/>
      </c>
      <c r="AC41">
        <f>HYPERLINK("https://klasma.github.io/Logging_1783/tillsyn/A 33905-2025 tillsynsbegäran.docx", "A 33905-2025")</f>
        <v/>
      </c>
      <c r="AD41">
        <f>HYPERLINK("https://klasma.github.io/Logging_1783/tillsynsmail/A 33905-2025 tillsynsbegäran mail.docx", "A 33905-2025")</f>
        <v/>
      </c>
    </row>
    <row r="42" ht="15" customHeight="1">
      <c r="A42" t="inlineStr">
        <is>
          <t>A 20119-2025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46234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20119-2025 artfynd.xlsx", "A 20119-2025")</f>
        <v/>
      </c>
      <c r="X42">
        <f>HYPERLINK("https://klasma.github.io/Logging_1783/kartor/A 20119-2025 karta.png", "A 20119-2025")</f>
        <v/>
      </c>
      <c r="Y42">
        <f>HYPERLINK("https://klasma.github.io/Logging_1783/kartor_geotiff/A 20119-2025 georefererad karta.tif", "A 20119-2025")</f>
        <v/>
      </c>
      <c r="AA42">
        <f>HYPERLINK("https://klasma.github.io/Logging_1783/klagomål/A 20119-2025 FSC-klagomål.docx", "A 20119-2025")</f>
        <v/>
      </c>
      <c r="AB42">
        <f>HYPERLINK("https://klasma.github.io/Logging_1783/klagomålsmail/A 20119-2025 FSC-klagomål mail.docx", "A 20119-2025")</f>
        <v/>
      </c>
      <c r="AC42">
        <f>HYPERLINK("https://klasma.github.io/Logging_1783/tillsyn/A 20119-2025 tillsynsbegäran.docx", "A 20119-2025")</f>
        <v/>
      </c>
      <c r="AD42">
        <f>HYPERLINK("https://klasma.github.io/Logging_1783/tillsynsmail/A 20119-2025 tillsynsbegäran mail.docx", "A 20119-2025")</f>
        <v/>
      </c>
      <c r="AE42">
        <f>HYPERLINK("https://klasma.github.io/Logging_1783/fåglar/A 20119-2025 prioriterade fågelarter.docx", "A 20119-2025")</f>
        <v/>
      </c>
    </row>
    <row r="43" ht="15" customHeight="1">
      <c r="A43" t="inlineStr">
        <is>
          <t>A 51194-2022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46234</v>
      </c>
      <c r="F43" t="inlineStr">
        <is>
          <t>VÄRMLANDS LÄN</t>
        </is>
      </c>
      <c r="G43" t="inlineStr">
        <is>
          <t>HAGFORS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HYPERLINK("https://klasma.github.io/Logging_1783/artfynd/A 51194-2022 artfynd.xlsx", "A 51194-2022")</f>
        <v/>
      </c>
      <c r="X43">
        <f>HYPERLINK("https://klasma.github.io/Logging_1783/kartor/A 51194-2022 karta.png", "A 51194-2022")</f>
        <v/>
      </c>
      <c r="Y43">
        <f>HYPERLINK("https://klasma.github.io/Logging_1783/kartor_geotiff/A 51194-2022 georefererad karta.tif", "A 51194-2022")</f>
        <v/>
      </c>
      <c r="AA43">
        <f>HYPERLINK("https://klasma.github.io/Logging_1783/klagomål/A 51194-2022 FSC-klagomål.docx", "A 51194-2022")</f>
        <v/>
      </c>
      <c r="AB43">
        <f>HYPERLINK("https://klasma.github.io/Logging_1783/klagomålsmail/A 51194-2022 FSC-klagomål mail.docx", "A 51194-2022")</f>
        <v/>
      </c>
      <c r="AC43">
        <f>HYPERLINK("https://klasma.github.io/Logging_1783/tillsyn/A 51194-2022 tillsynsbegäran.docx", "A 51194-2022")</f>
        <v/>
      </c>
      <c r="AD43">
        <f>HYPERLINK("https://klasma.github.io/Logging_1783/tillsynsmail/A 51194-2022 tillsynsbegäran mail.docx", "A 51194-2022")</f>
        <v/>
      </c>
    </row>
    <row r="44" ht="15" customHeight="1">
      <c r="A44" t="inlineStr">
        <is>
          <t>A 44095-2023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46234</v>
      </c>
      <c r="F44" t="inlineStr">
        <is>
          <t>VÄRMLANDS LÄN</t>
        </is>
      </c>
      <c r="G44" t="inlineStr">
        <is>
          <t>HAGFORS</t>
        </is>
      </c>
      <c r="I44" t="n">
        <v>3.6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44095-2023 artfynd.xlsx", "A 44095-2023")</f>
        <v/>
      </c>
      <c r="X44">
        <f>HYPERLINK("https://klasma.github.io/Logging_1783/kartor/A 44095-2023 karta.png", "A 44095-2023")</f>
        <v/>
      </c>
      <c r="Y44">
        <f>HYPERLINK("https://klasma.github.io/Logging_1783/kartor_geotiff/A 44095-2023 georefererad karta.tif", "A 44095-2023")</f>
        <v/>
      </c>
      <c r="AA44">
        <f>HYPERLINK("https://klasma.github.io/Logging_1783/klagomål/A 44095-2023 FSC-klagomål.docx", "A 44095-2023")</f>
        <v/>
      </c>
      <c r="AB44">
        <f>HYPERLINK("https://klasma.github.io/Logging_1783/klagomålsmail/A 44095-2023 FSC-klagomål mail.docx", "A 44095-2023")</f>
        <v/>
      </c>
      <c r="AC44">
        <f>HYPERLINK("https://klasma.github.io/Logging_1783/tillsyn/A 44095-2023 tillsynsbegäran.docx", "A 44095-2023")</f>
        <v/>
      </c>
      <c r="AD44">
        <f>HYPERLINK("https://klasma.github.io/Logging_1783/tillsynsmail/A 44095-2023 tillsynsbegäran mail.docx", "A 44095-2023")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46234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46234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16319-2023 artfynd.xlsx", "A 16319-2023")</f>
        <v/>
      </c>
      <c r="X46">
        <f>HYPERLINK("https://klasma.github.io/Logging_1783/kartor/A 16319-2023 karta.png", "A 16319-2023")</f>
        <v/>
      </c>
      <c r="Y46">
        <f>HYPERLINK("https://klasma.github.io/Logging_1783/kartor_geotiff/A 16319-2023 georefererad karta.tif", "A 16319-2023")</f>
        <v/>
      </c>
      <c r="AA46">
        <f>HYPERLINK("https://klasma.github.io/Logging_1783/klagomål/A 16319-2023 FSC-klagomål.docx", "A 16319-2023")</f>
        <v/>
      </c>
      <c r="AB46">
        <f>HYPERLINK("https://klasma.github.io/Logging_1783/klagomålsmail/A 16319-2023 FSC-klagomål mail.docx", "A 16319-2023")</f>
        <v/>
      </c>
      <c r="AC46">
        <f>HYPERLINK("https://klasma.github.io/Logging_1783/tillsyn/A 16319-2023 tillsynsbegäran.docx", "A 16319-2023")</f>
        <v/>
      </c>
      <c r="AD46">
        <f>HYPERLINK("https://klasma.github.io/Logging_1783/tillsynsmail/A 16319-2023 tillsynsbegäran mail.docx", "A 16319-2023")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46234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46234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46234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19362-2026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46133</v>
      </c>
      <c r="E50" s="1" t="n">
        <v>46234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19362-2026 artfynd.xlsx", "A 19362-2026")</f>
        <v/>
      </c>
      <c r="X50">
        <f>HYPERLINK("https://klasma.github.io/Logging_1783/kartor/A 19362-2026 karta.png", "A 19362-2026")</f>
        <v/>
      </c>
      <c r="Y50">
        <f>HYPERLINK("https://klasma.github.io/Logging_1783/kartor_geotiff/A 19362-2026 georefererad karta.tif", "A 19362-2026")</f>
        <v/>
      </c>
      <c r="AA50">
        <f>HYPERLINK("https://klasma.github.io/Logging_1783/klagomål/A 19362-2026 FSC-klagomål.docx", "A 19362-2026")</f>
        <v/>
      </c>
      <c r="AB50">
        <f>HYPERLINK("https://klasma.github.io/Logging_1783/klagomålsmail/A 19362-2026 FSC-klagomål mail.docx", "A 19362-2026")</f>
        <v/>
      </c>
      <c r="AC50">
        <f>HYPERLINK("https://klasma.github.io/Logging_1783/tillsyn/A 19362-2026 tillsynsbegäran.docx", "A 19362-2026")</f>
        <v/>
      </c>
      <c r="AD50">
        <f>HYPERLINK("https://klasma.github.io/Logging_1783/tillsynsmail/A 19362-2026 tillsynsbegäran mail.docx", "A 19362-2026")</f>
        <v/>
      </c>
    </row>
    <row r="51" ht="15" customHeight="1">
      <c r="A51" t="inlineStr">
        <is>
          <t>A 34158-2025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45845</v>
      </c>
      <c r="E51" s="1" t="n">
        <v>46234</v>
      </c>
      <c r="F51" t="inlineStr">
        <is>
          <t>VÄRMLANDS LÄN</t>
        </is>
      </c>
      <c r="G51" t="inlineStr">
        <is>
          <t>HAGFORS</t>
        </is>
      </c>
      <c r="I51" t="n">
        <v>5.8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Korallblylav</t>
        </is>
      </c>
      <c r="W51">
        <f>HYPERLINK("https://klasma.github.io/Logging_1783/artfynd/A 34158-2025 artfynd.xlsx", "A 34158-2025")</f>
        <v/>
      </c>
      <c r="X51">
        <f>HYPERLINK("https://klasma.github.io/Logging_1783/kartor/A 34158-2025 karta.png", "A 34158-2025")</f>
        <v/>
      </c>
      <c r="Y51">
        <f>HYPERLINK("https://klasma.github.io/Logging_1783/kartor_geotiff/A 34158-2025 georefererad karta.tif", "A 34158-2025")</f>
        <v/>
      </c>
      <c r="AA51">
        <f>HYPERLINK("https://klasma.github.io/Logging_1783/klagomål/A 34158-2025 FSC-klagomål.docx", "A 34158-2025")</f>
        <v/>
      </c>
      <c r="AB51">
        <f>HYPERLINK("https://klasma.github.io/Logging_1783/klagomålsmail/A 34158-2025 FSC-klagomål mail.docx", "A 34158-2025")</f>
        <v/>
      </c>
      <c r="AC51">
        <f>HYPERLINK("https://klasma.github.io/Logging_1783/tillsyn/A 34158-2025 tillsynsbegäran.docx", "A 34158-2025")</f>
        <v/>
      </c>
      <c r="AD51">
        <f>HYPERLINK("https://klasma.github.io/Logging_1783/tillsynsmail/A 34158-2025 tillsynsbegäran mail.docx", "A 34158-2025")</f>
        <v/>
      </c>
    </row>
    <row r="52" ht="15" customHeight="1">
      <c r="A52" t="inlineStr">
        <is>
          <t>A 38267-2024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46234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4.3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HYPERLINK("https://klasma.github.io/Logging_1783/artfynd/A 38267-2024 artfynd.xlsx", "A 38267-2024")</f>
        <v/>
      </c>
      <c r="X52">
        <f>HYPERLINK("https://klasma.github.io/Logging_1783/kartor/A 38267-2024 karta.png", "A 38267-2024")</f>
        <v/>
      </c>
      <c r="Y52">
        <f>HYPERLINK("https://klasma.github.io/Logging_1783/kartor_geotiff/A 38267-2024 georefererad karta.tif", "A 38267-2024")</f>
        <v/>
      </c>
      <c r="AA52">
        <f>HYPERLINK("https://klasma.github.io/Logging_1783/klagomål/A 38267-2024 FSC-klagomål.docx", "A 38267-2024")</f>
        <v/>
      </c>
      <c r="AB52">
        <f>HYPERLINK("https://klasma.github.io/Logging_1783/klagomålsmail/A 38267-2024 FSC-klagomål mail.docx", "A 38267-2024")</f>
        <v/>
      </c>
      <c r="AC52">
        <f>HYPERLINK("https://klasma.github.io/Logging_1783/tillsyn/A 38267-2024 tillsynsbegäran.docx", "A 38267-2024")</f>
        <v/>
      </c>
      <c r="AD52">
        <f>HYPERLINK("https://klasma.github.io/Logging_1783/tillsynsmail/A 38267-2024 tillsynsbegäran mail.docx", "A 38267-2024")</f>
        <v/>
      </c>
    </row>
    <row r="53" ht="15" customHeight="1">
      <c r="A53" t="inlineStr">
        <is>
          <t>A 56083-2022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46234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19.1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Dropptaggsvamp</t>
        </is>
      </c>
      <c r="W53">
        <f>HYPERLINK("https://klasma.github.io/Logging_1783/artfynd/A 56083-2022 artfynd.xlsx", "A 56083-2022")</f>
        <v/>
      </c>
      <c r="X53">
        <f>HYPERLINK("https://klasma.github.io/Logging_1783/kartor/A 56083-2022 karta.png", "A 56083-2022")</f>
        <v/>
      </c>
      <c r="Y53">
        <f>HYPERLINK("https://klasma.github.io/Logging_1783/kartor_geotiff/A 56083-2022 georefererad karta.tif", "A 56083-2022")</f>
        <v/>
      </c>
      <c r="AA53">
        <f>HYPERLINK("https://klasma.github.io/Logging_1783/klagomål/A 56083-2022 FSC-klagomål.docx", "A 56083-2022")</f>
        <v/>
      </c>
      <c r="AB53">
        <f>HYPERLINK("https://klasma.github.io/Logging_1783/klagomålsmail/A 56083-2022 FSC-klagomål mail.docx", "A 56083-2022")</f>
        <v/>
      </c>
      <c r="AC53">
        <f>HYPERLINK("https://klasma.github.io/Logging_1783/tillsyn/A 56083-2022 tillsynsbegäran.docx", "A 56083-2022")</f>
        <v/>
      </c>
      <c r="AD53">
        <f>HYPERLINK("https://klasma.github.io/Logging_1783/tillsynsmail/A 56083-2022 tillsynsbegäran mail.docx", "A 56083-2022")</f>
        <v/>
      </c>
    </row>
    <row r="54" ht="15" customHeight="1">
      <c r="A54" t="inlineStr">
        <is>
          <t>A 42446-2024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46234</v>
      </c>
      <c r="F54" t="inlineStr">
        <is>
          <t>VÄRMLANDS LÄN</t>
        </is>
      </c>
      <c r="G54" t="inlineStr">
        <is>
          <t>HAGFORS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Strutbräken</t>
        </is>
      </c>
      <c r="W54">
        <f>HYPERLINK("https://klasma.github.io/Logging_1783/artfynd/A 42446-2024 artfynd.xlsx", "A 42446-2024")</f>
        <v/>
      </c>
      <c r="X54">
        <f>HYPERLINK("https://klasma.github.io/Logging_1783/kartor/A 42446-2024 karta.png", "A 42446-2024")</f>
        <v/>
      </c>
      <c r="Y54">
        <f>HYPERLINK("https://klasma.github.io/Logging_1783/kartor_geotiff/A 42446-2024 georefererad karta.tif", "A 42446-2024")</f>
        <v/>
      </c>
      <c r="AA54">
        <f>HYPERLINK("https://klasma.github.io/Logging_1783/klagomål/A 42446-2024 FSC-klagomål.docx", "A 42446-2024")</f>
        <v/>
      </c>
      <c r="AB54">
        <f>HYPERLINK("https://klasma.github.io/Logging_1783/klagomålsmail/A 42446-2024 FSC-klagomål mail.docx", "A 42446-2024")</f>
        <v/>
      </c>
      <c r="AC54">
        <f>HYPERLINK("https://klasma.github.io/Logging_1783/tillsyn/A 42446-2024 tillsynsbegäran.docx", "A 42446-2024")</f>
        <v/>
      </c>
      <c r="AD54">
        <f>HYPERLINK("https://klasma.github.io/Logging_1783/tillsynsmail/A 42446-2024 tillsynsbegäran mail.docx", "A 42446-2024")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46234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HYPERLINK("https://klasma.github.io/Logging_1783/artfynd/A 29432-2026 artfynd.xlsx", "A 29432-2026")</f>
        <v/>
      </c>
      <c r="X55">
        <f>HYPERLINK("https://klasma.github.io/Logging_1783/kartor/A 29432-2026 karta.png", "A 29432-2026")</f>
        <v/>
      </c>
      <c r="Y55">
        <f>HYPERLINK("https://klasma.github.io/Logging_1783/kartor_geotiff/A 29432-2026 georefererad karta.tif", "A 29432-2026")</f>
        <v/>
      </c>
      <c r="AA55">
        <f>HYPERLINK("https://klasma.github.io/Logging_1783/klagomål/A 29432-2026 FSC-klagomål.docx", "A 29432-2026")</f>
        <v/>
      </c>
      <c r="AB55">
        <f>HYPERLINK("https://klasma.github.io/Logging_1783/klagomålsmail/A 29432-2026 FSC-klagomål mail.docx", "A 29432-2026")</f>
        <v/>
      </c>
      <c r="AC55">
        <f>HYPERLINK("https://klasma.github.io/Logging_1783/tillsyn/A 29432-2026 tillsynsbegäran.docx", "A 29432-2026")</f>
        <v/>
      </c>
      <c r="AD55">
        <f>HYPERLINK("https://klasma.github.io/Logging_1783/tillsynsmail/A 29432-2026 tillsynsbegäran mail.docx", "A 29432-2026")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46234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46234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46234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46234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A 31742-2026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46227</v>
      </c>
      <c r="E60" s="1" t="n">
        <v>46234</v>
      </c>
      <c r="F60" t="inlineStr">
        <is>
          <t>VÄRMLANDS LÄN</t>
        </is>
      </c>
      <c r="G60" t="inlineStr">
        <is>
          <t>HAGFORS</t>
        </is>
      </c>
      <c r="I60" t="n">
        <v>4.2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HYPERLINK("https://klasma.github.io/Logging_1783/artfynd/A 31742-2026 artfynd.xlsx", "A 31742-2026")</f>
        <v/>
      </c>
      <c r="X60">
        <f>HYPERLINK("https://klasma.github.io/Logging_1783/kartor/A 31742-2026 karta.png", "A 31742-2026")</f>
        <v/>
      </c>
      <c r="Y60">
        <f>HYPERLINK("https://klasma.github.io/Logging_1783/kartor_geotiff/A 31742-2026 georefererad karta.tif", "A 31742-2026")</f>
        <v/>
      </c>
      <c r="AA60">
        <f>HYPERLINK("https://klasma.github.io/Logging_1783/klagomål/A 31742-2026 FSC-klagomål.docx", "A 31742-2026")</f>
        <v/>
      </c>
      <c r="AB60">
        <f>HYPERLINK("https://klasma.github.io/Logging_1783/klagomålsmail/A 31742-2026 FSC-klagomål mail.docx", "A 31742-2026")</f>
        <v/>
      </c>
      <c r="AC60">
        <f>HYPERLINK("https://klasma.github.io/Logging_1783/tillsyn/A 31742-2026 tillsynsbegäran.docx", "A 31742-2026")</f>
        <v/>
      </c>
      <c r="AD60">
        <f>HYPERLINK("https://klasma.github.io/Logging_1783/tillsynsmail/A 31742-2026 tillsynsbegäran mail.docx", "A 31742-2026")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46234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46234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46234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46234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46234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46234</v>
      </c>
      <c r="F66" t="inlineStr">
        <is>
          <t>VÄRMLANDS LÄN</t>
        </is>
      </c>
      <c r="G66" t="inlineStr">
        <is>
          <t>HAGFORS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46234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46234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46234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46234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46234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46234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46234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46234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46234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46234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46234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46234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46234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46234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46234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46234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46234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46234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46234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46234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46234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46234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46234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46234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46234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46234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46234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46234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46234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46234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46234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46234</v>
      </c>
      <c r="F98" t="inlineStr">
        <is>
          <t>VÄRMLANDS LÄN</t>
        </is>
      </c>
      <c r="G98" t="inlineStr">
        <is>
          <t>HAGFORS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46234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46234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46234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46234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46234</v>
      </c>
      <c r="F103" t="inlineStr">
        <is>
          <t>VÄRMLANDS LÄN</t>
        </is>
      </c>
      <c r="G103" t="inlineStr">
        <is>
          <t>HAGFORS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46234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46234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46234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46234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46234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46234</v>
      </c>
      <c r="F109" t="inlineStr">
        <is>
          <t>VÄRMLANDS LÄN</t>
        </is>
      </c>
      <c r="G109" t="inlineStr">
        <is>
          <t>HAGFORS</t>
        </is>
      </c>
      <c r="H109" t="inlineStr">
        <is>
          <t>Kommuner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46234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46234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44594</v>
      </c>
      <c r="E112" s="1" t="n">
        <v>46234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46234</v>
      </c>
      <c r="F113" t="inlineStr">
        <is>
          <t>VÄRMLANDS LÄN</t>
        </is>
      </c>
      <c r="G113" t="inlineStr">
        <is>
          <t>HAGFORS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46234</v>
      </c>
      <c r="F114" t="inlineStr">
        <is>
          <t>VÄRMLANDS LÄN</t>
        </is>
      </c>
      <c r="G114" t="inlineStr">
        <is>
          <t>HAGFORS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65565-2021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46234</v>
      </c>
      <c r="F115" t="inlineStr">
        <is>
          <t>VÄRMLANDS LÄN</t>
        </is>
      </c>
      <c r="G115" t="inlineStr">
        <is>
          <t>HAGFORS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17402-2022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44678</v>
      </c>
      <c r="E116" s="1" t="n">
        <v>46234</v>
      </c>
      <c r="F116" t="inlineStr">
        <is>
          <t>VÄRMLANDS LÄN</t>
        </is>
      </c>
      <c r="G116" t="inlineStr">
        <is>
          <t>HAGFORS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46234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46234</v>
      </c>
      <c r="F118" t="inlineStr">
        <is>
          <t>VÄRMLANDS LÄN</t>
        </is>
      </c>
      <c r="G118" t="inlineStr">
        <is>
          <t>HAGFORS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46234</v>
      </c>
      <c r="F119" t="inlineStr">
        <is>
          <t>VÄRMLANDS LÄN</t>
        </is>
      </c>
      <c r="G119" t="inlineStr">
        <is>
          <t>HAGFORS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46234</v>
      </c>
      <c r="F120" t="inlineStr">
        <is>
          <t>VÄRMLANDS LÄN</t>
        </is>
      </c>
      <c r="G120" t="inlineStr">
        <is>
          <t>HAGFORS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46234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61232-2024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45645</v>
      </c>
      <c r="E122" s="1" t="n">
        <v>46234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46234</v>
      </c>
      <c r="F123" t="inlineStr">
        <is>
          <t>VÄRMLANDS LÄN</t>
        </is>
      </c>
      <c r="G123" t="inlineStr">
        <is>
          <t>HAGFORS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46234</v>
      </c>
      <c r="F124" t="inlineStr">
        <is>
          <t>VÄRMLANDS LÄN</t>
        </is>
      </c>
      <c r="G124" t="inlineStr">
        <is>
          <t>HAGFORS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46234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17305-2023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45035</v>
      </c>
      <c r="E126" s="1" t="n">
        <v>46234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45489</v>
      </c>
      <c r="E127" s="1" t="n">
        <v>46234</v>
      </c>
      <c r="F127" t="inlineStr">
        <is>
          <t>VÄRMLANDS LÄN</t>
        </is>
      </c>
      <c r="G127" t="inlineStr">
        <is>
          <t>HAGFORS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44770</v>
      </c>
      <c r="E128" s="1" t="n">
        <v>46234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46234</v>
      </c>
      <c r="F129" t="inlineStr">
        <is>
          <t>VÄRMLANDS LÄN</t>
        </is>
      </c>
      <c r="G129" t="inlineStr">
        <is>
          <t>HAGFORS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44839</v>
      </c>
      <c r="E130" s="1" t="n">
        <v>46234</v>
      </c>
      <c r="F130" t="inlineStr">
        <is>
          <t>VÄRMLANDS LÄN</t>
        </is>
      </c>
      <c r="G130" t="inlineStr">
        <is>
          <t>HAGFORS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45678</v>
      </c>
      <c r="E131" s="1" t="n">
        <v>46234</v>
      </c>
      <c r="F131" t="inlineStr">
        <is>
          <t>VÄRMLANDS LÄN</t>
        </is>
      </c>
      <c r="G131" t="inlineStr">
        <is>
          <t>HAGFORS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46234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45777</v>
      </c>
      <c r="E133" s="1" t="n">
        <v>46234</v>
      </c>
      <c r="F133" t="inlineStr">
        <is>
          <t>VÄRMLANDS LÄN</t>
        </is>
      </c>
      <c r="G133" t="inlineStr">
        <is>
          <t>HAGFORS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36360-2023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45152</v>
      </c>
      <c r="E134" s="1" t="n">
        <v>46234</v>
      </c>
      <c r="F134" t="inlineStr">
        <is>
          <t>VÄRMLANDS LÄN</t>
        </is>
      </c>
      <c r="G134" t="inlineStr">
        <is>
          <t>HAGFORS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46234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46234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46234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45933</v>
      </c>
      <c r="E138" s="1" t="n">
        <v>46234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46234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21723-2025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45783</v>
      </c>
      <c r="E140" s="1" t="n">
        <v>46234</v>
      </c>
      <c r="F140" t="inlineStr">
        <is>
          <t>VÄRMLANDS LÄN</t>
        </is>
      </c>
      <c r="G140" t="inlineStr">
        <is>
          <t>HAGFORS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45783</v>
      </c>
      <c r="E141" s="1" t="n">
        <v>46234</v>
      </c>
      <c r="F141" t="inlineStr">
        <is>
          <t>VÄRMLANDS LÄN</t>
        </is>
      </c>
      <c r="G141" t="inlineStr">
        <is>
          <t>HAGFORS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46234</v>
      </c>
      <c r="F142" t="inlineStr">
        <is>
          <t>VÄRMLANDS LÄN</t>
        </is>
      </c>
      <c r="G142" t="inlineStr">
        <is>
          <t>HAGFORS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46234</v>
      </c>
      <c r="F143" t="inlineStr">
        <is>
          <t>VÄRMLANDS LÄN</t>
        </is>
      </c>
      <c r="G143" t="inlineStr">
        <is>
          <t>HAGFORS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46234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44683</v>
      </c>
      <c r="E145" s="1" t="n">
        <v>46234</v>
      </c>
      <c r="F145" t="inlineStr">
        <is>
          <t>VÄRMLANDS LÄN</t>
        </is>
      </c>
      <c r="G145" t="inlineStr">
        <is>
          <t>HAGFORS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46234</v>
      </c>
      <c r="F146" t="inlineStr">
        <is>
          <t>VÄRMLANDS LÄN</t>
        </is>
      </c>
      <c r="G146" t="inlineStr">
        <is>
          <t>HAGFORS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44869</v>
      </c>
      <c r="E147" s="1" t="n">
        <v>46234</v>
      </c>
      <c r="F147" t="inlineStr">
        <is>
          <t>VÄRMLANDS LÄN</t>
        </is>
      </c>
      <c r="G147" t="inlineStr">
        <is>
          <t>HAGFORS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46234</v>
      </c>
      <c r="F148" t="inlineStr">
        <is>
          <t>VÄRMLANDS LÄN</t>
        </is>
      </c>
      <c r="G148" t="inlineStr">
        <is>
          <t>HAGFORS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45785</v>
      </c>
      <c r="E149" s="1" t="n">
        <v>46234</v>
      </c>
      <c r="F149" t="inlineStr">
        <is>
          <t>VÄRMLANDS LÄN</t>
        </is>
      </c>
      <c r="G149" t="inlineStr">
        <is>
          <t>HAGFORS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45169</v>
      </c>
      <c r="E150" s="1" t="n">
        <v>46234</v>
      </c>
      <c r="F150" t="inlineStr">
        <is>
          <t>VÄRMLANDS LÄN</t>
        </is>
      </c>
      <c r="G150" t="inlineStr">
        <is>
          <t>HAGFORS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46234</v>
      </c>
      <c r="F151" t="inlineStr">
        <is>
          <t>VÄRMLANDS LÄN</t>
        </is>
      </c>
      <c r="G151" t="inlineStr">
        <is>
          <t>HAGFORS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46234</v>
      </c>
      <c r="F152" t="inlineStr">
        <is>
          <t>VÄRMLANDS LÄN</t>
        </is>
      </c>
      <c r="G152" t="inlineStr">
        <is>
          <t>HAGFORS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45941</v>
      </c>
      <c r="E153" s="1" t="n">
        <v>46234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46234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46234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22461-2025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45786</v>
      </c>
      <c r="E156" s="1" t="n">
        <v>46234</v>
      </c>
      <c r="F156" t="inlineStr">
        <is>
          <t>VÄRMLANDS LÄN</t>
        </is>
      </c>
      <c r="G156" t="inlineStr">
        <is>
          <t>HAGFORS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46234</v>
      </c>
      <c r="F157" t="inlineStr">
        <is>
          <t>VÄRMLANDS LÄN</t>
        </is>
      </c>
      <c r="G157" t="inlineStr">
        <is>
          <t>HAGFORS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45356</v>
      </c>
      <c r="E158" s="1" t="n">
        <v>46234</v>
      </c>
      <c r="F158" t="inlineStr">
        <is>
          <t>VÄRMLANDS LÄN</t>
        </is>
      </c>
      <c r="G158" t="inlineStr">
        <is>
          <t>HAGFORS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45608</v>
      </c>
      <c r="E159" s="1" t="n">
        <v>46234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46234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44125-2021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44434</v>
      </c>
      <c r="E161" s="1" t="n">
        <v>46234</v>
      </c>
      <c r="F161" t="inlineStr">
        <is>
          <t>VÄRMLANDS LÄN</t>
        </is>
      </c>
      <c r="G161" t="inlineStr">
        <is>
          <t>HAGFORS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46234</v>
      </c>
      <c r="F162" t="inlineStr">
        <is>
          <t>VÄRMLANDS LÄN</t>
        </is>
      </c>
      <c r="G162" t="inlineStr">
        <is>
          <t>HAGFORS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45069</v>
      </c>
      <c r="E163" s="1" t="n">
        <v>46234</v>
      </c>
      <c r="F163" t="inlineStr">
        <is>
          <t>VÄRMLANDS LÄN</t>
        </is>
      </c>
      <c r="G163" t="inlineStr">
        <is>
          <t>HAGFORS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45791</v>
      </c>
      <c r="E164" s="1" t="n">
        <v>46234</v>
      </c>
      <c r="F164" t="inlineStr">
        <is>
          <t>VÄRMLANDS LÄN</t>
        </is>
      </c>
      <c r="G164" t="inlineStr">
        <is>
          <t>HAGFORS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46234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45545</v>
      </c>
      <c r="E166" s="1" t="n">
        <v>46234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55137-2024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45621</v>
      </c>
      <c r="E167" s="1" t="n">
        <v>46234</v>
      </c>
      <c r="F167" t="inlineStr">
        <is>
          <t>VÄRMLANDS LÄN</t>
        </is>
      </c>
      <c r="G167" t="inlineStr">
        <is>
          <t>HAGFORS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46234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45218-2021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44439</v>
      </c>
      <c r="E169" s="1" t="n">
        <v>46234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49.5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45790</v>
      </c>
      <c r="E170" s="1" t="n">
        <v>46234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45739</v>
      </c>
      <c r="E171" s="1" t="n">
        <v>46234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45623</v>
      </c>
      <c r="E172" s="1" t="n">
        <v>46234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46234</v>
      </c>
      <c r="F173" t="inlineStr">
        <is>
          <t>VÄRMLANDS LÄN</t>
        </is>
      </c>
      <c r="G173" t="inlineStr">
        <is>
          <t>HAGFORS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23556-2025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45792</v>
      </c>
      <c r="E174" s="1" t="n">
        <v>46234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45037</v>
      </c>
      <c r="E175" s="1" t="n">
        <v>46234</v>
      </c>
      <c r="F175" t="inlineStr">
        <is>
          <t>VÄRMLANDS LÄN</t>
        </is>
      </c>
      <c r="G175" t="inlineStr">
        <is>
          <t>HAGFORS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46234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45792</v>
      </c>
      <c r="E177" s="1" t="n">
        <v>46234</v>
      </c>
      <c r="F177" t="inlineStr">
        <is>
          <t>VÄRMLANDS LÄN</t>
        </is>
      </c>
      <c r="G177" t="inlineStr">
        <is>
          <t>HAGFORS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45793</v>
      </c>
      <c r="E178" s="1" t="n">
        <v>46234</v>
      </c>
      <c r="F178" t="inlineStr">
        <is>
          <t>VÄRMLANDS LÄN</t>
        </is>
      </c>
      <c r="G178" t="inlineStr">
        <is>
          <t>HAGFORS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46234</v>
      </c>
      <c r="F179" t="inlineStr">
        <is>
          <t>VÄRMLANDS LÄN</t>
        </is>
      </c>
      <c r="G179" t="inlineStr">
        <is>
          <t>HAGFORS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46234</v>
      </c>
      <c r="F180" t="inlineStr">
        <is>
          <t>VÄRMLANDS LÄN</t>
        </is>
      </c>
      <c r="G180" t="inlineStr">
        <is>
          <t>HAGFORS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44953</v>
      </c>
      <c r="E181" s="1" t="n">
        <v>46234</v>
      </c>
      <c r="F181" t="inlineStr">
        <is>
          <t>VÄRMLANDS LÄN</t>
        </is>
      </c>
      <c r="G181" t="inlineStr">
        <is>
          <t>HAGFORS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46234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46234</v>
      </c>
      <c r="F183" t="inlineStr">
        <is>
          <t>VÄRMLANDS LÄN</t>
        </is>
      </c>
      <c r="G183" t="inlineStr">
        <is>
          <t>HAGFORS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46234</v>
      </c>
      <c r="F184" t="inlineStr">
        <is>
          <t>VÄRMLANDS LÄN</t>
        </is>
      </c>
      <c r="G184" t="inlineStr">
        <is>
          <t>HAGFORS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46234</v>
      </c>
      <c r="F185" t="inlineStr">
        <is>
          <t>VÄRMLANDS LÄN</t>
        </is>
      </c>
      <c r="G185" t="inlineStr">
        <is>
          <t>HAGFORS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46234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46234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46234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41739-2025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45902</v>
      </c>
      <c r="E189" s="1" t="n">
        <v>46234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46234</v>
      </c>
      <c r="F190" t="inlineStr">
        <is>
          <t>VÄRMLANDS LÄN</t>
        </is>
      </c>
      <c r="G190" t="inlineStr">
        <is>
          <t>HAGFORS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46234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46234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45414</v>
      </c>
      <c r="E193" s="1" t="n">
        <v>46234</v>
      </c>
      <c r="F193" t="inlineStr">
        <is>
          <t>VÄRMLANDS LÄN</t>
        </is>
      </c>
      <c r="G193" t="inlineStr">
        <is>
          <t>HAGFORS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45946</v>
      </c>
      <c r="E194" s="1" t="n">
        <v>46234</v>
      </c>
      <c r="F194" t="inlineStr">
        <is>
          <t>VÄRMLANDS LÄN</t>
        </is>
      </c>
      <c r="G194" t="inlineStr">
        <is>
          <t>HAGFORS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46234</v>
      </c>
      <c r="F195" t="inlineStr">
        <is>
          <t>VÄRMLANDS LÄN</t>
        </is>
      </c>
      <c r="G195" t="inlineStr">
        <is>
          <t>HAGFORS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58210-2022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44901</v>
      </c>
      <c r="E196" s="1" t="n">
        <v>46234</v>
      </c>
      <c r="F196" t="inlineStr">
        <is>
          <t>VÄRMLANDS LÄN</t>
        </is>
      </c>
      <c r="G196" t="inlineStr">
        <is>
          <t>HAGFORS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46234</v>
      </c>
      <c r="F197" t="inlineStr">
        <is>
          <t>VÄRMLANDS LÄN</t>
        </is>
      </c>
      <c r="G197" t="inlineStr">
        <is>
          <t>HAGFORS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46234</v>
      </c>
      <c r="F198" t="inlineStr">
        <is>
          <t>VÄRMLANDS LÄN</t>
        </is>
      </c>
      <c r="G198" t="inlineStr">
        <is>
          <t>HAGFORS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45905</v>
      </c>
      <c r="E199" s="1" t="n">
        <v>46234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46234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46234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46234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18014-2024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45419</v>
      </c>
      <c r="E203" s="1" t="n">
        <v>46234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15643-2024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45404</v>
      </c>
      <c r="E204" s="1" t="n">
        <v>46234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24434-2025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45797</v>
      </c>
      <c r="E205" s="1" t="n">
        <v>46234</v>
      </c>
      <c r="F205" t="inlineStr">
        <is>
          <t>VÄRMLANDS LÄN</t>
        </is>
      </c>
      <c r="G205" t="inlineStr">
        <is>
          <t>HAGFORS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46234</v>
      </c>
      <c r="F206" t="inlineStr">
        <is>
          <t>VÄRMLANDS LÄN</t>
        </is>
      </c>
      <c r="G206" t="inlineStr">
        <is>
          <t>HAGFORS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24435-2025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45797</v>
      </c>
      <c r="E207" s="1" t="n">
        <v>46234</v>
      </c>
      <c r="F207" t="inlineStr">
        <is>
          <t>VÄRMLANDS LÄN</t>
        </is>
      </c>
      <c r="G207" t="inlineStr">
        <is>
          <t>HAGFORS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24438-2025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45797</v>
      </c>
      <c r="E208" s="1" t="n">
        <v>46234</v>
      </c>
      <c r="F208" t="inlineStr">
        <is>
          <t>VÄRMLANDS LÄN</t>
        </is>
      </c>
      <c r="G208" t="inlineStr">
        <is>
          <t>HAGFORS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46234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45736</v>
      </c>
      <c r="E210" s="1" t="n">
        <v>46234</v>
      </c>
      <c r="F210" t="inlineStr">
        <is>
          <t>VÄRMLANDS LÄN</t>
        </is>
      </c>
      <c r="G210" t="inlineStr">
        <is>
          <t>HAGFORS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45949</v>
      </c>
      <c r="E211" s="1" t="n">
        <v>46234</v>
      </c>
      <c r="F211" t="inlineStr">
        <is>
          <t>VÄRMLANDS LÄN</t>
        </is>
      </c>
      <c r="G211" t="inlineStr">
        <is>
          <t>HAGFORS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46234</v>
      </c>
      <c r="F212" t="inlineStr">
        <is>
          <t>VÄRMLANDS LÄN</t>
        </is>
      </c>
      <c r="G212" t="inlineStr">
        <is>
          <t>HAGFORS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46234</v>
      </c>
      <c r="F213" t="inlineStr">
        <is>
          <t>VÄRMLANDS LÄN</t>
        </is>
      </c>
      <c r="G213" t="inlineStr">
        <is>
          <t>HAGFORS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45799</v>
      </c>
      <c r="E214" s="1" t="n">
        <v>46234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45790</v>
      </c>
      <c r="E215" s="1" t="n">
        <v>46234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6910-2024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46234</v>
      </c>
      <c r="F216" t="inlineStr">
        <is>
          <t>VÄRMLANDS LÄN</t>
        </is>
      </c>
      <c r="G216" t="inlineStr">
        <is>
          <t>HAGFORS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46234</v>
      </c>
      <c r="F217" t="inlineStr">
        <is>
          <t>VÄRMLANDS LÄN</t>
        </is>
      </c>
      <c r="G217" t="inlineStr">
        <is>
          <t>HAGFORS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46234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46234</v>
      </c>
      <c r="F219" t="inlineStr">
        <is>
          <t>VÄRMLANDS LÄN</t>
        </is>
      </c>
      <c r="G219" t="inlineStr">
        <is>
          <t>HAGFORS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60221-2023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45258</v>
      </c>
      <c r="E220" s="1" t="n">
        <v>46234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46234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45918</v>
      </c>
      <c r="E222" s="1" t="n">
        <v>46234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45653</v>
      </c>
      <c r="E223" s="1" t="n">
        <v>46234</v>
      </c>
      <c r="F223" t="inlineStr">
        <is>
          <t>VÄRMLANDS LÄN</t>
        </is>
      </c>
      <c r="G223" t="inlineStr">
        <is>
          <t>HAGFORS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46234</v>
      </c>
      <c r="F224" t="inlineStr">
        <is>
          <t>VÄRMLANDS LÄN</t>
        </is>
      </c>
      <c r="G224" t="inlineStr">
        <is>
          <t>HAGFORS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45147</v>
      </c>
      <c r="E225" s="1" t="n">
        <v>46234</v>
      </c>
      <c r="F225" t="inlineStr">
        <is>
          <t>VÄRMLANDS LÄN</t>
        </is>
      </c>
      <c r="G225" t="inlineStr">
        <is>
          <t>HAGFORS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46234</v>
      </c>
      <c r="F226" t="inlineStr">
        <is>
          <t>VÄRMLANDS LÄN</t>
        </is>
      </c>
      <c r="G226" t="inlineStr">
        <is>
          <t>HAGFORS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45355-2025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46234</v>
      </c>
      <c r="F227" t="inlineStr">
        <is>
          <t>VÄRMLANDS LÄN</t>
        </is>
      </c>
      <c r="G227" t="inlineStr">
        <is>
          <t>HAGFORS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26463-2025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45807</v>
      </c>
      <c r="E228" s="1" t="n">
        <v>46234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45754</v>
      </c>
      <c r="E229" s="1" t="n">
        <v>46234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46234</v>
      </c>
      <c r="F230" t="inlineStr">
        <is>
          <t>VÄRMLANDS LÄN</t>
        </is>
      </c>
      <c r="G230" t="inlineStr">
        <is>
          <t>HAGFORS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46234</v>
      </c>
      <c r="F231" t="inlineStr">
        <is>
          <t>VÄRMLANDS LÄN</t>
        </is>
      </c>
      <c r="G231" t="inlineStr">
        <is>
          <t>HAGFORS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45608</v>
      </c>
      <c r="E232" s="1" t="n">
        <v>46234</v>
      </c>
      <c r="F232" t="inlineStr">
        <is>
          <t>VÄRMLANDS LÄN</t>
        </is>
      </c>
      <c r="G232" t="inlineStr">
        <is>
          <t>HAGFORS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44834</v>
      </c>
      <c r="E233" s="1" t="n">
        <v>46234</v>
      </c>
      <c r="F233" t="inlineStr">
        <is>
          <t>VÄRMLANDS LÄN</t>
        </is>
      </c>
      <c r="G233" t="inlineStr">
        <is>
          <t>HAGFORS</t>
        </is>
      </c>
      <c r="H233" t="inlineStr">
        <is>
          <t>Kyrkan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46234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46234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45051</v>
      </c>
      <c r="E236" s="1" t="n">
        <v>46234</v>
      </c>
      <c r="F236" t="inlineStr">
        <is>
          <t>VÄRMLANDS LÄN</t>
        </is>
      </c>
      <c r="G236" t="inlineStr">
        <is>
          <t>HAGFORS</t>
        </is>
      </c>
      <c r="H236" t="inlineStr">
        <is>
          <t>Kommuner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26617-2025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45810</v>
      </c>
      <c r="E237" s="1" t="n">
        <v>46234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46234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46234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45811</v>
      </c>
      <c r="E240" s="1" t="n">
        <v>46234</v>
      </c>
      <c r="F240" t="inlineStr">
        <is>
          <t>VÄRMLANDS LÄN</t>
        </is>
      </c>
      <c r="G240" t="inlineStr">
        <is>
          <t>HAGFORS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46234</v>
      </c>
      <c r="F241" t="inlineStr">
        <is>
          <t>VÄRMLANDS LÄN</t>
        </is>
      </c>
      <c r="G241" t="inlineStr">
        <is>
          <t>HAGFORS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45928</v>
      </c>
      <c r="E242" s="1" t="n">
        <v>46234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45435</v>
      </c>
      <c r="E243" s="1" t="n">
        <v>46234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46234</v>
      </c>
      <c r="F244" t="inlineStr">
        <is>
          <t>VÄRMLANDS LÄN</t>
        </is>
      </c>
      <c r="G244" t="inlineStr">
        <is>
          <t>HAGFORS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46234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45644</v>
      </c>
      <c r="E246" s="1" t="n">
        <v>46234</v>
      </c>
      <c r="F246" t="inlineStr">
        <is>
          <t>VÄRMLANDS LÄN</t>
        </is>
      </c>
      <c r="G246" t="inlineStr">
        <is>
          <t>HAGFORS</t>
        </is>
      </c>
      <c r="H246" t="inlineStr">
        <is>
          <t>Kyrkan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27229-2025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46234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46234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45927</v>
      </c>
      <c r="E249" s="1" t="n">
        <v>46234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27119-2025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46234</v>
      </c>
      <c r="F250" t="inlineStr">
        <is>
          <t>VÄRMLANDS LÄN</t>
        </is>
      </c>
      <c r="G250" t="inlineStr">
        <is>
          <t>HAGFORS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27181-2025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45812</v>
      </c>
      <c r="E251" s="1" t="n">
        <v>46234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27195-2025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46234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45927</v>
      </c>
      <c r="E253" s="1" t="n">
        <v>46234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45659</v>
      </c>
      <c r="E254" s="1" t="n">
        <v>46234</v>
      </c>
      <c r="F254" t="inlineStr">
        <is>
          <t>VÄRMLANDS LÄN</t>
        </is>
      </c>
      <c r="G254" t="inlineStr">
        <is>
          <t>HAGFORS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44649</v>
      </c>
      <c r="E255" s="1" t="n">
        <v>46234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70712-2021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44537</v>
      </c>
      <c r="E256" s="1" t="n">
        <v>46234</v>
      </c>
      <c r="F256" t="inlineStr">
        <is>
          <t>VÄRMLANDS LÄN</t>
        </is>
      </c>
      <c r="G256" t="inlineStr">
        <is>
          <t>HAGFORS</t>
        </is>
      </c>
      <c r="H256" t="inlineStr">
        <is>
          <t>Kommuner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46234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22.1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45211</v>
      </c>
      <c r="E258" s="1" t="n">
        <v>46234</v>
      </c>
      <c r="F258" t="inlineStr">
        <is>
          <t>VÄRMLANDS LÄN</t>
        </is>
      </c>
      <c r="G258" t="inlineStr">
        <is>
          <t>HAGFORS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58799-2022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44903</v>
      </c>
      <c r="E259" s="1" t="n">
        <v>46234</v>
      </c>
      <c r="F259" t="inlineStr">
        <is>
          <t>VÄRMLANDS LÄN</t>
        </is>
      </c>
      <c r="G259" t="inlineStr">
        <is>
          <t>HAGFORS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45250</v>
      </c>
      <c r="E260" s="1" t="n">
        <v>46234</v>
      </c>
      <c r="F260" t="inlineStr">
        <is>
          <t>VÄRMLANDS LÄN</t>
        </is>
      </c>
      <c r="G260" t="inlineStr">
        <is>
          <t>HAGFORS</t>
        </is>
      </c>
      <c r="H260" t="inlineStr">
        <is>
          <t>Kommuner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45819</v>
      </c>
      <c r="E261" s="1" t="n">
        <v>46234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45818</v>
      </c>
      <c r="E262" s="1" t="n">
        <v>46234</v>
      </c>
      <c r="F262" t="inlineStr">
        <is>
          <t>VÄRMLANDS LÄN</t>
        </is>
      </c>
      <c r="G262" t="inlineStr">
        <is>
          <t>HAGFORS</t>
        </is>
      </c>
      <c r="H262" t="inlineStr">
        <is>
          <t>Kyrkan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46234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45821</v>
      </c>
      <c r="E264" s="1" t="n">
        <v>46234</v>
      </c>
      <c r="F264" t="inlineStr">
        <is>
          <t>VÄRMLANDS LÄN</t>
        </is>
      </c>
      <c r="G264" t="inlineStr">
        <is>
          <t>HAGFORS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31166-2022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44770</v>
      </c>
      <c r="E265" s="1" t="n">
        <v>46234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52479-2025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45954</v>
      </c>
      <c r="E266" s="1" t="n">
        <v>46234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45954</v>
      </c>
      <c r="E267" s="1" t="n">
        <v>46234</v>
      </c>
      <c r="F267" t="inlineStr">
        <is>
          <t>VÄRMLANDS LÄN</t>
        </is>
      </c>
      <c r="G267" t="inlineStr">
        <is>
          <t>HAGFORS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52450-2025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46234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46234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46234</v>
      </c>
      <c r="F270" t="inlineStr">
        <is>
          <t>VÄRMLANDS LÄN</t>
        </is>
      </c>
      <c r="G270" t="inlineStr">
        <is>
          <t>HAGFORS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46234</v>
      </c>
      <c r="F271" t="inlineStr">
        <is>
          <t>VÄRMLANDS LÄN</t>
        </is>
      </c>
      <c r="G271" t="inlineStr">
        <is>
          <t>HAGFORS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29949-2025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46234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46234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46234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46234</v>
      </c>
      <c r="F275" t="inlineStr">
        <is>
          <t>VÄRMLANDS LÄN</t>
        </is>
      </c>
      <c r="G275" t="inlineStr">
        <is>
          <t>HAGFORS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45055</v>
      </c>
      <c r="E276" s="1" t="n">
        <v>46234</v>
      </c>
      <c r="F276" t="inlineStr">
        <is>
          <t>VÄRMLANDS LÄN</t>
        </is>
      </c>
      <c r="G276" t="inlineStr">
        <is>
          <t>HAGFORS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54001-2025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45961</v>
      </c>
      <c r="E277" s="1" t="n">
        <v>46234</v>
      </c>
      <c r="F277" t="inlineStr">
        <is>
          <t>VÄRMLANDS LÄN</t>
        </is>
      </c>
      <c r="G277" t="inlineStr">
        <is>
          <t>HAGFORS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45960</v>
      </c>
      <c r="E278" s="1" t="n">
        <v>46234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45960</v>
      </c>
      <c r="E279" s="1" t="n">
        <v>46234</v>
      </c>
      <c r="F279" t="inlineStr">
        <is>
          <t>VÄRMLANDS LÄN</t>
        </is>
      </c>
      <c r="G279" t="inlineStr">
        <is>
          <t>HAGFORS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61140-2023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45261</v>
      </c>
      <c r="E280" s="1" t="n">
        <v>46234</v>
      </c>
      <c r="F280" t="inlineStr">
        <is>
          <t>VÄRMLANDS LÄN</t>
        </is>
      </c>
      <c r="G280" t="inlineStr">
        <is>
          <t>HAGFORS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45835</v>
      </c>
      <c r="E281" s="1" t="n">
        <v>46234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32174-2025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46234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45196</v>
      </c>
      <c r="E283" s="1" t="n">
        <v>46234</v>
      </c>
      <c r="F283" t="inlineStr">
        <is>
          <t>VÄRMLANDS LÄN</t>
        </is>
      </c>
      <c r="G283" t="inlineStr">
        <is>
          <t>HAGFORS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45461</v>
      </c>
      <c r="E284" s="1" t="n">
        <v>46234</v>
      </c>
      <c r="F284" t="inlineStr">
        <is>
          <t>VÄRMLANDS LÄN</t>
        </is>
      </c>
      <c r="G284" t="inlineStr">
        <is>
          <t>HAGFORS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13094-2024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45385</v>
      </c>
      <c r="E285" s="1" t="n">
        <v>46234</v>
      </c>
      <c r="F285" t="inlineStr">
        <is>
          <t>VÄRMLANDS LÄN</t>
        </is>
      </c>
      <c r="G285" t="inlineStr">
        <is>
          <t>HAGFORS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45547</v>
      </c>
      <c r="E286" s="1" t="n">
        <v>46234</v>
      </c>
      <c r="F286" t="inlineStr">
        <is>
          <t>VÄRMLANDS LÄN</t>
        </is>
      </c>
      <c r="G286" t="inlineStr">
        <is>
          <t>HAGFORS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45960</v>
      </c>
      <c r="E287" s="1" t="n">
        <v>46234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62497-2022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44924</v>
      </c>
      <c r="E288" s="1" t="n">
        <v>46234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46234</v>
      </c>
      <c r="F289" t="inlineStr">
        <is>
          <t>VÄRMLANDS LÄN</t>
        </is>
      </c>
      <c r="G289" t="inlineStr">
        <is>
          <t>HAGFORS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46234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45475</v>
      </c>
      <c r="E291" s="1" t="n">
        <v>46234</v>
      </c>
      <c r="F291" t="inlineStr">
        <is>
          <t>VÄRMLANDS LÄN</t>
        </is>
      </c>
      <c r="G291" t="inlineStr">
        <is>
          <t>HAGFORS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46234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33440-2025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45841</v>
      </c>
      <c r="E293" s="1" t="n">
        <v>46234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46234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34107-2025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45845</v>
      </c>
      <c r="E295" s="1" t="n">
        <v>46234</v>
      </c>
      <c r="F295" t="inlineStr">
        <is>
          <t>VÄRMLANDS LÄN</t>
        </is>
      </c>
      <c r="G295" t="inlineStr">
        <is>
          <t>HAGFORS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45845</v>
      </c>
      <c r="E296" s="1" t="n">
        <v>46234</v>
      </c>
      <c r="F296" t="inlineStr">
        <is>
          <t>VÄRMLANDS LÄN</t>
        </is>
      </c>
      <c r="G296" t="inlineStr">
        <is>
          <t>HAGFORS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45845</v>
      </c>
      <c r="E297" s="1" t="n">
        <v>46234</v>
      </c>
      <c r="F297" t="inlineStr">
        <is>
          <t>VÄRMLANDS LÄN</t>
        </is>
      </c>
      <c r="G297" t="inlineStr">
        <is>
          <t>HAGFORS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45770</v>
      </c>
      <c r="E298" s="1" t="n">
        <v>46234</v>
      </c>
      <c r="F298" t="inlineStr">
        <is>
          <t>VÄRMLANDS LÄN</t>
        </is>
      </c>
      <c r="G298" t="inlineStr">
        <is>
          <t>HAGFORS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45562</v>
      </c>
      <c r="E299" s="1" t="n">
        <v>46234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42173-2024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45562</v>
      </c>
      <c r="E300" s="1" t="n">
        <v>46234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46234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42801-2024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45565</v>
      </c>
      <c r="E302" s="1" t="n">
        <v>46234</v>
      </c>
      <c r="F302" t="inlineStr">
        <is>
          <t>VÄRMLANDS LÄN</t>
        </is>
      </c>
      <c r="G302" t="inlineStr">
        <is>
          <t>HAGFORS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44566</v>
      </c>
      <c r="E303" s="1" t="n">
        <v>46234</v>
      </c>
      <c r="F303" t="inlineStr">
        <is>
          <t>VÄRMLANDS LÄN</t>
        </is>
      </c>
      <c r="G303" t="inlineStr">
        <is>
          <t>HAGFORS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21954-2025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45784</v>
      </c>
      <c r="E304" s="1" t="n">
        <v>46234</v>
      </c>
      <c r="F304" t="inlineStr">
        <is>
          <t>VÄRMLANDS LÄN</t>
        </is>
      </c>
      <c r="G304" t="inlineStr">
        <is>
          <t>HAGFORS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54645-2025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45966</v>
      </c>
      <c r="E305" s="1" t="n">
        <v>46234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46234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45967</v>
      </c>
      <c r="E307" s="1" t="n">
        <v>46234</v>
      </c>
      <c r="F307" t="inlineStr">
        <is>
          <t>VÄRMLANDS LÄN</t>
        </is>
      </c>
      <c r="G307" t="inlineStr">
        <is>
          <t>HAGFORS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57379-2022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44896</v>
      </c>
      <c r="E308" s="1" t="n">
        <v>46234</v>
      </c>
      <c r="F308" t="inlineStr">
        <is>
          <t>VÄRMLANDS LÄN</t>
        </is>
      </c>
      <c r="G308" t="inlineStr">
        <is>
          <t>HAGFORS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45853</v>
      </c>
      <c r="E309" s="1" t="n">
        <v>46234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46234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45854</v>
      </c>
      <c r="E311" s="1" t="n">
        <v>46234</v>
      </c>
      <c r="F311" t="inlineStr">
        <is>
          <t>VÄRMLANDS LÄN</t>
        </is>
      </c>
      <c r="G311" t="inlineStr">
        <is>
          <t>HAGFORS</t>
        </is>
      </c>
      <c r="H311" t="inlineStr">
        <is>
          <t>Kyrkan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45854</v>
      </c>
      <c r="E312" s="1" t="n">
        <v>46234</v>
      </c>
      <c r="F312" t="inlineStr">
        <is>
          <t>VÄRMLANDS LÄN</t>
        </is>
      </c>
      <c r="G312" t="inlineStr">
        <is>
          <t>HAGFORS</t>
        </is>
      </c>
      <c r="H312" t="inlineStr">
        <is>
          <t>Kyrkan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45793</v>
      </c>
      <c r="E313" s="1" t="n">
        <v>46234</v>
      </c>
      <c r="F313" t="inlineStr">
        <is>
          <t>VÄRMLANDS LÄN</t>
        </is>
      </c>
      <c r="G313" t="inlineStr">
        <is>
          <t>HAGFORS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46234</v>
      </c>
      <c r="F314" t="inlineStr">
        <is>
          <t>VÄRMLANDS LÄN</t>
        </is>
      </c>
      <c r="G314" t="inlineStr">
        <is>
          <t>HAGFORS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52224-2023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45224</v>
      </c>
      <c r="E315" s="1" t="n">
        <v>46234</v>
      </c>
      <c r="F315" t="inlineStr">
        <is>
          <t>VÄRMLANDS LÄN</t>
        </is>
      </c>
      <c r="G315" t="inlineStr">
        <is>
          <t>HAGFORS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46234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55190-2025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46234</v>
      </c>
      <c r="F317" t="inlineStr">
        <is>
          <t>VÄRMLANDS LÄN</t>
        </is>
      </c>
      <c r="G317" t="inlineStr">
        <is>
          <t>HAGFORS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35664-2023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46234</v>
      </c>
      <c r="F318" t="inlineStr">
        <is>
          <t>VÄRMLANDS LÄN</t>
        </is>
      </c>
      <c r="G318" t="inlineStr">
        <is>
          <t>HAGFORS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39211-2022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44817</v>
      </c>
      <c r="E319" s="1" t="n">
        <v>46234</v>
      </c>
      <c r="F319" t="inlineStr">
        <is>
          <t>VÄRMLANDS LÄN</t>
        </is>
      </c>
      <c r="G319" t="inlineStr">
        <is>
          <t>HAGFORS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46234</v>
      </c>
      <c r="F320" t="inlineStr">
        <is>
          <t>VÄRMLANDS LÄN</t>
        </is>
      </c>
      <c r="G320" t="inlineStr">
        <is>
          <t>HAGFORS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29269-2025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46234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26.5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21309-2023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45062</v>
      </c>
      <c r="E322" s="1" t="n">
        <v>46234</v>
      </c>
      <c r="F322" t="inlineStr">
        <is>
          <t>VÄRMLANDS LÄN</t>
        </is>
      </c>
      <c r="G322" t="inlineStr">
        <is>
          <t>HAGFORS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45433</v>
      </c>
      <c r="E323" s="1" t="n">
        <v>46234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45874</v>
      </c>
      <c r="E324" s="1" t="n">
        <v>46234</v>
      </c>
      <c r="F324" t="inlineStr">
        <is>
          <t>VÄRMLANDS LÄN</t>
        </is>
      </c>
      <c r="G324" t="inlineStr">
        <is>
          <t>HAGFORS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46234</v>
      </c>
      <c r="F325" t="inlineStr">
        <is>
          <t>VÄRMLANDS LÄN</t>
        </is>
      </c>
      <c r="G325" t="inlineStr">
        <is>
          <t>HAGFORS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45569</v>
      </c>
      <c r="E326" s="1" t="n">
        <v>46234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46234</v>
      </c>
      <c r="F327" t="inlineStr">
        <is>
          <t>VÄRMLANDS LÄN</t>
        </is>
      </c>
      <c r="G327" t="inlineStr">
        <is>
          <t>HAGFORS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46234</v>
      </c>
      <c r="F328" t="inlineStr">
        <is>
          <t>VÄRMLANDS LÄN</t>
        </is>
      </c>
      <c r="G328" t="inlineStr">
        <is>
          <t>HAGFORS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26777-2023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45093</v>
      </c>
      <c r="E329" s="1" t="n">
        <v>46234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46234</v>
      </c>
      <c r="F330" t="inlineStr">
        <is>
          <t>VÄRMLANDS LÄN</t>
        </is>
      </c>
      <c r="G330" t="inlineStr">
        <is>
          <t>HAGFORS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45975</v>
      </c>
      <c r="E331" s="1" t="n">
        <v>46234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13300-2023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45005</v>
      </c>
      <c r="E332" s="1" t="n">
        <v>46234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33969-2022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44790</v>
      </c>
      <c r="E333" s="1" t="n">
        <v>46234</v>
      </c>
      <c r="F333" t="inlineStr">
        <is>
          <t>VÄRMLANDS LÄN</t>
        </is>
      </c>
      <c r="G333" t="inlineStr">
        <is>
          <t>HAGFORS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45090</v>
      </c>
      <c r="E334" s="1" t="n">
        <v>46234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46234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46234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31660-2022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44776</v>
      </c>
      <c r="E337" s="1" t="n">
        <v>46234</v>
      </c>
      <c r="F337" t="inlineStr">
        <is>
          <t>VÄRMLANDS LÄN</t>
        </is>
      </c>
      <c r="G337" t="inlineStr">
        <is>
          <t>HAGFORS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29372-2023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46234</v>
      </c>
      <c r="F338" t="inlineStr">
        <is>
          <t>VÄRMLANDS LÄN</t>
        </is>
      </c>
      <c r="G338" t="inlineStr">
        <is>
          <t>HAGFORS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59092-2022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44904</v>
      </c>
      <c r="E339" s="1" t="n">
        <v>46234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46234</v>
      </c>
      <c r="F340" t="inlineStr">
        <is>
          <t>VÄRMLANDS LÄN</t>
        </is>
      </c>
      <c r="G340" t="inlineStr">
        <is>
          <t>HAGFORS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46234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46234</v>
      </c>
      <c r="F342" t="inlineStr">
        <is>
          <t>VÄRMLANDS LÄN</t>
        </is>
      </c>
      <c r="G342" t="inlineStr">
        <is>
          <t>HAGFORS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46234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46234</v>
      </c>
      <c r="F344" t="inlineStr">
        <is>
          <t>VÄRMLANDS LÄN</t>
        </is>
      </c>
      <c r="G344" t="inlineStr">
        <is>
          <t>HAGFORS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46234</v>
      </c>
      <c r="F345" t="inlineStr">
        <is>
          <t>VÄRMLANDS LÄN</t>
        </is>
      </c>
      <c r="G345" t="inlineStr">
        <is>
          <t>HAGFORS</t>
        </is>
      </c>
      <c r="H345" t="inlineStr">
        <is>
          <t>Kyrkan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46234</v>
      </c>
      <c r="F346" t="inlineStr">
        <is>
          <t>VÄRMLANDS LÄN</t>
        </is>
      </c>
      <c r="G346" t="inlineStr">
        <is>
          <t>HAGFORS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46234</v>
      </c>
      <c r="F347" t="inlineStr">
        <is>
          <t>VÄRMLANDS LÄN</t>
        </is>
      </c>
      <c r="G347" t="inlineStr">
        <is>
          <t>HAGFORS</t>
        </is>
      </c>
      <c r="H347" t="inlineStr">
        <is>
          <t>Kyrkan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11104-2022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44628</v>
      </c>
      <c r="E348" s="1" t="n">
        <v>46234</v>
      </c>
      <c r="F348" t="inlineStr">
        <is>
          <t>VÄRMLANDS LÄN</t>
        </is>
      </c>
      <c r="G348" t="inlineStr">
        <is>
          <t>HAGFORS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46234</v>
      </c>
      <c r="F349" t="inlineStr">
        <is>
          <t>VÄRMLANDS LÄN</t>
        </is>
      </c>
      <c r="G349" t="inlineStr">
        <is>
          <t>HAGFORS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16824-2023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45033</v>
      </c>
      <c r="E350" s="1" t="n">
        <v>46234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45201</v>
      </c>
      <c r="E351" s="1" t="n">
        <v>46234</v>
      </c>
      <c r="F351" t="inlineStr">
        <is>
          <t>VÄRMLANDS LÄN</t>
        </is>
      </c>
      <c r="G351" t="inlineStr">
        <is>
          <t>HAGFORS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45201</v>
      </c>
      <c r="E352" s="1" t="n">
        <v>46234</v>
      </c>
      <c r="F352" t="inlineStr">
        <is>
          <t>VÄRMLANDS LÄN</t>
        </is>
      </c>
      <c r="G352" t="inlineStr">
        <is>
          <t>HAGFORS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46234</v>
      </c>
      <c r="F353" t="inlineStr">
        <is>
          <t>VÄRMLANDS LÄN</t>
        </is>
      </c>
      <c r="G353" t="inlineStr">
        <is>
          <t>HAGFORS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56884-2023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46234</v>
      </c>
      <c r="F354" t="inlineStr">
        <is>
          <t>VÄRMLANDS LÄN</t>
        </is>
      </c>
      <c r="G354" t="inlineStr">
        <is>
          <t>HAGFORS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45310</v>
      </c>
      <c r="E355" s="1" t="n">
        <v>46234</v>
      </c>
      <c r="F355" t="inlineStr">
        <is>
          <t>VÄRMLANDS LÄN</t>
        </is>
      </c>
      <c r="G355" t="inlineStr">
        <is>
          <t>HAGFORS</t>
        </is>
      </c>
      <c r="H355" t="inlineStr">
        <is>
          <t>Kyrkan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59047-2025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45988</v>
      </c>
      <c r="E356" s="1" t="n">
        <v>46234</v>
      </c>
      <c r="F356" t="inlineStr">
        <is>
          <t>VÄRMLANDS LÄN</t>
        </is>
      </c>
      <c r="G356" t="inlineStr">
        <is>
          <t>HAGFORS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45581</v>
      </c>
      <c r="E357" s="1" t="n">
        <v>46234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46234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18.8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46234</v>
      </c>
      <c r="F359" t="inlineStr">
        <is>
          <t>VÄRMLANDS LÄN</t>
        </is>
      </c>
      <c r="G359" t="inlineStr">
        <is>
          <t>HAGFORS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56466-2024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45625</v>
      </c>
      <c r="E360" s="1" t="n">
        <v>46234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45996</v>
      </c>
      <c r="E361" s="1" t="n">
        <v>46234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60841-2025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46234</v>
      </c>
      <c r="F362" t="inlineStr">
        <is>
          <t>VÄRMLANDS LÄN</t>
        </is>
      </c>
      <c r="G362" t="inlineStr">
        <is>
          <t>HAGFORS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60648-2025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45996</v>
      </c>
      <c r="E363" s="1" t="n">
        <v>46234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46234</v>
      </c>
      <c r="F364" t="inlineStr">
        <is>
          <t>VÄRMLANDS LÄN</t>
        </is>
      </c>
      <c r="G364" t="inlineStr">
        <is>
          <t>HAGFORS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30180-2022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44757</v>
      </c>
      <c r="E365" s="1" t="n">
        <v>46234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45264</v>
      </c>
      <c r="E366" s="1" t="n">
        <v>46234</v>
      </c>
      <c r="F366" t="inlineStr">
        <is>
          <t>VÄRMLANDS LÄN</t>
        </is>
      </c>
      <c r="G366" t="inlineStr">
        <is>
          <t>HAGFORS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45323</v>
      </c>
      <c r="E367" s="1" t="n">
        <v>46234</v>
      </c>
      <c r="F367" t="inlineStr">
        <is>
          <t>VÄRMLANDS LÄN</t>
        </is>
      </c>
      <c r="G367" t="inlineStr">
        <is>
          <t>HAGFORS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61843-2025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46003</v>
      </c>
      <c r="E368" s="1" t="n">
        <v>46234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46003</v>
      </c>
      <c r="E369" s="1" t="n">
        <v>46234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61718-2025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46002</v>
      </c>
      <c r="E370" s="1" t="n">
        <v>46234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46002</v>
      </c>
      <c r="E371" s="1" t="n">
        <v>46234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46003</v>
      </c>
      <c r="E372" s="1" t="n">
        <v>46234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18699-2022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46234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61910-2025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46003</v>
      </c>
      <c r="E374" s="1" t="n">
        <v>46234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45148</v>
      </c>
      <c r="E375" s="1" t="n">
        <v>46234</v>
      </c>
      <c r="F375" t="inlineStr">
        <is>
          <t>VÄRMLANDS LÄN</t>
        </is>
      </c>
      <c r="G375" t="inlineStr">
        <is>
          <t>HAGFORS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46007</v>
      </c>
      <c r="E376" s="1" t="n">
        <v>46234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62240-2025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46006</v>
      </c>
      <c r="E377" s="1" t="n">
        <v>46234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62168-2025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46006</v>
      </c>
      <c r="E378" s="1" t="n">
        <v>46234</v>
      </c>
      <c r="F378" t="inlineStr">
        <is>
          <t>VÄRMLANDS LÄN</t>
        </is>
      </c>
      <c r="G378" t="inlineStr">
        <is>
          <t>HAGFORS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46006</v>
      </c>
      <c r="E379" s="1" t="n">
        <v>46234</v>
      </c>
      <c r="F379" t="inlineStr">
        <is>
          <t>VÄRMLANDS LÄN</t>
        </is>
      </c>
      <c r="G379" t="inlineStr">
        <is>
          <t>HAGFORS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46234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13635-2024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45390</v>
      </c>
      <c r="E381" s="1" t="n">
        <v>46234</v>
      </c>
      <c r="F381" t="inlineStr">
        <is>
          <t>VÄRMLANDS LÄN</t>
        </is>
      </c>
      <c r="G381" t="inlineStr">
        <is>
          <t>HAGFORS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36030-2023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45149</v>
      </c>
      <c r="E382" s="1" t="n">
        <v>46234</v>
      </c>
      <c r="F382" t="inlineStr">
        <is>
          <t>VÄRMLANDS LÄN</t>
        </is>
      </c>
      <c r="G382" t="inlineStr">
        <is>
          <t>HAGFORS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35065-2023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45145</v>
      </c>
      <c r="E383" s="1" t="n">
        <v>46234</v>
      </c>
      <c r="F383" t="inlineStr">
        <is>
          <t>VÄRMLANDS LÄN</t>
        </is>
      </c>
      <c r="G383" t="inlineStr">
        <is>
          <t>HAGFORS</t>
        </is>
      </c>
      <c r="I383" t="n">
        <v>13.5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44812</v>
      </c>
      <c r="E384" s="1" t="n">
        <v>46234</v>
      </c>
      <c r="F384" t="inlineStr">
        <is>
          <t>VÄRMLANDS LÄN</t>
        </is>
      </c>
      <c r="G384" t="inlineStr">
        <is>
          <t>HAGFORS</t>
        </is>
      </c>
      <c r="H384" t="inlineStr">
        <is>
          <t>Kyrkan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46234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46008</v>
      </c>
      <c r="E386" s="1" t="n">
        <v>46234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45335</v>
      </c>
      <c r="E387" s="1" t="n">
        <v>46234</v>
      </c>
      <c r="F387" t="inlineStr">
        <is>
          <t>VÄRMLANDS LÄN</t>
        </is>
      </c>
      <c r="G387" t="inlineStr">
        <is>
          <t>HAGFORS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46234</v>
      </c>
      <c r="F388" t="inlineStr">
        <is>
          <t>VÄRMLANDS LÄN</t>
        </is>
      </c>
      <c r="G388" t="inlineStr">
        <is>
          <t>HAGFORS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63301-2025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46010</v>
      </c>
      <c r="E389" s="1" t="n">
        <v>46234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63361-2025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46010</v>
      </c>
      <c r="E390" s="1" t="n">
        <v>46234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46234</v>
      </c>
      <c r="F391" t="inlineStr">
        <is>
          <t>VÄRMLANDS LÄN</t>
        </is>
      </c>
      <c r="G391" t="inlineStr">
        <is>
          <t>HAGFORS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32031-2024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45510</v>
      </c>
      <c r="E392" s="1" t="n">
        <v>46234</v>
      </c>
      <c r="F392" t="inlineStr">
        <is>
          <t>VÄRMLANDS LÄN</t>
        </is>
      </c>
      <c r="G392" t="inlineStr">
        <is>
          <t>HAGFORS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46234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45638</v>
      </c>
      <c r="E394" s="1" t="n">
        <v>46234</v>
      </c>
      <c r="F394" t="inlineStr">
        <is>
          <t>VÄRMLANDS LÄN</t>
        </is>
      </c>
      <c r="G394" t="inlineStr">
        <is>
          <t>HAGFORS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15538-2024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45401</v>
      </c>
      <c r="E395" s="1" t="n">
        <v>46234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18472-2024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45425</v>
      </c>
      <c r="E396" s="1" t="n">
        <v>46234</v>
      </c>
      <c r="F396" t="inlineStr">
        <is>
          <t>VÄRMLANDS LÄN</t>
        </is>
      </c>
      <c r="G396" t="inlineStr">
        <is>
          <t>HAGFORS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60974-2024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45645</v>
      </c>
      <c r="E397" s="1" t="n">
        <v>46234</v>
      </c>
      <c r="F397" t="inlineStr">
        <is>
          <t>VÄRMLANDS LÄN</t>
        </is>
      </c>
      <c r="G397" t="inlineStr">
        <is>
          <t>HAGFORS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46020</v>
      </c>
      <c r="E398" s="1" t="n">
        <v>46234</v>
      </c>
      <c r="F398" t="inlineStr">
        <is>
          <t>VÄRMLANDS LÄN</t>
        </is>
      </c>
      <c r="G398" t="inlineStr">
        <is>
          <t>HAGFORS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63831-2025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46020</v>
      </c>
      <c r="E399" s="1" t="n">
        <v>46234</v>
      </c>
      <c r="F399" t="inlineStr">
        <is>
          <t>VÄRMLANDS LÄN</t>
        </is>
      </c>
      <c r="G399" t="inlineStr">
        <is>
          <t>HAGFORS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46018</v>
      </c>
      <c r="E400" s="1" t="n">
        <v>46234</v>
      </c>
      <c r="F400" t="inlineStr">
        <is>
          <t>VÄRMLANDS LÄN</t>
        </is>
      </c>
      <c r="G400" t="inlineStr">
        <is>
          <t>HAGFORS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63765-2025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46018</v>
      </c>
      <c r="E401" s="1" t="n">
        <v>46234</v>
      </c>
      <c r="F401" t="inlineStr">
        <is>
          <t>VÄRMLANDS LÄN</t>
        </is>
      </c>
      <c r="G401" t="inlineStr">
        <is>
          <t>HAGFORS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44924</v>
      </c>
      <c r="E402" s="1" t="n">
        <v>46234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63875-2025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46020</v>
      </c>
      <c r="E403" s="1" t="n">
        <v>46234</v>
      </c>
      <c r="F403" t="inlineStr">
        <is>
          <t>VÄRMLANDS LÄN</t>
        </is>
      </c>
      <c r="G403" t="inlineStr">
        <is>
          <t>HAGFORS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45699</v>
      </c>
      <c r="E404" s="1" t="n">
        <v>46234</v>
      </c>
      <c r="F404" t="inlineStr">
        <is>
          <t>VÄRMLANDS LÄN</t>
        </is>
      </c>
      <c r="G404" t="inlineStr">
        <is>
          <t>HAGFORS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46234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44951</v>
      </c>
      <c r="E406" s="1" t="n">
        <v>46234</v>
      </c>
      <c r="F406" t="inlineStr">
        <is>
          <t>VÄRMLANDS LÄN</t>
        </is>
      </c>
      <c r="G406" t="inlineStr">
        <is>
          <t>HAGFORS</t>
        </is>
      </c>
      <c r="H406" t="inlineStr">
        <is>
          <t>Kyrkan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45772</v>
      </c>
      <c r="E407" s="1" t="n">
        <v>46234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48807-2025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45937</v>
      </c>
      <c r="E408" s="1" t="n">
        <v>46234</v>
      </c>
      <c r="F408" t="inlineStr">
        <is>
          <t>VÄRMLANDS LÄN</t>
        </is>
      </c>
      <c r="G408" t="inlineStr">
        <is>
          <t>HAGFORS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46234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22.7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46234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975-2026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46030</v>
      </c>
      <c r="E411" s="1" t="n">
        <v>46234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61818-2023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46234</v>
      </c>
      <c r="F412" t="inlineStr">
        <is>
          <t>VÄRMLANDS LÄN</t>
        </is>
      </c>
      <c r="G412" t="inlineStr">
        <is>
          <t>HAGFORS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46030</v>
      </c>
      <c r="E413" s="1" t="n">
        <v>46234</v>
      </c>
      <c r="F413" t="inlineStr">
        <is>
          <t>VÄRMLANDS LÄN</t>
        </is>
      </c>
      <c r="G413" t="inlineStr">
        <is>
          <t>HAGFORS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45684</v>
      </c>
      <c r="E414" s="1" t="n">
        <v>46234</v>
      </c>
      <c r="F414" t="inlineStr">
        <is>
          <t>VÄRMLANDS LÄN</t>
        </is>
      </c>
      <c r="G414" t="inlineStr">
        <is>
          <t>HAGFORS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12434-2022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44638</v>
      </c>
      <c r="E415" s="1" t="n">
        <v>46234</v>
      </c>
      <c r="F415" t="inlineStr">
        <is>
          <t>VÄRMLANDS LÄN</t>
        </is>
      </c>
      <c r="G415" t="inlineStr">
        <is>
          <t>HAGFORS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46034</v>
      </c>
      <c r="E416" s="1" t="n">
        <v>46234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40692-2022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44824</v>
      </c>
      <c r="E417" s="1" t="n">
        <v>46234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47021-2023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45201</v>
      </c>
      <c r="E418" s="1" t="n">
        <v>46234</v>
      </c>
      <c r="F418" t="inlineStr">
        <is>
          <t>VÄRMLANDS LÄN</t>
        </is>
      </c>
      <c r="G418" t="inlineStr">
        <is>
          <t>HAGFORS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71447-2021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44540</v>
      </c>
      <c r="E419" s="1" t="n">
        <v>46234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10297-2025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45720</v>
      </c>
      <c r="E420" s="1" t="n">
        <v>46234</v>
      </c>
      <c r="F420" t="inlineStr">
        <is>
          <t>VÄRMLANDS LÄN</t>
        </is>
      </c>
      <c r="G420" t="inlineStr">
        <is>
          <t>HAGFORS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45575</v>
      </c>
      <c r="E421" s="1" t="n">
        <v>46234</v>
      </c>
      <c r="F421" t="inlineStr">
        <is>
          <t>VÄRMLANDS LÄN</t>
        </is>
      </c>
      <c r="G421" t="inlineStr">
        <is>
          <t>HAGFORS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32627-2023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45121</v>
      </c>
      <c r="E422" s="1" t="n">
        <v>46234</v>
      </c>
      <c r="F422" t="inlineStr">
        <is>
          <t>VÄRMLANDS LÄN</t>
        </is>
      </c>
      <c r="G422" t="inlineStr">
        <is>
          <t>HAGFORS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40843-2021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44421</v>
      </c>
      <c r="E423" s="1" t="n">
        <v>46234</v>
      </c>
      <c r="F423" t="inlineStr">
        <is>
          <t>VÄRMLANDS LÄN</t>
        </is>
      </c>
      <c r="G423" t="inlineStr">
        <is>
          <t>HAGFORS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46234</v>
      </c>
      <c r="F424" t="inlineStr">
        <is>
          <t>VÄRMLANDS LÄN</t>
        </is>
      </c>
      <c r="G424" t="inlineStr">
        <is>
          <t>HAGFORS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46234</v>
      </c>
      <c r="F425" t="inlineStr">
        <is>
          <t>VÄRMLANDS LÄN</t>
        </is>
      </c>
      <c r="G425" t="inlineStr">
        <is>
          <t>HAGFORS</t>
        </is>
      </c>
      <c r="I425" t="n">
        <v>13.1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45684</v>
      </c>
      <c r="E426" s="1" t="n">
        <v>46234</v>
      </c>
      <c r="F426" t="inlineStr">
        <is>
          <t>VÄRMLANDS LÄN</t>
        </is>
      </c>
      <c r="G426" t="inlineStr">
        <is>
          <t>HAGFORS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31812-2024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45509</v>
      </c>
      <c r="E427" s="1" t="n">
        <v>46234</v>
      </c>
      <c r="F427" t="inlineStr">
        <is>
          <t>VÄRMLANDS LÄN</t>
        </is>
      </c>
      <c r="G427" t="inlineStr">
        <is>
          <t>HAGFORS</t>
        </is>
      </c>
      <c r="H427" t="inlineStr">
        <is>
          <t>Kommuner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46234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46234</v>
      </c>
      <c r="F429" t="inlineStr">
        <is>
          <t>VÄRMLANDS LÄN</t>
        </is>
      </c>
      <c r="G429" t="inlineStr">
        <is>
          <t>HAGFORS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46234</v>
      </c>
      <c r="F430" t="inlineStr">
        <is>
          <t>VÄRMLANDS LÄN</t>
        </is>
      </c>
      <c r="G430" t="inlineStr">
        <is>
          <t>HAGFORS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46234</v>
      </c>
      <c r="F431" t="inlineStr">
        <is>
          <t>VÄRMLANDS LÄN</t>
        </is>
      </c>
      <c r="G431" t="inlineStr">
        <is>
          <t>HAGFORS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55758-2024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45623</v>
      </c>
      <c r="E432" s="1" t="n">
        <v>46234</v>
      </c>
      <c r="F432" t="inlineStr">
        <is>
          <t>VÄRMLANDS LÄN</t>
        </is>
      </c>
      <c r="G432" t="inlineStr">
        <is>
          <t>HAGFORS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1464-2023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44937</v>
      </c>
      <c r="E433" s="1" t="n">
        <v>46234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46050</v>
      </c>
      <c r="E434" s="1" t="n">
        <v>46234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45087</v>
      </c>
      <c r="E435" s="1" t="n">
        <v>46234</v>
      </c>
      <c r="F435" t="inlineStr">
        <is>
          <t>VÄRMLANDS LÄN</t>
        </is>
      </c>
      <c r="G435" t="inlineStr">
        <is>
          <t>HAGFORS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46234</v>
      </c>
      <c r="F436" t="inlineStr">
        <is>
          <t>VÄRMLANDS LÄN</t>
        </is>
      </c>
      <c r="G436" t="inlineStr">
        <is>
          <t>HAGFORS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46234</v>
      </c>
      <c r="F437" t="inlineStr">
        <is>
          <t>VÄRMLANDS LÄN</t>
        </is>
      </c>
      <c r="G437" t="inlineStr">
        <is>
          <t>HAGFORS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45527</v>
      </c>
      <c r="E438" s="1" t="n">
        <v>46234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46234</v>
      </c>
      <c r="F439" t="inlineStr">
        <is>
          <t>VÄRMLANDS LÄN</t>
        </is>
      </c>
      <c r="G439" t="inlineStr">
        <is>
          <t>HAGFORS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46234</v>
      </c>
      <c r="F440" t="inlineStr">
        <is>
          <t>VÄRMLANDS LÄN</t>
        </is>
      </c>
      <c r="G440" t="inlineStr">
        <is>
          <t>HAGFORS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1735-2023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44938</v>
      </c>
      <c r="E441" s="1" t="n">
        <v>46234</v>
      </c>
      <c r="F441" t="inlineStr">
        <is>
          <t>VÄRMLANDS LÄN</t>
        </is>
      </c>
      <c r="G441" t="inlineStr">
        <is>
          <t>HAGFORS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45106</v>
      </c>
      <c r="E442" s="1" t="n">
        <v>46234</v>
      </c>
      <c r="F442" t="inlineStr">
        <is>
          <t>VÄRMLANDS LÄN</t>
        </is>
      </c>
      <c r="G442" t="inlineStr">
        <is>
          <t>HAGFORS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45371</v>
      </c>
      <c r="E443" s="1" t="n">
        <v>46234</v>
      </c>
      <c r="F443" t="inlineStr">
        <is>
          <t>VÄRMLANDS LÄN</t>
        </is>
      </c>
      <c r="G443" t="inlineStr">
        <is>
          <t>HAGFORS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45713</v>
      </c>
      <c r="E444" s="1" t="n">
        <v>46234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53192-2022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44876</v>
      </c>
      <c r="E445" s="1" t="n">
        <v>46234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45084</v>
      </c>
      <c r="E446" s="1" t="n">
        <v>46234</v>
      </c>
      <c r="F446" t="inlineStr">
        <is>
          <t>VÄRMLANDS LÄN</t>
        </is>
      </c>
      <c r="G446" t="inlineStr">
        <is>
          <t>HAGFORS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44502</v>
      </c>
      <c r="E447" s="1" t="n">
        <v>46234</v>
      </c>
      <c r="F447" t="inlineStr">
        <is>
          <t>VÄRMLANDS LÄN</t>
        </is>
      </c>
      <c r="G447" t="inlineStr">
        <is>
          <t>HAGFORS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13657-2023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45006</v>
      </c>
      <c r="E448" s="1" t="n">
        <v>46234</v>
      </c>
      <c r="F448" t="inlineStr">
        <is>
          <t>VÄRMLANDS LÄN</t>
        </is>
      </c>
      <c r="G448" t="inlineStr">
        <is>
          <t>HAGFORS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8555-2026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46065</v>
      </c>
      <c r="E449" s="1" t="n">
        <v>46234</v>
      </c>
      <c r="F449" t="inlineStr">
        <is>
          <t>VÄRMLANDS LÄN</t>
        </is>
      </c>
      <c r="G449" t="inlineStr">
        <is>
          <t>HAGFORS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42235-2024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45562</v>
      </c>
      <c r="E450" s="1" t="n">
        <v>46234</v>
      </c>
      <c r="F450" t="inlineStr">
        <is>
          <t>VÄRMLANDS LÄN</t>
        </is>
      </c>
      <c r="G450" t="inlineStr">
        <is>
          <t>HAGFORS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17584-2023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45036</v>
      </c>
      <c r="E451" s="1" t="n">
        <v>46234</v>
      </c>
      <c r="F451" t="inlineStr">
        <is>
          <t>VÄRMLANDS LÄN</t>
        </is>
      </c>
      <c r="G451" t="inlineStr">
        <is>
          <t>HAGFORS</t>
        </is>
      </c>
      <c r="H451" t="inlineStr">
        <is>
          <t>Kommuner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45618</v>
      </c>
      <c r="E452" s="1" t="n">
        <v>46234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8496-2022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44613</v>
      </c>
      <c r="E453" s="1" t="n">
        <v>46234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46234</v>
      </c>
      <c r="F454" t="inlineStr">
        <is>
          <t>VÄRMLANDS LÄN</t>
        </is>
      </c>
      <c r="G454" t="inlineStr">
        <is>
          <t>HAGFORS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61169-2024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45645</v>
      </c>
      <c r="E455" s="1" t="n">
        <v>46234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9670-2026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46234</v>
      </c>
      <c r="F456" t="inlineStr">
        <is>
          <t>VÄRMLANDS LÄN</t>
        </is>
      </c>
      <c r="G456" t="inlineStr">
        <is>
          <t>HAGFORS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10271-2026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46076</v>
      </c>
      <c r="E457" s="1" t="n">
        <v>46234</v>
      </c>
      <c r="F457" t="inlineStr">
        <is>
          <t>VÄRMLANDS LÄN</t>
        </is>
      </c>
      <c r="G457" t="inlineStr">
        <is>
          <t>HAGFORS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45461</v>
      </c>
      <c r="E458" s="1" t="n">
        <v>46234</v>
      </c>
      <c r="F458" t="inlineStr">
        <is>
          <t>VÄRMLANDS LÄN</t>
        </is>
      </c>
      <c r="G458" t="inlineStr">
        <is>
          <t>HAGFORS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36293-2023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45152</v>
      </c>
      <c r="E459" s="1" t="n">
        <v>46234</v>
      </c>
      <c r="F459" t="inlineStr">
        <is>
          <t>VÄRMLANDS LÄN</t>
        </is>
      </c>
      <c r="G459" t="inlineStr">
        <is>
          <t>HAGFORS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45435</v>
      </c>
      <c r="E460" s="1" t="n">
        <v>46234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35886-2023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46234</v>
      </c>
      <c r="F461" t="inlineStr">
        <is>
          <t>VÄRMLANDS LÄN</t>
        </is>
      </c>
      <c r="G461" t="inlineStr">
        <is>
          <t>HAGFORS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59048-2022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44903</v>
      </c>
      <c r="E462" s="1" t="n">
        <v>46234</v>
      </c>
      <c r="F462" t="inlineStr">
        <is>
          <t>VÄRMLANDS LÄN</t>
        </is>
      </c>
      <c r="G462" t="inlineStr">
        <is>
          <t>HAGFORS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46090</v>
      </c>
      <c r="E463" s="1" t="n">
        <v>46234</v>
      </c>
      <c r="F463" t="inlineStr">
        <is>
          <t>VÄRMLANDS LÄN</t>
        </is>
      </c>
      <c r="G463" t="inlineStr">
        <is>
          <t>HAGFORS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46234</v>
      </c>
      <c r="F464" t="inlineStr">
        <is>
          <t>VÄRMLANDS LÄN</t>
        </is>
      </c>
      <c r="G464" t="inlineStr">
        <is>
          <t>HAGFORS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46234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21155-2023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45057</v>
      </c>
      <c r="E466" s="1" t="n">
        <v>46234</v>
      </c>
      <c r="F466" t="inlineStr">
        <is>
          <t>VÄRMLANDS LÄN</t>
        </is>
      </c>
      <c r="G466" t="inlineStr">
        <is>
          <t>HAGFORS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45758</v>
      </c>
      <c r="E467" s="1" t="n">
        <v>46234</v>
      </c>
      <c r="F467" t="inlineStr">
        <is>
          <t>VÄRMLANDS LÄN</t>
        </is>
      </c>
      <c r="G467" t="inlineStr">
        <is>
          <t>HAGFORS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19554-2024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45429</v>
      </c>
      <c r="E468" s="1" t="n">
        <v>46234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46234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30710-2022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44763</v>
      </c>
      <c r="E470" s="1" t="n">
        <v>46234</v>
      </c>
      <c r="F470" t="inlineStr">
        <is>
          <t>VÄRMLANDS LÄN</t>
        </is>
      </c>
      <c r="G470" t="inlineStr">
        <is>
          <t>HAGFORS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52830-2023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45226</v>
      </c>
      <c r="E471" s="1" t="n">
        <v>46234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13360-2026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46234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46234</v>
      </c>
      <c r="F473" t="inlineStr">
        <is>
          <t>VÄRMLANDS LÄN</t>
        </is>
      </c>
      <c r="G473" t="inlineStr">
        <is>
          <t>HAGFORS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28087-2024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45476</v>
      </c>
      <c r="E474" s="1" t="n">
        <v>46234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13411-2026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46234</v>
      </c>
      <c r="F475" t="inlineStr">
        <is>
          <t>VÄRMLANDS LÄN</t>
        </is>
      </c>
      <c r="G475" t="inlineStr">
        <is>
          <t>HAGFORS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18213-2024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45420</v>
      </c>
      <c r="E476" s="1" t="n">
        <v>46234</v>
      </c>
      <c r="F476" t="inlineStr">
        <is>
          <t>VÄRMLANDS LÄN</t>
        </is>
      </c>
      <c r="G476" t="inlineStr">
        <is>
          <t>HAGFORS</t>
        </is>
      </c>
      <c r="I476" t="n">
        <v>11.5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13466-2026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46234</v>
      </c>
      <c r="F477" t="inlineStr">
        <is>
          <t>VÄRMLANDS LÄN</t>
        </is>
      </c>
      <c r="G477" t="inlineStr">
        <is>
          <t>HAGFORS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13926-2026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46098</v>
      </c>
      <c r="E478" s="1" t="n">
        <v>46234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46234</v>
      </c>
      <c r="F479" t="inlineStr">
        <is>
          <t>VÄRMLANDS LÄN</t>
        </is>
      </c>
      <c r="G479" t="inlineStr">
        <is>
          <t>HAGFORS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46234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45720</v>
      </c>
      <c r="E481" s="1" t="n">
        <v>46234</v>
      </c>
      <c r="F481" t="inlineStr">
        <is>
          <t>VÄRMLANDS LÄN</t>
        </is>
      </c>
      <c r="G481" t="inlineStr">
        <is>
          <t>HAGFORS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46099</v>
      </c>
      <c r="E482" s="1" t="n">
        <v>46234</v>
      </c>
      <c r="F482" t="inlineStr">
        <is>
          <t>VÄRMLANDS LÄN</t>
        </is>
      </c>
      <c r="G482" t="inlineStr">
        <is>
          <t>HAGFORS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6437-2024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45338</v>
      </c>
      <c r="E483" s="1" t="n">
        <v>46234</v>
      </c>
      <c r="F483" t="inlineStr">
        <is>
          <t>VÄRMLANDS LÄN</t>
        </is>
      </c>
      <c r="G483" t="inlineStr">
        <is>
          <t>HAGFORS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9795-2023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44984</v>
      </c>
      <c r="E484" s="1" t="n">
        <v>46234</v>
      </c>
      <c r="F484" t="inlineStr">
        <is>
          <t>VÄRMLANDS LÄN</t>
        </is>
      </c>
      <c r="G484" t="inlineStr">
        <is>
          <t>HAGFORS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45525</v>
      </c>
      <c r="E485" s="1" t="n">
        <v>46234</v>
      </c>
      <c r="F485" t="inlineStr">
        <is>
          <t>VÄRMLANDS LÄN</t>
        </is>
      </c>
      <c r="G485" t="inlineStr">
        <is>
          <t>HAGFORS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14288-2026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46234</v>
      </c>
      <c r="F486" t="inlineStr">
        <is>
          <t>VÄRMLANDS LÄN</t>
        </is>
      </c>
      <c r="G486" t="inlineStr">
        <is>
          <t>HAGFORS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46104</v>
      </c>
      <c r="E487" s="1" t="n">
        <v>46234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14667-2026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46101</v>
      </c>
      <c r="E488" s="1" t="n">
        <v>46234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15031-2026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46104</v>
      </c>
      <c r="E489" s="1" t="n">
        <v>46234</v>
      </c>
      <c r="F489" t="inlineStr">
        <is>
          <t>VÄRMLANDS LÄN</t>
        </is>
      </c>
      <c r="G489" t="inlineStr">
        <is>
          <t>HAGFORS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14574-2026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46101</v>
      </c>
      <c r="E490" s="1" t="n">
        <v>46234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46234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46234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46234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46234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35994-2024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45533</v>
      </c>
      <c r="E495" s="1" t="n">
        <v>46234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65065-2023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45287</v>
      </c>
      <c r="E496" s="1" t="n">
        <v>46234</v>
      </c>
      <c r="F496" t="inlineStr">
        <is>
          <t>VÄRMLANDS LÄN</t>
        </is>
      </c>
      <c r="G496" t="inlineStr">
        <is>
          <t>HAGFORS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15666-2026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46234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42593-2021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44428</v>
      </c>
      <c r="E498" s="1" t="n">
        <v>46234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15213-2026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46234</v>
      </c>
      <c r="F499" t="inlineStr">
        <is>
          <t>VÄRMLANDS LÄN</t>
        </is>
      </c>
      <c r="G499" t="inlineStr">
        <is>
          <t>HAGFORS</t>
        </is>
      </c>
      <c r="H499" t="inlineStr">
        <is>
          <t>Kyrkan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15554-2026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46234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46234</v>
      </c>
      <c r="F501" t="inlineStr">
        <is>
          <t>VÄRMLANDS LÄN</t>
        </is>
      </c>
      <c r="G501" t="inlineStr">
        <is>
          <t>HAGFORS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53443-2024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45614</v>
      </c>
      <c r="E502" s="1" t="n">
        <v>46234</v>
      </c>
      <c r="F502" t="inlineStr">
        <is>
          <t>VÄRMLANDS LÄN</t>
        </is>
      </c>
      <c r="G502" t="inlineStr">
        <is>
          <t>HAGFORS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16146-2026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46108</v>
      </c>
      <c r="E503" s="1" t="n">
        <v>46234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45226</v>
      </c>
      <c r="E504" s="1" t="n">
        <v>46234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45765</v>
      </c>
      <c r="E505" s="1" t="n">
        <v>46234</v>
      </c>
      <c r="F505" t="inlineStr">
        <is>
          <t>VÄRMLANDS LÄN</t>
        </is>
      </c>
      <c r="G505" t="inlineStr">
        <is>
          <t>HAGFORS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46108</v>
      </c>
      <c r="E506" s="1" t="n">
        <v>46234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16157-2026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46108</v>
      </c>
      <c r="E507" s="1" t="n">
        <v>46234</v>
      </c>
      <c r="F507" t="inlineStr">
        <is>
          <t>VÄRMLANDS LÄN</t>
        </is>
      </c>
      <c r="G507" t="inlineStr">
        <is>
          <t>HAGFORS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51915-2023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45223</v>
      </c>
      <c r="E508" s="1" t="n">
        <v>46234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46234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9.4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56165-2024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45624</v>
      </c>
      <c r="E510" s="1" t="n">
        <v>46234</v>
      </c>
      <c r="F510" t="inlineStr">
        <is>
          <t>VÄRMLANDS LÄN</t>
        </is>
      </c>
      <c r="G510" t="inlineStr">
        <is>
          <t>HAGFORS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14435-2025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45741</v>
      </c>
      <c r="E511" s="1" t="n">
        <v>46234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27826-2024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45475</v>
      </c>
      <c r="E512" s="1" t="n">
        <v>46234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45475</v>
      </c>
      <c r="E513" s="1" t="n">
        <v>46234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36206-2024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45534</v>
      </c>
      <c r="E514" s="1" t="n">
        <v>46234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46234</v>
      </c>
      <c r="F515" t="inlineStr">
        <is>
          <t>VÄRMLANDS LÄN</t>
        </is>
      </c>
      <c r="G515" t="inlineStr">
        <is>
          <t>HAGFORS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15587-2026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46106</v>
      </c>
      <c r="E516" s="1" t="n">
        <v>46234</v>
      </c>
      <c r="F516" t="inlineStr">
        <is>
          <t>VÄRMLANDS LÄN</t>
        </is>
      </c>
      <c r="G516" t="inlineStr">
        <is>
          <t>HAGFORS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46234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44582</v>
      </c>
      <c r="E518" s="1" t="n">
        <v>46234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20103-2024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45434</v>
      </c>
      <c r="E519" s="1" t="n">
        <v>46234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45725</v>
      </c>
      <c r="E520" s="1" t="n">
        <v>46234</v>
      </c>
      <c r="F520" t="inlineStr">
        <is>
          <t>VÄRMLANDS LÄN</t>
        </is>
      </c>
      <c r="G520" t="inlineStr">
        <is>
          <t>HAGFORS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15270-2024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45400</v>
      </c>
      <c r="E521" s="1" t="n">
        <v>46234</v>
      </c>
      <c r="F521" t="inlineStr">
        <is>
          <t>VÄRMLANDS LÄN</t>
        </is>
      </c>
      <c r="G521" t="inlineStr">
        <is>
          <t>HAGFORS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46426-2024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45582</v>
      </c>
      <c r="E522" s="1" t="n">
        <v>46234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17815-2026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46122</v>
      </c>
      <c r="E523" s="1" t="n">
        <v>46234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46234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17778-2026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46234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44567</v>
      </c>
      <c r="E526" s="1" t="n">
        <v>46234</v>
      </c>
      <c r="F526" t="inlineStr">
        <is>
          <t>VÄRMLANDS LÄN</t>
        </is>
      </c>
      <c r="G526" t="inlineStr">
        <is>
          <t>HAGFORS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46234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45140</v>
      </c>
      <c r="E528" s="1" t="n">
        <v>46234</v>
      </c>
      <c r="F528" t="inlineStr">
        <is>
          <t>VÄRMLANDS LÄN</t>
        </is>
      </c>
      <c r="G528" t="inlineStr">
        <is>
          <t>HAGFORS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14464-2025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45741</v>
      </c>
      <c r="E529" s="1" t="n">
        <v>46234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46234</v>
      </c>
      <c r="F530" t="inlineStr">
        <is>
          <t>VÄRMLANDS LÄN</t>
        </is>
      </c>
      <c r="G530" t="inlineStr">
        <is>
          <t>HAGFORS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54757-2022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44883</v>
      </c>
      <c r="E531" s="1" t="n">
        <v>46234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17.9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46129</v>
      </c>
      <c r="E532" s="1" t="n">
        <v>46234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18854-2026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46129</v>
      </c>
      <c r="E533" s="1" t="n">
        <v>46234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46127</v>
      </c>
      <c r="E534" s="1" t="n">
        <v>46234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18901-2026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46129</v>
      </c>
      <c r="E535" s="1" t="n">
        <v>46234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45238-2024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45575</v>
      </c>
      <c r="E536" s="1" t="n">
        <v>46234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46234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37085-2023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45155</v>
      </c>
      <c r="E538" s="1" t="n">
        <v>46234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46129</v>
      </c>
      <c r="E539" s="1" t="n">
        <v>46234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37463-2022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44809</v>
      </c>
      <c r="E540" s="1" t="n">
        <v>46234</v>
      </c>
      <c r="F540" t="inlineStr">
        <is>
          <t>VÄRMLANDS LÄN</t>
        </is>
      </c>
      <c r="G540" t="inlineStr">
        <is>
          <t>HAGFORS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45268</v>
      </c>
      <c r="E541" s="1" t="n">
        <v>46234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20466-2023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45057</v>
      </c>
      <c r="E542" s="1" t="n">
        <v>46234</v>
      </c>
      <c r="F542" t="inlineStr">
        <is>
          <t>VÄRMLANDS LÄN</t>
        </is>
      </c>
      <c r="G542" t="inlineStr">
        <is>
          <t>HAGFORS</t>
        </is>
      </c>
      <c r="H542" t="inlineStr">
        <is>
          <t>Kyrkan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19363-2026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46133</v>
      </c>
      <c r="E543" s="1" t="n">
        <v>46234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19339-2026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46234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19307-2026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46234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46234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53813-2024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45615</v>
      </c>
      <c r="E547" s="1" t="n">
        <v>46234</v>
      </c>
      <c r="F547" t="inlineStr">
        <is>
          <t>VÄRMLANDS LÄN</t>
        </is>
      </c>
      <c r="G547" t="inlineStr">
        <is>
          <t>HAGFORS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19056-2026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46234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19421-2026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46234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46134</v>
      </c>
      <c r="E550" s="1" t="n">
        <v>46234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26859-2024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45470</v>
      </c>
      <c r="E551" s="1" t="n">
        <v>46234</v>
      </c>
      <c r="F551" t="inlineStr">
        <is>
          <t>VÄRMLANDS LÄN</t>
        </is>
      </c>
      <c r="G551" t="inlineStr">
        <is>
          <t>HAGFORS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42175-2024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45562</v>
      </c>
      <c r="E552" s="1" t="n">
        <v>46234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46134</v>
      </c>
      <c r="E553" s="1" t="n">
        <v>46234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19459-2026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46234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25258-2023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45079</v>
      </c>
      <c r="E555" s="1" t="n">
        <v>46234</v>
      </c>
      <c r="F555" t="inlineStr">
        <is>
          <t>VÄRMLANDS LÄN</t>
        </is>
      </c>
      <c r="G555" t="inlineStr">
        <is>
          <t>HAGFORS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21451-2024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45441</v>
      </c>
      <c r="E556" s="1" t="n">
        <v>46234</v>
      </c>
      <c r="F556" t="inlineStr">
        <is>
          <t>VÄRMLANDS LÄN</t>
        </is>
      </c>
      <c r="G556" t="inlineStr">
        <is>
          <t>HAGFORS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20260-2026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46139</v>
      </c>
      <c r="E557" s="1" t="n">
        <v>46234</v>
      </c>
      <c r="F557" t="inlineStr">
        <is>
          <t>VÄRMLANDS LÄN</t>
        </is>
      </c>
      <c r="G557" t="inlineStr">
        <is>
          <t>HAGFORS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45107</v>
      </c>
      <c r="E558" s="1" t="n">
        <v>46234</v>
      </c>
      <c r="F558" t="inlineStr">
        <is>
          <t>VÄRMLANDS LÄN</t>
        </is>
      </c>
      <c r="G558" t="inlineStr">
        <is>
          <t>HAGFORS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63868-2025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46020</v>
      </c>
      <c r="E559" s="1" t="n">
        <v>46234</v>
      </c>
      <c r="F559" t="inlineStr">
        <is>
          <t>VÄRMLANDS LÄN</t>
        </is>
      </c>
      <c r="G559" t="inlineStr">
        <is>
          <t>HAGFORS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49766-2023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45212</v>
      </c>
      <c r="E560" s="1" t="n">
        <v>46234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47516-2023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45203</v>
      </c>
      <c r="E561" s="1" t="n">
        <v>46234</v>
      </c>
      <c r="F561" t="inlineStr">
        <is>
          <t>VÄRMLANDS LÄN</t>
        </is>
      </c>
      <c r="G561" t="inlineStr">
        <is>
          <t>HAGFORS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31657-2024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45506</v>
      </c>
      <c r="E562" s="1" t="n">
        <v>46234</v>
      </c>
      <c r="F562" t="inlineStr">
        <is>
          <t>VÄRMLANDS LÄN</t>
        </is>
      </c>
      <c r="G562" t="inlineStr">
        <is>
          <t>HAGFORS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46234</v>
      </c>
      <c r="F563" t="inlineStr">
        <is>
          <t>VÄRMLANDS LÄN</t>
        </is>
      </c>
      <c r="G563" t="inlineStr">
        <is>
          <t>HAGFORS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45840</v>
      </c>
      <c r="E564" s="1" t="n">
        <v>46234</v>
      </c>
      <c r="F564" t="inlineStr">
        <is>
          <t>VÄRMLANDS LÄN</t>
        </is>
      </c>
      <c r="G564" t="inlineStr">
        <is>
          <t>HAGFORS</t>
        </is>
      </c>
      <c r="I564" t="n">
        <v>18.2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44951</v>
      </c>
      <c r="E565" s="1" t="n">
        <v>46234</v>
      </c>
      <c r="F565" t="inlineStr">
        <is>
          <t>VÄRMLANDS LÄN</t>
        </is>
      </c>
      <c r="G565" t="inlineStr">
        <is>
          <t>HAGFORS</t>
        </is>
      </c>
      <c r="H565" t="inlineStr">
        <is>
          <t>Kommuner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45469</v>
      </c>
      <c r="E566" s="1" t="n">
        <v>46234</v>
      </c>
      <c r="F566" t="inlineStr">
        <is>
          <t>VÄRMLANDS LÄN</t>
        </is>
      </c>
      <c r="G566" t="inlineStr">
        <is>
          <t>HAGFORS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64936-2023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45282</v>
      </c>
      <c r="E567" s="1" t="n">
        <v>46234</v>
      </c>
      <c r="F567" t="inlineStr">
        <is>
          <t>VÄRMLANDS LÄN</t>
        </is>
      </c>
      <c r="G567" t="inlineStr">
        <is>
          <t>HAGFORS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45484</v>
      </c>
      <c r="E568" s="1" t="n">
        <v>46234</v>
      </c>
      <c r="F568" t="inlineStr">
        <is>
          <t>VÄRMLANDS LÄN</t>
        </is>
      </c>
      <c r="G568" t="inlineStr">
        <is>
          <t>HAGFORS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3996-2025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45684</v>
      </c>
      <c r="E569" s="1" t="n">
        <v>46234</v>
      </c>
      <c r="F569" t="inlineStr">
        <is>
          <t>VÄRMLANDS LÄN</t>
        </is>
      </c>
      <c r="G569" t="inlineStr">
        <is>
          <t>HAGFORS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19993-2026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46136</v>
      </c>
      <c r="E570" s="1" t="n">
        <v>46234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45436</v>
      </c>
      <c r="E571" s="1" t="n">
        <v>46234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3426-2023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44949</v>
      </c>
      <c r="E572" s="1" t="n">
        <v>46234</v>
      </c>
      <c r="F572" t="inlineStr">
        <is>
          <t>VÄRMLANDS LÄN</t>
        </is>
      </c>
      <c r="G572" t="inlineStr">
        <is>
          <t>HAGFORS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22346-2025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45786</v>
      </c>
      <c r="E573" s="1" t="n">
        <v>46234</v>
      </c>
      <c r="F573" t="inlineStr">
        <is>
          <t>VÄRMLANDS LÄN</t>
        </is>
      </c>
      <c r="G573" t="inlineStr">
        <is>
          <t>HAGFORS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23179-2025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45791</v>
      </c>
      <c r="E574" s="1" t="n">
        <v>46234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30327-2022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44760</v>
      </c>
      <c r="E575" s="1" t="n">
        <v>46234</v>
      </c>
      <c r="F575" t="inlineStr">
        <is>
          <t>VÄRMLANDS LÄN</t>
        </is>
      </c>
      <c r="G575" t="inlineStr">
        <is>
          <t>HAGFORS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32688-2025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45838</v>
      </c>
      <c r="E576" s="1" t="n">
        <v>46234</v>
      </c>
      <c r="F576" t="inlineStr">
        <is>
          <t>VÄRMLANDS LÄN</t>
        </is>
      </c>
      <c r="G576" t="inlineStr">
        <is>
          <t>HAGFORS</t>
        </is>
      </c>
      <c r="H576" t="inlineStr">
        <is>
          <t>Kyrkan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45819</v>
      </c>
      <c r="E577" s="1" t="n">
        <v>46234</v>
      </c>
      <c r="F577" t="inlineStr">
        <is>
          <t>VÄRMLANDS LÄN</t>
        </is>
      </c>
      <c r="G577" t="inlineStr">
        <is>
          <t>HAGFORS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24000-2025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45796</v>
      </c>
      <c r="E578" s="1" t="n">
        <v>46234</v>
      </c>
      <c r="F578" t="inlineStr">
        <is>
          <t>VÄRMLANDS LÄN</t>
        </is>
      </c>
      <c r="G578" t="inlineStr">
        <is>
          <t>HAGFORS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45450</v>
      </c>
      <c r="E579" s="1" t="n">
        <v>46234</v>
      </c>
      <c r="F579" t="inlineStr">
        <is>
          <t>VÄRMLANDS LÄN</t>
        </is>
      </c>
      <c r="G579" t="inlineStr">
        <is>
          <t>HAGFORS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19583-2023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45050</v>
      </c>
      <c r="E580" s="1" t="n">
        <v>46234</v>
      </c>
      <c r="F580" t="inlineStr">
        <is>
          <t>VÄRMLANDS LÄN</t>
        </is>
      </c>
      <c r="G580" t="inlineStr">
        <is>
          <t>HAGFORS</t>
        </is>
      </c>
      <c r="H580" t="inlineStr">
        <is>
          <t>Kommuner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21724-2025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45783</v>
      </c>
      <c r="E581" s="1" t="n">
        <v>46234</v>
      </c>
      <c r="F581" t="inlineStr">
        <is>
          <t>VÄRMLANDS LÄN</t>
        </is>
      </c>
      <c r="G581" t="inlineStr">
        <is>
          <t>HAGFORS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32690-2025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45839</v>
      </c>
      <c r="E582" s="1" t="n">
        <v>46234</v>
      </c>
      <c r="F582" t="inlineStr">
        <is>
          <t>VÄRMLANDS LÄN</t>
        </is>
      </c>
      <c r="G582" t="inlineStr">
        <is>
          <t>HAGFORS</t>
        </is>
      </c>
      <c r="H582" t="inlineStr">
        <is>
          <t>Kyrkan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39029-2022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44817</v>
      </c>
      <c r="E583" s="1" t="n">
        <v>46234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45681</v>
      </c>
      <c r="E584" s="1" t="n">
        <v>46234</v>
      </c>
      <c r="F584" t="inlineStr">
        <is>
          <t>VÄRMLANDS LÄN</t>
        </is>
      </c>
      <c r="G584" t="inlineStr">
        <is>
          <t>HAGFORS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36764-2025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45873</v>
      </c>
      <c r="E585" s="1" t="n">
        <v>46234</v>
      </c>
      <c r="F585" t="inlineStr">
        <is>
          <t>VÄRMLANDS LÄN</t>
        </is>
      </c>
      <c r="G585" t="inlineStr">
        <is>
          <t>HAGFORS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15228-2024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45400</v>
      </c>
      <c r="E586" s="1" t="n">
        <v>46234</v>
      </c>
      <c r="F586" t="inlineStr">
        <is>
          <t>VÄRMLANDS LÄN</t>
        </is>
      </c>
      <c r="G586" t="inlineStr">
        <is>
          <t>HAGFORS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26615-2024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45469</v>
      </c>
      <c r="E587" s="1" t="n">
        <v>46234</v>
      </c>
      <c r="F587" t="inlineStr">
        <is>
          <t>VÄRMLANDS LÄN</t>
        </is>
      </c>
      <c r="G587" t="inlineStr">
        <is>
          <t>HAGFORS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34281-2025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45846</v>
      </c>
      <c r="E588" s="1" t="n">
        <v>46234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45373</v>
      </c>
      <c r="E589" s="1" t="n">
        <v>46234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46234</v>
      </c>
      <c r="F590" t="inlineStr">
        <is>
          <t>VÄRMLANDS LÄN</t>
        </is>
      </c>
      <c r="G590" t="inlineStr">
        <is>
          <t>HAGFORS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34572-2025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45847</v>
      </c>
      <c r="E591" s="1" t="n">
        <v>46234</v>
      </c>
      <c r="F591" t="inlineStr">
        <is>
          <t>VÄRMLANDS LÄN</t>
        </is>
      </c>
      <c r="G591" t="inlineStr">
        <is>
          <t>HAGFORS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68252-2021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44526</v>
      </c>
      <c r="E592" s="1" t="n">
        <v>46234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27410-2023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45097</v>
      </c>
      <c r="E593" s="1" t="n">
        <v>46234</v>
      </c>
      <c r="F593" t="inlineStr">
        <is>
          <t>VÄRMLANDS LÄN</t>
        </is>
      </c>
      <c r="G593" t="inlineStr">
        <is>
          <t>HAGFORS</t>
        </is>
      </c>
      <c r="H593" t="inlineStr">
        <is>
          <t>Kyrkan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30180-2023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45110</v>
      </c>
      <c r="E594" s="1" t="n">
        <v>46234</v>
      </c>
      <c r="F594" t="inlineStr">
        <is>
          <t>VÄRMLANDS LÄN</t>
        </is>
      </c>
      <c r="G594" t="inlineStr">
        <is>
          <t>HAGFORS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19391-2025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45769</v>
      </c>
      <c r="E595" s="1" t="n">
        <v>46234</v>
      </c>
      <c r="F595" t="inlineStr">
        <is>
          <t>VÄRMLANDS LÄN</t>
        </is>
      </c>
      <c r="G595" t="inlineStr">
        <is>
          <t>HAGFORS</t>
        </is>
      </c>
      <c r="I595" t="n">
        <v>6.2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20756-2026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46141</v>
      </c>
      <c r="E596" s="1" t="n">
        <v>46234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8.300000000000001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40601-2021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44420</v>
      </c>
      <c r="E597" s="1" t="n">
        <v>46234</v>
      </c>
      <c r="F597" t="inlineStr">
        <is>
          <t>VÄRMLANDS LÄN</t>
        </is>
      </c>
      <c r="G597" t="inlineStr">
        <is>
          <t>HAGFORS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58808-2022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44903</v>
      </c>
      <c r="E598" s="1" t="n">
        <v>46234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20594-2026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46140</v>
      </c>
      <c r="E599" s="1" t="n">
        <v>46234</v>
      </c>
      <c r="F599" t="inlineStr">
        <is>
          <t>VÄRMLANDS LÄN</t>
        </is>
      </c>
      <c r="G599" t="inlineStr">
        <is>
          <t>HAGFORS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20652-2022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44700</v>
      </c>
      <c r="E600" s="1" t="n">
        <v>46234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46234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45420</v>
      </c>
      <c r="E602" s="1" t="n">
        <v>46234</v>
      </c>
      <c r="F602" t="inlineStr">
        <is>
          <t>VÄRMLANDS LÄN</t>
        </is>
      </c>
      <c r="G602" t="inlineStr">
        <is>
          <t>HAGFORS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58132-2024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45632</v>
      </c>
      <c r="E603" s="1" t="n">
        <v>46234</v>
      </c>
      <c r="F603" t="inlineStr">
        <is>
          <t>VÄRMLANDS LÄN</t>
        </is>
      </c>
      <c r="G603" t="inlineStr">
        <is>
          <t>HAGFORS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45679</v>
      </c>
      <c r="E604" s="1" t="n">
        <v>46234</v>
      </c>
      <c r="F604" t="inlineStr">
        <is>
          <t>VÄRMLANDS LÄN</t>
        </is>
      </c>
      <c r="G604" t="inlineStr">
        <is>
          <t>HAGFORS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20759-2026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46141</v>
      </c>
      <c r="E605" s="1" t="n">
        <v>46234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61265-2022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44915</v>
      </c>
      <c r="E606" s="1" t="n">
        <v>46234</v>
      </c>
      <c r="F606" t="inlineStr">
        <is>
          <t>VÄRMLANDS LÄN</t>
        </is>
      </c>
      <c r="G606" t="inlineStr">
        <is>
          <t>HAGFORS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20564-2026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46140</v>
      </c>
      <c r="E607" s="1" t="n">
        <v>46234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31618-2025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45833</v>
      </c>
      <c r="E608" s="1" t="n">
        <v>46234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14897-2024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45398</v>
      </c>
      <c r="E609" s="1" t="n">
        <v>46234</v>
      </c>
      <c r="F609" t="inlineStr">
        <is>
          <t>VÄRMLANDS LÄN</t>
        </is>
      </c>
      <c r="G609" t="inlineStr">
        <is>
          <t>HAGFORS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20798-2026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46141</v>
      </c>
      <c r="E610" s="1" t="n">
        <v>46234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20752-2026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46141</v>
      </c>
      <c r="E611" s="1" t="n">
        <v>46234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4028-2025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45684</v>
      </c>
      <c r="E612" s="1" t="n">
        <v>46234</v>
      </c>
      <c r="F612" t="inlineStr">
        <is>
          <t>VÄRMLANDS LÄN</t>
        </is>
      </c>
      <c r="G612" t="inlineStr">
        <is>
          <t>HAGFORS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7087-2026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46058</v>
      </c>
      <c r="E613" s="1" t="n">
        <v>46234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46234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20729-2026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46141</v>
      </c>
      <c r="E615" s="1" t="n">
        <v>46234</v>
      </c>
      <c r="F615" t="inlineStr">
        <is>
          <t>VÄRMLANDS LÄN</t>
        </is>
      </c>
      <c r="G615" t="inlineStr">
        <is>
          <t>HAGFORS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56808-2023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45244</v>
      </c>
      <c r="E616" s="1" t="n">
        <v>46234</v>
      </c>
      <c r="F616" t="inlineStr">
        <is>
          <t>VÄRMLANDS LÄN</t>
        </is>
      </c>
      <c r="G616" t="inlineStr">
        <is>
          <t>HAGFORS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5749-2022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44596</v>
      </c>
      <c r="E617" s="1" t="n">
        <v>46234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20880-2026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46142</v>
      </c>
      <c r="E618" s="1" t="n">
        <v>46234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20870-2026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46142</v>
      </c>
      <c r="E619" s="1" t="n">
        <v>46234</v>
      </c>
      <c r="F619" t="inlineStr">
        <is>
          <t>VÄRMLANDS LÄN</t>
        </is>
      </c>
      <c r="G619" t="inlineStr">
        <is>
          <t>HAGFORS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46142</v>
      </c>
      <c r="E620" s="1" t="n">
        <v>46234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52378-2021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44465</v>
      </c>
      <c r="E621" s="1" t="n">
        <v>46234</v>
      </c>
      <c r="F621" t="inlineStr">
        <is>
          <t>VÄRMLANDS LÄN</t>
        </is>
      </c>
      <c r="G621" t="inlineStr">
        <is>
          <t>HAGFORS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20060-2023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45054</v>
      </c>
      <c r="E622" s="1" t="n">
        <v>46234</v>
      </c>
      <c r="F622" t="inlineStr">
        <is>
          <t>VÄRMLANDS LÄN</t>
        </is>
      </c>
      <c r="G622" t="inlineStr">
        <is>
          <t>HAGFORS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21203-2026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46146</v>
      </c>
      <c r="E623" s="1" t="n">
        <v>46234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49753-2023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45212</v>
      </c>
      <c r="E624" s="1" t="n">
        <v>46234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46234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27855-2026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46191</v>
      </c>
      <c r="E626" s="1" t="n">
        <v>46234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60991-2024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45645</v>
      </c>
      <c r="E627" s="1" t="n">
        <v>46234</v>
      </c>
      <c r="F627" t="inlineStr">
        <is>
          <t>VÄRMLANDS LÄN</t>
        </is>
      </c>
      <c r="G627" t="inlineStr">
        <is>
          <t>HAGFORS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56888-2023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45244</v>
      </c>
      <c r="E628" s="1" t="n">
        <v>46234</v>
      </c>
      <c r="F628" t="inlineStr">
        <is>
          <t>VÄRMLANDS LÄN</t>
        </is>
      </c>
      <c r="G628" t="inlineStr">
        <is>
          <t>HAGFORS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8304-2022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44610</v>
      </c>
      <c r="E629" s="1" t="n">
        <v>46234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28185-2026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46234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21879-2026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46150</v>
      </c>
      <c r="E631" s="1" t="n">
        <v>46234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21762-2026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46150</v>
      </c>
      <c r="E632" s="1" t="n">
        <v>46234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44950</v>
      </c>
      <c r="E633" s="1" t="n">
        <v>46234</v>
      </c>
      <c r="F633" t="inlineStr">
        <is>
          <t>VÄRMLANDS LÄN</t>
        </is>
      </c>
      <c r="G633" t="inlineStr">
        <is>
          <t>HAGFORS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44950</v>
      </c>
      <c r="E634" s="1" t="n">
        <v>46234</v>
      </c>
      <c r="F634" t="inlineStr">
        <is>
          <t>VÄRMLANDS LÄN</t>
        </is>
      </c>
      <c r="G634" t="inlineStr">
        <is>
          <t>HAGFORS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21776-2026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46150</v>
      </c>
      <c r="E635" s="1" t="n">
        <v>46234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33146-2024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45518</v>
      </c>
      <c r="E636" s="1" t="n">
        <v>46234</v>
      </c>
      <c r="F636" t="inlineStr">
        <is>
          <t>VÄRMLANDS LÄN</t>
        </is>
      </c>
      <c r="G636" t="inlineStr">
        <is>
          <t>HAGFORS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42223-2022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44830</v>
      </c>
      <c r="E637" s="1" t="n">
        <v>46234</v>
      </c>
      <c r="F637" t="inlineStr">
        <is>
          <t>VÄRMLANDS LÄN</t>
        </is>
      </c>
      <c r="G637" t="inlineStr">
        <is>
          <t>HAGFORS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8129-2024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45351</v>
      </c>
      <c r="E638" s="1" t="n">
        <v>46234</v>
      </c>
      <c r="F638" t="inlineStr">
        <is>
          <t>VÄRMLANDS LÄN</t>
        </is>
      </c>
      <c r="G638" t="inlineStr">
        <is>
          <t>HAGFORS</t>
        </is>
      </c>
      <c r="H638" t="inlineStr">
        <is>
          <t>Kyrkan</t>
        </is>
      </c>
      <c r="I638" t="n">
        <v>10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19125-2024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45428</v>
      </c>
      <c r="E639" s="1" t="n">
        <v>46234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46155</v>
      </c>
      <c r="E640" s="1" t="n">
        <v>46234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22588-2026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46155</v>
      </c>
      <c r="E641" s="1" t="n">
        <v>46234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6.7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46234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46234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11241-2024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45371</v>
      </c>
      <c r="E644" s="1" t="n">
        <v>46234</v>
      </c>
      <c r="F644" t="inlineStr">
        <is>
          <t>VÄRMLANDS LÄN</t>
        </is>
      </c>
      <c r="G644" t="inlineStr">
        <is>
          <t>HAGFORS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18585-2025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45763</v>
      </c>
      <c r="E645" s="1" t="n">
        <v>46234</v>
      </c>
      <c r="F645" t="inlineStr">
        <is>
          <t>VÄRMLANDS LÄN</t>
        </is>
      </c>
      <c r="G645" t="inlineStr">
        <is>
          <t>HAGFORS</t>
        </is>
      </c>
      <c r="H645" t="inlineStr">
        <is>
          <t>Kyrkan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46234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22556-2026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46234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47019-2023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45201</v>
      </c>
      <c r="E648" s="1" t="n">
        <v>46234</v>
      </c>
      <c r="F648" t="inlineStr">
        <is>
          <t>VÄRMLANDS LÄN</t>
        </is>
      </c>
      <c r="G648" t="inlineStr">
        <is>
          <t>HAGFORS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28748-2026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46234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28720-2026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46198</v>
      </c>
      <c r="E650" s="1" t="n">
        <v>46234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60664-2023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45259</v>
      </c>
      <c r="E651" s="1" t="n">
        <v>46234</v>
      </c>
      <c r="F651" t="inlineStr">
        <is>
          <t>VÄRMLANDS LÄN</t>
        </is>
      </c>
      <c r="G651" t="inlineStr">
        <is>
          <t>HAGFORS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35775-2024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45532</v>
      </c>
      <c r="E652" s="1" t="n">
        <v>46234</v>
      </c>
      <c r="F652" t="inlineStr">
        <is>
          <t>VÄRMLANDS LÄN</t>
        </is>
      </c>
      <c r="G652" t="inlineStr">
        <is>
          <t>HAGFORS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28788-2026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46198</v>
      </c>
      <c r="E653" s="1" t="n">
        <v>46234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9.699999999999999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46234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46203</v>
      </c>
      <c r="E655" s="1" t="n">
        <v>46234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29428-2026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46203</v>
      </c>
      <c r="E656" s="1" t="n">
        <v>46234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22911-2026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46160</v>
      </c>
      <c r="E657" s="1" t="n">
        <v>46234</v>
      </c>
      <c r="F657" t="inlineStr">
        <is>
          <t>VÄRMLANDS LÄN</t>
        </is>
      </c>
      <c r="G657" t="inlineStr">
        <is>
          <t>HAGFORS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50929-2023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45211</v>
      </c>
      <c r="E658" s="1" t="n">
        <v>46234</v>
      </c>
      <c r="F658" t="inlineStr">
        <is>
          <t>VÄRMLANDS LÄN</t>
        </is>
      </c>
      <c r="G658" t="inlineStr">
        <is>
          <t>HAGFORS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745-2026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46029</v>
      </c>
      <c r="E659" s="1" t="n">
        <v>46234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8.800000000000001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29102-2026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46200</v>
      </c>
      <c r="E660" s="1" t="n">
        <v>46234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57359-2022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44896</v>
      </c>
      <c r="E661" s="1" t="n">
        <v>46234</v>
      </c>
      <c r="F661" t="inlineStr">
        <is>
          <t>VÄRMLANDS LÄN</t>
        </is>
      </c>
      <c r="G661" t="inlineStr">
        <is>
          <t>HAGFORS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29103-2026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46200</v>
      </c>
      <c r="E662" s="1" t="n">
        <v>46234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46234</v>
      </c>
      <c r="F663" t="inlineStr">
        <is>
          <t>VÄRMLANDS LÄN</t>
        </is>
      </c>
      <c r="G663" t="inlineStr">
        <is>
          <t>HAGFORS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46203</v>
      </c>
      <c r="E664" s="1" t="n">
        <v>46234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46234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9.6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29422-2026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46203</v>
      </c>
      <c r="E666" s="1" t="n">
        <v>46234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50199-2022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44865</v>
      </c>
      <c r="E667" s="1" t="n">
        <v>46234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33.2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23016-2026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46234</v>
      </c>
      <c r="F668" t="inlineStr">
        <is>
          <t>VÄRMLANDS LÄN</t>
        </is>
      </c>
      <c r="G668" t="inlineStr">
        <is>
          <t>HAGFORS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46161</v>
      </c>
      <c r="E669" s="1" t="n">
        <v>46234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8.699999999999999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9288-2025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45714</v>
      </c>
      <c r="E670" s="1" t="n">
        <v>46234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22925-2026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46160</v>
      </c>
      <c r="E671" s="1" t="n">
        <v>46234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58084-2024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45632</v>
      </c>
      <c r="E672" s="1" t="n">
        <v>46234</v>
      </c>
      <c r="F672" t="inlineStr">
        <is>
          <t>VÄRMLANDS LÄN</t>
        </is>
      </c>
      <c r="G672" t="inlineStr">
        <is>
          <t>HAGFORS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19702-2022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44694</v>
      </c>
      <c r="E673" s="1" t="n">
        <v>46234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24.6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22917-2026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46160</v>
      </c>
      <c r="E674" s="1" t="n">
        <v>46234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31087-2024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45502</v>
      </c>
      <c r="E675" s="1" t="n">
        <v>46234</v>
      </c>
      <c r="F675" t="inlineStr">
        <is>
          <t>VÄRMLANDS LÄN</t>
        </is>
      </c>
      <c r="G675" t="inlineStr">
        <is>
          <t>HAGFORS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23549-2026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46163</v>
      </c>
      <c r="E676" s="1" t="n">
        <v>46234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22503-2024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45447</v>
      </c>
      <c r="E677" s="1" t="n">
        <v>46234</v>
      </c>
      <c r="F677" t="inlineStr">
        <is>
          <t>VÄRMLANDS LÄN</t>
        </is>
      </c>
      <c r="G677" t="inlineStr">
        <is>
          <t>HAGFORS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45324</v>
      </c>
      <c r="E678" s="1" t="n">
        <v>46234</v>
      </c>
      <c r="F678" t="inlineStr">
        <is>
          <t>VÄRMLANDS LÄN</t>
        </is>
      </c>
      <c r="G678" t="inlineStr">
        <is>
          <t>HAGFORS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920-2022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44571</v>
      </c>
      <c r="E679" s="1" t="n">
        <v>46234</v>
      </c>
      <c r="F679" t="inlineStr">
        <is>
          <t>VÄRMLANDS LÄN</t>
        </is>
      </c>
      <c r="G679" t="inlineStr">
        <is>
          <t>HAGFORS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22332-2024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45446</v>
      </c>
      <c r="E680" s="1" t="n">
        <v>46234</v>
      </c>
      <c r="F680" t="inlineStr">
        <is>
          <t>VÄRMLANDS LÄN</t>
        </is>
      </c>
      <c r="G680" t="inlineStr">
        <is>
          <t>HAGFORS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51015-2025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45947</v>
      </c>
      <c r="E681" s="1" t="n">
        <v>46234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8.9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12426-2024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45379</v>
      </c>
      <c r="E682" s="1" t="n">
        <v>46234</v>
      </c>
      <c r="F682" t="inlineStr">
        <is>
          <t>VÄRMLANDS LÄN</t>
        </is>
      </c>
      <c r="G682" t="inlineStr">
        <is>
          <t>HAGFORS</t>
        </is>
      </c>
      <c r="I682" t="n">
        <v>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8922-2025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45713</v>
      </c>
      <c r="E683" s="1" t="n">
        <v>46234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52016-2025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45952</v>
      </c>
      <c r="E684" s="1" t="n">
        <v>46234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9.800000000000001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52691-2025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45956</v>
      </c>
      <c r="E685" s="1" t="n">
        <v>46234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28.2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46234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45869</v>
      </c>
      <c r="E687" s="1" t="n">
        <v>46234</v>
      </c>
      <c r="F687" t="inlineStr">
        <is>
          <t>VÄRMLANDS LÄN</t>
        </is>
      </c>
      <c r="G687" t="inlineStr">
        <is>
          <t>HAGFORS</t>
        </is>
      </c>
      <c r="H687" t="inlineStr">
        <is>
          <t>Kyrkan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23525-2026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46234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46234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23269-2026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46162</v>
      </c>
      <c r="E690" s="1" t="n">
        <v>46234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17882-2025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45758</v>
      </c>
      <c r="E691" s="1" t="n">
        <v>46234</v>
      </c>
      <c r="F691" t="inlineStr">
        <is>
          <t>VÄRMLANDS LÄN</t>
        </is>
      </c>
      <c r="G691" t="inlineStr">
        <is>
          <t>HAGFORS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30153-2026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46234</v>
      </c>
      <c r="F692" t="inlineStr">
        <is>
          <t>VÄRMLANDS LÄN</t>
        </is>
      </c>
      <c r="G692" t="inlineStr">
        <is>
          <t>HAGFORS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7332-2025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45703</v>
      </c>
      <c r="E693" s="1" t="n">
        <v>46234</v>
      </c>
      <c r="F693" t="inlineStr">
        <is>
          <t>VÄRMLANDS LÄN</t>
        </is>
      </c>
      <c r="G693" t="inlineStr">
        <is>
          <t>HAGFORS</t>
        </is>
      </c>
      <c r="H693" t="inlineStr">
        <is>
          <t>Kyrkan</t>
        </is>
      </c>
      <c r="I693" t="n">
        <v>15.9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17329-2024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45414</v>
      </c>
      <c r="E694" s="1" t="n">
        <v>46234</v>
      </c>
      <c r="F694" t="inlineStr">
        <is>
          <t>VÄRMLANDS LÄN</t>
        </is>
      </c>
      <c r="G694" t="inlineStr">
        <is>
          <t>HAGFORS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3980-2025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45684</v>
      </c>
      <c r="E695" s="1" t="n">
        <v>46234</v>
      </c>
      <c r="F695" t="inlineStr">
        <is>
          <t>VÄRMLANDS LÄN</t>
        </is>
      </c>
      <c r="G695" t="inlineStr">
        <is>
          <t>HAGFORS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52924-2023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45226</v>
      </c>
      <c r="E696" s="1" t="n">
        <v>46234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30436-2026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46234</v>
      </c>
      <c r="F697" t="inlineStr">
        <is>
          <t>VÄRMLANDS LÄN</t>
        </is>
      </c>
      <c r="G697" t="inlineStr">
        <is>
          <t>HAGFORS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46209</v>
      </c>
      <c r="E698" s="1" t="n">
        <v>46234</v>
      </c>
      <c r="F698" t="inlineStr">
        <is>
          <t>VÄRMLANDS LÄN</t>
        </is>
      </c>
      <c r="G698" t="inlineStr">
        <is>
          <t>HAGFORS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23728-2026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46164</v>
      </c>
      <c r="E699" s="1" t="n">
        <v>46234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46234</v>
      </c>
      <c r="F700" t="inlineStr">
        <is>
          <t>VÄRMLANDS LÄN</t>
        </is>
      </c>
      <c r="G700" t="inlineStr">
        <is>
          <t>HAGFORS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30433-2026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46234</v>
      </c>
      <c r="F701" t="inlineStr">
        <is>
          <t>VÄRMLANDS LÄN</t>
        </is>
      </c>
      <c r="G701" t="inlineStr">
        <is>
          <t>HAGFORS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1710-2025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45671</v>
      </c>
      <c r="E702" s="1" t="n">
        <v>46234</v>
      </c>
      <c r="F702" t="inlineStr">
        <is>
          <t>VÄRMLANDS LÄN</t>
        </is>
      </c>
      <c r="G702" t="inlineStr">
        <is>
          <t>HAGFORS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23678-2026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46164</v>
      </c>
      <c r="E703" s="1" t="n">
        <v>46234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8.300000000000001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48276-2024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45590</v>
      </c>
      <c r="E704" s="1" t="n">
        <v>46234</v>
      </c>
      <c r="F704" t="inlineStr">
        <is>
          <t>VÄRMLANDS LÄN</t>
        </is>
      </c>
      <c r="G704" t="inlineStr">
        <is>
          <t>HAGFORS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54751-2022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44883</v>
      </c>
      <c r="E705" s="1" t="n">
        <v>46234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29950-2026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46205</v>
      </c>
      <c r="E706" s="1" t="n">
        <v>46234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7.4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32149-2023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45107</v>
      </c>
      <c r="E707" s="1" t="n">
        <v>46234</v>
      </c>
      <c r="F707" t="inlineStr">
        <is>
          <t>VÄRMLANDS LÄN</t>
        </is>
      </c>
      <c r="G707" t="inlineStr">
        <is>
          <t>HAGFORS</t>
        </is>
      </c>
      <c r="I707" t="n">
        <v>9.1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30635-2025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46234</v>
      </c>
      <c r="F708" t="inlineStr">
        <is>
          <t>VÄRMLANDS LÄN</t>
        </is>
      </c>
      <c r="G708" t="inlineStr">
        <is>
          <t>HAGFORS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30642-2025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45831</v>
      </c>
      <c r="E709" s="1" t="n">
        <v>46234</v>
      </c>
      <c r="F709" t="inlineStr">
        <is>
          <t>VÄRMLANDS LÄN</t>
        </is>
      </c>
      <c r="G709" t="inlineStr">
        <is>
          <t>HAGFORS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30141-2026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46206</v>
      </c>
      <c r="E710" s="1" t="n">
        <v>46234</v>
      </c>
      <c r="F710" t="inlineStr">
        <is>
          <t>VÄRMLANDS LÄN</t>
        </is>
      </c>
      <c r="G710" t="inlineStr">
        <is>
          <t>HAGFORS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52494-2024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45609</v>
      </c>
      <c r="E711" s="1" t="n">
        <v>46234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46211</v>
      </c>
      <c r="E712" s="1" t="n">
        <v>46234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5338-2025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45692</v>
      </c>
      <c r="E713" s="1" t="n">
        <v>46234</v>
      </c>
      <c r="F713" t="inlineStr">
        <is>
          <t>VÄRMLANDS LÄN</t>
        </is>
      </c>
      <c r="G713" t="inlineStr">
        <is>
          <t>HAGFORS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10562-2024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45366</v>
      </c>
      <c r="E714" s="1" t="n">
        <v>46234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7.1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44595</v>
      </c>
      <c r="E715" s="1" t="n">
        <v>46234</v>
      </c>
      <c r="F715" t="inlineStr">
        <is>
          <t>VÄRMLANDS LÄN</t>
        </is>
      </c>
      <c r="G715" t="inlineStr">
        <is>
          <t>HAGFORS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24238-2026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46234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8.1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24240-2026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46234</v>
      </c>
      <c r="F717" t="inlineStr">
        <is>
          <t>VÄRMLANDS LÄN</t>
        </is>
      </c>
      <c r="G717" t="inlineStr">
        <is>
          <t>HAGFORS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60167-2023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45258</v>
      </c>
      <c r="E718" s="1" t="n">
        <v>46234</v>
      </c>
      <c r="F718" t="inlineStr">
        <is>
          <t>VÄRMLANDS LÄN</t>
        </is>
      </c>
      <c r="G718" t="inlineStr">
        <is>
          <t>HAGFORS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60178-2023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45258</v>
      </c>
      <c r="E719" s="1" t="n">
        <v>46234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4748-2024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45328</v>
      </c>
      <c r="E720" s="1" t="n">
        <v>46234</v>
      </c>
      <c r="F720" t="inlineStr">
        <is>
          <t>VÄRMLANDS LÄN</t>
        </is>
      </c>
      <c r="G720" t="inlineStr">
        <is>
          <t>HAGFORS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16525-2023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45029</v>
      </c>
      <c r="E721" s="1" t="n">
        <v>46234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41603-2023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46234</v>
      </c>
      <c r="F722" t="inlineStr">
        <is>
          <t>VÄRMLANDS LÄN</t>
        </is>
      </c>
      <c r="G722" t="inlineStr">
        <is>
          <t>HAGFORS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30914-2026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46213</v>
      </c>
      <c r="E723" s="1" t="n">
        <v>46234</v>
      </c>
      <c r="F723" t="inlineStr">
        <is>
          <t>VÄRMLANDS LÄN</t>
        </is>
      </c>
      <c r="G723" t="inlineStr">
        <is>
          <t>HAGFORS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12673-2024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45384</v>
      </c>
      <c r="E724" s="1" t="n">
        <v>46234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24625-2026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46171</v>
      </c>
      <c r="E725" s="1" t="n">
        <v>46234</v>
      </c>
      <c r="F725" t="inlineStr">
        <is>
          <t>VÄRMLANDS LÄN</t>
        </is>
      </c>
      <c r="G725" t="inlineStr">
        <is>
          <t>HAGFORS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11367-2025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45726</v>
      </c>
      <c r="E726" s="1" t="n">
        <v>46234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56895-2023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45244</v>
      </c>
      <c r="E727" s="1" t="n">
        <v>46234</v>
      </c>
      <c r="F727" t="inlineStr">
        <is>
          <t>VÄRMLANDS LÄN</t>
        </is>
      </c>
      <c r="G727" t="inlineStr">
        <is>
          <t>HAGFORS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2371-2025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45673</v>
      </c>
      <c r="E728" s="1" t="n">
        <v>46234</v>
      </c>
      <c r="F728" t="inlineStr">
        <is>
          <t>VÄRMLANDS LÄN</t>
        </is>
      </c>
      <c r="G728" t="inlineStr">
        <is>
          <t>HAGFORS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45562</v>
      </c>
      <c r="E729" s="1" t="n">
        <v>46234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24862-2026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46174</v>
      </c>
      <c r="E730" s="1" t="n">
        <v>46234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9.699999999999999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24677-2026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46171</v>
      </c>
      <c r="E731" s="1" t="n">
        <v>46234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24761-2026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46171</v>
      </c>
      <c r="E732" s="1" t="n">
        <v>46234</v>
      </c>
      <c r="F732" t="inlineStr">
        <is>
          <t>VÄRMLANDS LÄN</t>
        </is>
      </c>
      <c r="G732" t="inlineStr">
        <is>
          <t>HAGFORS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40835-2023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45172</v>
      </c>
      <c r="E733" s="1" t="n">
        <v>46234</v>
      </c>
      <c r="F733" t="inlineStr">
        <is>
          <t>VÄRMLANDS LÄN</t>
        </is>
      </c>
      <c r="G733" t="inlineStr">
        <is>
          <t>HAGFORS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47028-2023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45201</v>
      </c>
      <c r="E734" s="1" t="n">
        <v>46234</v>
      </c>
      <c r="F734" t="inlineStr">
        <is>
          <t>VÄRMLANDS LÄN</t>
        </is>
      </c>
      <c r="G734" t="inlineStr">
        <is>
          <t>HAGFORS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30520-2024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45492</v>
      </c>
      <c r="E735" s="1" t="n">
        <v>46234</v>
      </c>
      <c r="F735" t="inlineStr">
        <is>
          <t>VÄRMLANDS LÄN</t>
        </is>
      </c>
      <c r="G735" t="inlineStr">
        <is>
          <t>HAGFORS</t>
        </is>
      </c>
      <c r="H735" t="inlineStr">
        <is>
          <t>Kyrkan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24628-2026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46171</v>
      </c>
      <c r="E736" s="1" t="n">
        <v>46234</v>
      </c>
      <c r="F736" t="inlineStr">
        <is>
          <t>VÄRMLANDS LÄN</t>
        </is>
      </c>
      <c r="G736" t="inlineStr">
        <is>
          <t>HAGFORS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33399-2024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45519</v>
      </c>
      <c r="E737" s="1" t="n">
        <v>46234</v>
      </c>
      <c r="F737" t="inlineStr">
        <is>
          <t>VÄRMLANDS LÄN</t>
        </is>
      </c>
      <c r="G737" t="inlineStr">
        <is>
          <t>HAGFORS</t>
        </is>
      </c>
      <c r="I737" t="n">
        <v>8.4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10236-2022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44622</v>
      </c>
      <c r="E738" s="1" t="n">
        <v>46234</v>
      </c>
      <c r="F738" t="inlineStr">
        <is>
          <t>VÄRMLANDS LÄN</t>
        </is>
      </c>
      <c r="G738" t="inlineStr">
        <is>
          <t>HAGFORS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24778-2026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46171</v>
      </c>
      <c r="E739" s="1" t="n">
        <v>46234</v>
      </c>
      <c r="F739" t="inlineStr">
        <is>
          <t>VÄRMLANDS LÄN</t>
        </is>
      </c>
      <c r="G739" t="inlineStr">
        <is>
          <t>HAGFORS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24699-2026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46171</v>
      </c>
      <c r="E740" s="1" t="n">
        <v>46234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46792-2022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44851</v>
      </c>
      <c r="E741" s="1" t="n">
        <v>46234</v>
      </c>
      <c r="F741" t="inlineStr">
        <is>
          <t>VÄRMLANDS LÄN</t>
        </is>
      </c>
      <c r="G741" t="inlineStr">
        <is>
          <t>HAGFORS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32033-2024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45510</v>
      </c>
      <c r="E742" s="1" t="n">
        <v>46234</v>
      </c>
      <c r="F742" t="inlineStr">
        <is>
          <t>VÄRMLANDS LÄN</t>
        </is>
      </c>
      <c r="G742" t="inlineStr">
        <is>
          <t>HAGFORS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54744-2024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45618</v>
      </c>
      <c r="E743" s="1" t="n">
        <v>46234</v>
      </c>
      <c r="F743" t="inlineStr">
        <is>
          <t>VÄRMLANDS LÄN</t>
        </is>
      </c>
      <c r="G743" t="inlineStr">
        <is>
          <t>HAGFORS</t>
        </is>
      </c>
      <c r="H743" t="inlineStr">
        <is>
          <t>Kyrkan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24626-2026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46171</v>
      </c>
      <c r="E744" s="1" t="n">
        <v>46234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24713-2026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46171</v>
      </c>
      <c r="E745" s="1" t="n">
        <v>46234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39640-2022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44817</v>
      </c>
      <c r="E746" s="1" t="n">
        <v>46234</v>
      </c>
      <c r="F746" t="inlineStr">
        <is>
          <t>VÄRMLANDS LÄN</t>
        </is>
      </c>
      <c r="G746" t="inlineStr">
        <is>
          <t>HAGFORS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1931-2024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45308</v>
      </c>
      <c r="E747" s="1" t="n">
        <v>46234</v>
      </c>
      <c r="F747" t="inlineStr">
        <is>
          <t>VÄRMLANDS LÄN</t>
        </is>
      </c>
      <c r="G747" t="inlineStr">
        <is>
          <t>HAGFORS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57159-2024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45629</v>
      </c>
      <c r="E748" s="1" t="n">
        <v>46234</v>
      </c>
      <c r="F748" t="inlineStr">
        <is>
          <t>VÄRMLANDS LÄN</t>
        </is>
      </c>
      <c r="G748" t="inlineStr">
        <is>
          <t>HAGFORS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34404-2023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45132</v>
      </c>
      <c r="E749" s="1" t="n">
        <v>46234</v>
      </c>
      <c r="F749" t="inlineStr">
        <is>
          <t>VÄRMLANDS LÄN</t>
        </is>
      </c>
      <c r="G749" t="inlineStr">
        <is>
          <t>HAGFORS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11160-2025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45723</v>
      </c>
      <c r="E750" s="1" t="n">
        <v>46234</v>
      </c>
      <c r="F750" t="inlineStr">
        <is>
          <t>VÄRMLANDS LÄN</t>
        </is>
      </c>
      <c r="G750" t="inlineStr">
        <is>
          <t>HAGFORS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43998-2024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45572</v>
      </c>
      <c r="E751" s="1" t="n">
        <v>46234</v>
      </c>
      <c r="F751" t="inlineStr">
        <is>
          <t>VÄRMLANDS LÄN</t>
        </is>
      </c>
      <c r="G751" t="inlineStr">
        <is>
          <t>HAGFORS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13282-2024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45386</v>
      </c>
      <c r="E752" s="1" t="n">
        <v>46234</v>
      </c>
      <c r="F752" t="inlineStr">
        <is>
          <t>VÄRMLANDS LÄN</t>
        </is>
      </c>
      <c r="G752" t="inlineStr">
        <is>
          <t>HAGFORS</t>
        </is>
      </c>
      <c r="H752" t="inlineStr">
        <is>
          <t>Kommuner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25276-2026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46234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25583-2026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46177</v>
      </c>
      <c r="E754" s="1" t="n">
        <v>46234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44728-2023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45190</v>
      </c>
      <c r="E755" s="1" t="n">
        <v>46234</v>
      </c>
      <c r="F755" t="inlineStr">
        <is>
          <t>VÄRMLANDS LÄN</t>
        </is>
      </c>
      <c r="G755" t="inlineStr">
        <is>
          <t>HAGFORS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42168-2024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45562</v>
      </c>
      <c r="E756" s="1" t="n">
        <v>46234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42170-2024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45562</v>
      </c>
      <c r="E757" s="1" t="n">
        <v>46234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42171-2024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46234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42243-2024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45562</v>
      </c>
      <c r="E759" s="1" t="n">
        <v>46234</v>
      </c>
      <c r="F759" t="inlineStr">
        <is>
          <t>VÄRMLANDS LÄN</t>
        </is>
      </c>
      <c r="G759" t="inlineStr">
        <is>
          <t>HAGFORS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25890-2026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46234</v>
      </c>
      <c r="F760" t="inlineStr">
        <is>
          <t>VÄRMLANDS LÄN</t>
        </is>
      </c>
      <c r="G760" t="inlineStr">
        <is>
          <t>HAGFORS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6980-2022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44603</v>
      </c>
      <c r="E761" s="1" t="n">
        <v>46234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36013-2023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45149</v>
      </c>
      <c r="E762" s="1" t="n">
        <v>46234</v>
      </c>
      <c r="F762" t="inlineStr">
        <is>
          <t>VÄRMLANDS LÄN</t>
        </is>
      </c>
      <c r="G762" t="inlineStr">
        <is>
          <t>HAGFORS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61311-2023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45264</v>
      </c>
      <c r="E763" s="1" t="n">
        <v>46234</v>
      </c>
      <c r="F763" t="inlineStr">
        <is>
          <t>VÄRMLANDS LÄN</t>
        </is>
      </c>
      <c r="G763" t="inlineStr">
        <is>
          <t>HAGFORS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61315-2023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45264</v>
      </c>
      <c r="E764" s="1" t="n">
        <v>46234</v>
      </c>
      <c r="F764" t="inlineStr">
        <is>
          <t>VÄRMLANDS LÄN</t>
        </is>
      </c>
      <c r="G764" t="inlineStr">
        <is>
          <t>HAGFORS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18907-2025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45764</v>
      </c>
      <c r="E765" s="1" t="n">
        <v>46234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25589-2026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46177</v>
      </c>
      <c r="E766" s="1" t="n">
        <v>46234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25560-2026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46177</v>
      </c>
      <c r="E767" s="1" t="n">
        <v>46234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26342-2026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46182</v>
      </c>
      <c r="E768" s="1" t="n">
        <v>46234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36.8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26012-2026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46181</v>
      </c>
      <c r="E769" s="1" t="n">
        <v>46234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26019-2026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46181</v>
      </c>
      <c r="E770" s="1" t="n">
        <v>46234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26265-2026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46182</v>
      </c>
      <c r="E771" s="1" t="n">
        <v>46234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26350-2026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46182</v>
      </c>
      <c r="E772" s="1" t="n">
        <v>46234</v>
      </c>
      <c r="F772" t="inlineStr">
        <is>
          <t>VÄRMLANDS LÄN</t>
        </is>
      </c>
      <c r="G772" t="inlineStr">
        <is>
          <t>HAGFORS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26357-2026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46182</v>
      </c>
      <c r="E773" s="1" t="n">
        <v>46234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33.4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31672-2026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46225</v>
      </c>
      <c r="E774" s="1" t="n">
        <v>46234</v>
      </c>
      <c r="F774" t="inlineStr">
        <is>
          <t>VÄRMLANDS LÄN</t>
        </is>
      </c>
      <c r="G774" t="inlineStr">
        <is>
          <t>HAGFORS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26740-2026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46234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9.5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31690-2026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46226</v>
      </c>
      <c r="E776" s="1" t="n">
        <v>46234</v>
      </c>
      <c r="F776" t="inlineStr">
        <is>
          <t>VÄRMLANDS LÄN</t>
        </is>
      </c>
      <c r="G776" t="inlineStr">
        <is>
          <t>HAGFORS</t>
        </is>
      </c>
      <c r="I776" t="n">
        <v>4.4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31691-2026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46226</v>
      </c>
      <c r="E777" s="1" t="n">
        <v>46234</v>
      </c>
      <c r="F777" t="inlineStr">
        <is>
          <t>VÄRMLANDS LÄN</t>
        </is>
      </c>
      <c r="G777" t="inlineStr">
        <is>
          <t>HAGFORS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31671-2026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46225</v>
      </c>
      <c r="E778" s="1" t="n">
        <v>46234</v>
      </c>
      <c r="F778" t="inlineStr">
        <is>
          <t>VÄRMLANDS LÄN</t>
        </is>
      </c>
      <c r="G778" t="inlineStr">
        <is>
          <t>HAGFORS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26660-2026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46234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26612-2026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46234</v>
      </c>
      <c r="F780" t="inlineStr">
        <is>
          <t>VÄRMLANDS LÄN</t>
        </is>
      </c>
      <c r="G780" t="inlineStr">
        <is>
          <t>HAGFORS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27280-2026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46188</v>
      </c>
      <c r="E781" s="1" t="n">
        <v>46234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26859-2026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46234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27210-2026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46188</v>
      </c>
      <c r="E783" s="1" t="n">
        <v>46234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17.2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27306-2026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46188</v>
      </c>
      <c r="E784" s="1" t="n">
        <v>46234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27268-2026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46234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26864-2026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46234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26846-2026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46234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18.2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26858-2026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46185</v>
      </c>
      <c r="E788" s="1" t="n">
        <v>46234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20.5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46191</v>
      </c>
      <c r="E789" s="1" t="n">
        <v>46234</v>
      </c>
      <c r="F789" t="inlineStr">
        <is>
          <t>VÄRMLANDS LÄN</t>
        </is>
      </c>
      <c r="G789" t="inlineStr">
        <is>
          <t>HAGFORS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46233</v>
      </c>
      <c r="E790" s="1" t="n">
        <v>46234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27472-2026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46189</v>
      </c>
      <c r="E791" s="1" t="n">
        <v>46234</v>
      </c>
      <c r="F791" t="inlineStr">
        <is>
          <t>VÄRMLANDS LÄN</t>
        </is>
      </c>
      <c r="G791" t="inlineStr">
        <is>
          <t>HAGFORS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32036-2026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46233</v>
      </c>
      <c r="E792" s="1" t="n">
        <v>46234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8.300000000000001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27799-2026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46191</v>
      </c>
      <c r="E793" s="1" t="n">
        <v>46234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27394-2026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46189</v>
      </c>
      <c r="E794" s="1" t="n">
        <v>46234</v>
      </c>
      <c r="F794" t="inlineStr">
        <is>
          <t>VÄRMLANDS LÄN</t>
        </is>
      </c>
      <c r="G794" t="inlineStr">
        <is>
          <t>HAGFORS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2225-2020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44127</v>
      </c>
      <c r="E795" s="1" t="n">
        <v>46234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2050-2022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44671</v>
      </c>
      <c r="E796" s="1" t="n">
        <v>46234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4419-2023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46234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35.6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4420-2023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46234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937-2022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46234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59.4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4426-2023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46234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9.699999999999999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5512-2022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44834</v>
      </c>
      <c r="E801" s="1" t="n">
        <v>46234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29.9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931-2022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46234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49.5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4415-2023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46234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9.199999999999999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262-2022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44578</v>
      </c>
      <c r="E804" s="1" t="n">
        <v>46234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78.90000000000001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6970-2022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44901</v>
      </c>
      <c r="E805" s="1" t="n">
        <v>46234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4408-2023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46234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6968-2022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46234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19.3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4423-2023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46234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4418-2023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46234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19.1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44606</v>
      </c>
      <c r="E810" s="1" t="n">
        <v>46234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651-2024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45356</v>
      </c>
      <c r="E811" s="1" t="n">
        <v>46234</v>
      </c>
      <c r="F811" t="inlineStr">
        <is>
          <t>VÄRMLANDS LÄN</t>
        </is>
      </c>
      <c r="G811" t="inlineStr">
        <is>
          <t>HAGFORS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913-2022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46234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4145-2023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46234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6967-2022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44901</v>
      </c>
      <c r="E814" s="1" t="n">
        <v>46234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89-2025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45316</v>
      </c>
      <c r="E815" s="1" t="n">
        <v>46234</v>
      </c>
      <c r="F815" t="inlineStr">
        <is>
          <t>VÄRMLANDS LÄN</t>
        </is>
      </c>
      <c r="G815" t="inlineStr">
        <is>
          <t>HAGFORS</t>
        </is>
      </c>
      <c r="I815" t="n">
        <v>6.3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6969-2022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46234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220-2025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45680</v>
      </c>
      <c r="E817" s="1" t="n">
        <v>46234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898-2022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44606</v>
      </c>
      <c r="E818" s="1" t="n">
        <v>46234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4150-2023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46234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4410-2023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46234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900-2022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44606</v>
      </c>
      <c r="E821" s="1" t="n">
        <v>46234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914-2022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46234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4409-2023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46234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4155-2023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46234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46234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46234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46234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4143-2023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46234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4407-2023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46234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6965-2022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46234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45716</v>
      </c>
      <c r="E831" s="1" t="n">
        <v>46234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108-2026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46037</v>
      </c>
      <c r="E832" s="1" t="n">
        <v>46234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204.4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46036</v>
      </c>
      <c r="E833" s="1" t="n">
        <v>46234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57.9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46013</v>
      </c>
      <c r="E834" s="1" t="n">
        <v>46234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382-2025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45691</v>
      </c>
      <c r="E835" s="1" t="n">
        <v>46234</v>
      </c>
      <c r="F835" t="inlineStr">
        <is>
          <t>VÄRMLANDS LÄN</t>
        </is>
      </c>
      <c r="G835" t="inlineStr">
        <is>
          <t>HAGFORS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2026-07-31T01:50:28Z</dcterms:created>
  <dcterms:modified xmlns:dcterms="http://purl.org/dc/terms/" xmlns:xsi="http://www.w3.org/2001/XMLSchema-instance" xsi:type="dcterms:W3CDTF">2026-07-31T01:50:28Z</dcterms:modified>
</cp:coreProperties>
</file>