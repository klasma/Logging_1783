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46300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46300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46300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46300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46300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46300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46300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46300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46300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46300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46300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46300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46300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46300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46300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46300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46300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46300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46300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46300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46300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46300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46300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26624-2025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45810</v>
      </c>
      <c r="E40" s="1" t="n">
        <v>46300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HYPERLINK("https://klasma.github.io/Logging_1783/artfynd/A 26624-2025 artfynd.xlsx", "A 26624-2025")</f>
        <v/>
      </c>
      <c r="X40">
        <f>HYPERLINK("https://klasma.github.io/Logging_1783/kartor/A 26624-2025 karta.png", "A 26624-2025")</f>
        <v/>
      </c>
      <c r="Y40">
        <f>HYPERLINK("https://klasma.github.io/Logging_1783/kartor_geotiff/A 26624-2025 georefererad karta.tif", "A 26624-2025")</f>
        <v/>
      </c>
      <c r="AA40">
        <f>HYPERLINK("https://klasma.github.io/Logging_1783/klagomål/A 26624-2025 FSC-klagomål.docx", "A 26624-2025")</f>
        <v/>
      </c>
      <c r="AB40">
        <f>HYPERLINK("https://klasma.github.io/Logging_1783/klagomålsmail/A 26624-2025 FSC-klagomål mail.docx", "A 26624-2025")</f>
        <v/>
      </c>
      <c r="AC40">
        <f>HYPERLINK("https://klasma.github.io/Logging_1783/tillsyn/A 26624-2025 tillsynsbegäran.docx", "A 26624-2025")</f>
        <v/>
      </c>
      <c r="AD40">
        <f>HYPERLINK("https://klasma.github.io/Logging_1783/tillsynsmail/A 26624-2025 tillsynsbegäran mail.docx", "A 26624-2025")</f>
        <v/>
      </c>
    </row>
    <row r="41" ht="15" customHeight="1">
      <c r="A41" t="inlineStr">
        <is>
          <t>A 21309-2023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46300</v>
      </c>
      <c r="F41" t="inlineStr">
        <is>
          <t>VÄRMLANDS LÄN</t>
        </is>
      </c>
      <c r="G41" t="inlineStr">
        <is>
          <t>HAGFORS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Kattfot</t>
        </is>
      </c>
      <c r="W41">
        <f>HYPERLINK("https://klasma.github.io/Logging_1783/artfynd/A 21309-2023 artfynd.xlsx", "A 21309-2023")</f>
        <v/>
      </c>
      <c r="X41">
        <f>HYPERLINK("https://klasma.github.io/Logging_1783/kartor/A 21309-2023 karta.png", "A 21309-2023")</f>
        <v/>
      </c>
      <c r="Y41">
        <f>HYPERLINK("https://klasma.github.io/Logging_1783/kartor_geotiff/A 21309-2023 georefererad karta.tif", "A 21309-2023")</f>
        <v/>
      </c>
      <c r="AA41">
        <f>HYPERLINK("https://klasma.github.io/Logging_1783/klagomål/A 21309-2023 FSC-klagomål.docx", "A 21309-2023")</f>
        <v/>
      </c>
      <c r="AB41">
        <f>HYPERLINK("https://klasma.github.io/Logging_1783/klagomålsmail/A 21309-2023 FSC-klagomål mail.docx", "A 21309-2023")</f>
        <v/>
      </c>
      <c r="AC41">
        <f>HYPERLINK("https://klasma.github.io/Logging_1783/tillsyn/A 21309-2023 tillsynsbegäran.docx", "A 21309-2023")</f>
        <v/>
      </c>
      <c r="AD41">
        <f>HYPERLINK("https://klasma.github.io/Logging_1783/tillsynsmail/A 21309-2023 tillsynsbegäran mail.docx", "A 21309-2023")</f>
        <v/>
      </c>
    </row>
    <row r="42" ht="15" customHeight="1">
      <c r="A42" t="inlineStr">
        <is>
          <t>A 12445-2026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46300</v>
      </c>
      <c r="F42" t="inlineStr">
        <is>
          <t>VÄRMLANDS LÄN</t>
        </is>
      </c>
      <c r="G42" t="inlineStr">
        <is>
          <t>HAGFORS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12445-2026 artfynd.xlsx", "A 12445-2026")</f>
        <v/>
      </c>
      <c r="X42">
        <f>HYPERLINK("https://klasma.github.io/Logging_1783/kartor/A 12445-2026 karta.png", "A 12445-2026")</f>
        <v/>
      </c>
      <c r="Y42">
        <f>HYPERLINK("https://klasma.github.io/Logging_1783/kartor_geotiff/A 12445-2026 georefererad karta.tif", "A 12445-2026")</f>
        <v/>
      </c>
      <c r="AA42">
        <f>HYPERLINK("https://klasma.github.io/Logging_1783/klagomål/A 12445-2026 FSC-klagomål.docx", "A 12445-2026")</f>
        <v/>
      </c>
      <c r="AB42">
        <f>HYPERLINK("https://klasma.github.io/Logging_1783/klagomålsmail/A 12445-2026 FSC-klagomål mail.docx", "A 12445-2026")</f>
        <v/>
      </c>
      <c r="AC42">
        <f>HYPERLINK("https://klasma.github.io/Logging_1783/tillsyn/A 12445-2026 tillsynsbegäran.docx", "A 12445-2026")</f>
        <v/>
      </c>
      <c r="AD42">
        <f>HYPERLINK("https://klasma.github.io/Logging_1783/tillsynsmail/A 12445-2026 tillsynsbegäran mail.docx", "A 12445-2026")</f>
        <v/>
      </c>
      <c r="AE42">
        <f>HYPERLINK("https://klasma.github.io/Logging_1783/fåglar/A 12445-2026 prioriterade fågelarter.docx", "A 12445-2026")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46300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51194-2022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46300</v>
      </c>
      <c r="F44" t="inlineStr">
        <is>
          <t>VÄRMLANDS LÄN</t>
        </is>
      </c>
      <c r="G44" t="inlineStr">
        <is>
          <t>HAGFORS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HYPERLINK("https://klasma.github.io/Logging_1783/artfynd/A 51194-2022 artfynd.xlsx", "A 51194-2022")</f>
        <v/>
      </c>
      <c r="X44">
        <f>HYPERLINK("https://klasma.github.io/Logging_1783/kartor/A 51194-2022 karta.png", "A 51194-2022")</f>
        <v/>
      </c>
      <c r="Y44">
        <f>HYPERLINK("https://klasma.github.io/Logging_1783/kartor_geotiff/A 51194-2022 georefererad karta.tif", "A 51194-2022")</f>
        <v/>
      </c>
      <c r="AA44">
        <f>HYPERLINK("https://klasma.github.io/Logging_1783/klagomål/A 51194-2022 FSC-klagomål.docx", "A 51194-2022")</f>
        <v/>
      </c>
      <c r="AB44">
        <f>HYPERLINK("https://klasma.github.io/Logging_1783/klagomålsmail/A 51194-2022 FSC-klagomål mail.docx", "A 51194-2022")</f>
        <v/>
      </c>
      <c r="AC44">
        <f>HYPERLINK("https://klasma.github.io/Logging_1783/tillsyn/A 51194-2022 tillsynsbegäran.docx", "A 51194-2022")</f>
        <v/>
      </c>
      <c r="AD44">
        <f>HYPERLINK("https://klasma.github.io/Logging_1783/tillsynsmail/A 51194-2022 tillsynsbegäran mail.docx", "A 51194-2022")</f>
        <v/>
      </c>
    </row>
    <row r="45" ht="15" customHeight="1">
      <c r="A45" t="inlineStr">
        <is>
          <t>A 19362-2026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46133</v>
      </c>
      <c r="E45" s="1" t="n">
        <v>46300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19362-2026 artfynd.xlsx", "A 19362-2026")</f>
        <v/>
      </c>
      <c r="X45">
        <f>HYPERLINK("https://klasma.github.io/Logging_1783/kartor/A 19362-2026 karta.png", "A 19362-2026")</f>
        <v/>
      </c>
      <c r="Y45">
        <f>HYPERLINK("https://klasma.github.io/Logging_1783/kartor_geotiff/A 19362-2026 georefererad karta.tif", "A 19362-2026")</f>
        <v/>
      </c>
      <c r="AA45">
        <f>HYPERLINK("https://klasma.github.io/Logging_1783/klagomål/A 19362-2026 FSC-klagomål.docx", "A 19362-2026")</f>
        <v/>
      </c>
      <c r="AB45">
        <f>HYPERLINK("https://klasma.github.io/Logging_1783/klagomålsmail/A 19362-2026 FSC-klagomål mail.docx", "A 19362-2026")</f>
        <v/>
      </c>
      <c r="AC45">
        <f>HYPERLINK("https://klasma.github.io/Logging_1783/tillsyn/A 19362-2026 tillsynsbegäran.docx", "A 19362-2026")</f>
        <v/>
      </c>
      <c r="AD45">
        <f>HYPERLINK("https://klasma.github.io/Logging_1783/tillsynsmail/A 19362-2026 tillsynsbegäran mail.docx", "A 19362-2026")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46300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46300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46300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20119-2025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46300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4.1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20119-2025 artfynd.xlsx", "A 20119-2025")</f>
        <v/>
      </c>
      <c r="X49">
        <f>HYPERLINK("https://klasma.github.io/Logging_1783/kartor/A 20119-2025 karta.png", "A 20119-2025")</f>
        <v/>
      </c>
      <c r="Y49">
        <f>HYPERLINK("https://klasma.github.io/Logging_1783/kartor_geotiff/A 20119-2025 georefererad karta.tif", "A 20119-2025")</f>
        <v/>
      </c>
      <c r="AA49">
        <f>HYPERLINK("https://klasma.github.io/Logging_1783/klagomål/A 20119-2025 FSC-klagomål.docx", "A 20119-2025")</f>
        <v/>
      </c>
      <c r="AB49">
        <f>HYPERLINK("https://klasma.github.io/Logging_1783/klagomålsmail/A 20119-2025 FSC-klagomål mail.docx", "A 20119-2025")</f>
        <v/>
      </c>
      <c r="AC49">
        <f>HYPERLINK("https://klasma.github.io/Logging_1783/tillsyn/A 20119-2025 tillsynsbegäran.docx", "A 20119-2025")</f>
        <v/>
      </c>
      <c r="AD49">
        <f>HYPERLINK("https://klasma.github.io/Logging_1783/tillsynsmail/A 20119-2025 tillsynsbegäran mail.docx", "A 20119-2025")</f>
        <v/>
      </c>
      <c r="AE49">
        <f>HYPERLINK("https://klasma.github.io/Logging_1783/fåglar/A 20119-2025 prioriterade fågelarter.docx", "A 20119-2025")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46300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16319-2023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45028</v>
      </c>
      <c r="E51" s="1" t="n">
        <v>46300</v>
      </c>
      <c r="F51" t="inlineStr">
        <is>
          <t>VÄRMLANDS LÄN</t>
        </is>
      </c>
      <c r="G51" t="inlineStr">
        <is>
          <t>HAGFORS</t>
        </is>
      </c>
      <c r="I51" t="n">
        <v>1.1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HYPERLINK("https://klasma.github.io/Logging_1783/artfynd/A 16319-2023 artfynd.xlsx", "A 16319-2023")</f>
        <v/>
      </c>
      <c r="X51">
        <f>HYPERLINK("https://klasma.github.io/Logging_1783/kartor/A 16319-2023 karta.png", "A 16319-2023")</f>
        <v/>
      </c>
      <c r="Y51">
        <f>HYPERLINK("https://klasma.github.io/Logging_1783/kartor_geotiff/A 16319-2023 georefererad karta.tif", "A 16319-2023")</f>
        <v/>
      </c>
      <c r="AA51">
        <f>HYPERLINK("https://klasma.github.io/Logging_1783/klagomål/A 16319-2023 FSC-klagomål.docx", "A 16319-2023")</f>
        <v/>
      </c>
      <c r="AB51">
        <f>HYPERLINK("https://klasma.github.io/Logging_1783/klagomålsmail/A 16319-2023 FSC-klagomål mail.docx", "A 16319-2023")</f>
        <v/>
      </c>
      <c r="AC51">
        <f>HYPERLINK("https://klasma.github.io/Logging_1783/tillsyn/A 16319-2023 tillsynsbegäran.docx", "A 16319-2023")</f>
        <v/>
      </c>
      <c r="AD51">
        <f>HYPERLINK("https://klasma.github.io/Logging_1783/tillsynsmail/A 16319-2023 tillsynsbegäran mail.docx", "A 16319-2023")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46300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46300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46300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46300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46300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46300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46300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38267-2024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46300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HYPERLINK("https://klasma.github.io/Logging_1783/artfynd/A 38267-2024 artfynd.xlsx", "A 38267-2024")</f>
        <v/>
      </c>
      <c r="X59">
        <f>HYPERLINK("https://klasma.github.io/Logging_1783/kartor/A 38267-2024 karta.png", "A 38267-2024")</f>
        <v/>
      </c>
      <c r="Y59">
        <f>HYPERLINK("https://klasma.github.io/Logging_1783/kartor_geotiff/A 38267-2024 georefererad karta.tif", "A 38267-2024")</f>
        <v/>
      </c>
      <c r="AA59">
        <f>HYPERLINK("https://klasma.github.io/Logging_1783/klagomål/A 38267-2024 FSC-klagomål.docx", "A 38267-2024")</f>
        <v/>
      </c>
      <c r="AB59">
        <f>HYPERLINK("https://klasma.github.io/Logging_1783/klagomålsmail/A 38267-2024 FSC-klagomål mail.docx", "A 38267-2024")</f>
        <v/>
      </c>
      <c r="AC59">
        <f>HYPERLINK("https://klasma.github.io/Logging_1783/tillsyn/A 38267-2024 tillsynsbegäran.docx", "A 38267-2024")</f>
        <v/>
      </c>
      <c r="AD59">
        <f>HYPERLINK("https://klasma.github.io/Logging_1783/tillsynsmail/A 38267-2024 tillsynsbegäran mail.docx", "A 38267-2024")</f>
        <v/>
      </c>
    </row>
    <row r="60" ht="15" customHeight="1">
      <c r="A60" t="inlineStr">
        <is>
          <t>A 36223-2026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46300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8.699999999999999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Gråspett</t>
        </is>
      </c>
      <c r="W60">
        <f>HYPERLINK("https://klasma.github.io/Logging_1783/artfynd/A 36223-2026 artfynd.xlsx", "A 36223-2026")</f>
        <v/>
      </c>
      <c r="X60">
        <f>HYPERLINK("https://klasma.github.io/Logging_1783/kartor/A 36223-2026 karta.png", "A 36223-2026")</f>
        <v/>
      </c>
      <c r="Y60">
        <f>HYPERLINK("https://klasma.github.io/Logging_1783/kartor_geotiff/A 36223-2026 georefererad karta.tif", "A 36223-2026")</f>
        <v/>
      </c>
      <c r="AA60">
        <f>HYPERLINK("https://klasma.github.io/Logging_1783/klagomål/A 36223-2026 FSC-klagomål.docx", "A 36223-2026")</f>
        <v/>
      </c>
      <c r="AB60">
        <f>HYPERLINK("https://klasma.github.io/Logging_1783/klagomålsmail/A 36223-2026 FSC-klagomål mail.docx", "A 36223-2026")</f>
        <v/>
      </c>
      <c r="AC60">
        <f>HYPERLINK("https://klasma.github.io/Logging_1783/tillsyn/A 36223-2026 tillsynsbegäran.docx", "A 36223-2026")</f>
        <v/>
      </c>
      <c r="AD60">
        <f>HYPERLINK("https://klasma.github.io/Logging_1783/tillsynsmail/A 36223-2026 tillsynsbegäran mail.docx", "A 36223-2026")</f>
        <v/>
      </c>
      <c r="AE60">
        <f>HYPERLINK("https://klasma.github.io/Logging_1783/fåglar/A 36223-2026 prioriterade fågelarter.docx", "A 36223-2026")</f>
        <v/>
      </c>
    </row>
    <row r="61" ht="15" customHeight="1">
      <c r="A61" t="inlineStr">
        <is>
          <t>A 56083-2022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44889</v>
      </c>
      <c r="E61" s="1" t="n">
        <v>46300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19.1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HYPERLINK("https://klasma.github.io/Logging_1783/artfynd/A 56083-2022 artfynd.xlsx", "A 56083-2022")</f>
        <v/>
      </c>
      <c r="X61">
        <f>HYPERLINK("https://klasma.github.io/Logging_1783/kartor/A 56083-2022 karta.png", "A 56083-2022")</f>
        <v/>
      </c>
      <c r="Y61">
        <f>HYPERLINK("https://klasma.github.io/Logging_1783/kartor_geotiff/A 56083-2022 georefererad karta.tif", "A 56083-2022")</f>
        <v/>
      </c>
      <c r="AA61">
        <f>HYPERLINK("https://klasma.github.io/Logging_1783/klagomål/A 56083-2022 FSC-klagomål.docx", "A 56083-2022")</f>
        <v/>
      </c>
      <c r="AB61">
        <f>HYPERLINK("https://klasma.github.io/Logging_1783/klagomålsmail/A 56083-2022 FSC-klagomål mail.docx", "A 56083-2022")</f>
        <v/>
      </c>
      <c r="AC61">
        <f>HYPERLINK("https://klasma.github.io/Logging_1783/tillsyn/A 56083-2022 tillsynsbegäran.docx", "A 56083-2022")</f>
        <v/>
      </c>
      <c r="AD61">
        <f>HYPERLINK("https://klasma.github.io/Logging_1783/tillsynsmail/A 56083-2022 tillsynsbegäran mail.docx", "A 56083-2022")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46300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46300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A 40211-2026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46300</v>
      </c>
      <c r="F64" t="inlineStr">
        <is>
          <t>VÄRMLANDS LÄN</t>
        </is>
      </c>
      <c r="G64" t="inlineStr">
        <is>
          <t>HAGFORS</t>
        </is>
      </c>
      <c r="I64" t="n">
        <v>2.3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HYPERLINK("https://klasma.github.io/Logging_1783/artfynd/A 40211-2026 artfynd.xlsx", "A 40211-2026")</f>
        <v/>
      </c>
      <c r="X64">
        <f>HYPERLINK("https://klasma.github.io/Logging_1783/kartor/A 40211-2026 karta.png", "A 40211-2026")</f>
        <v/>
      </c>
      <c r="Y64">
        <f>HYPERLINK("https://klasma.github.io/Logging_1783/kartor_geotiff/A 40211-2026 georefererad karta.tif", "A 40211-2026")</f>
        <v/>
      </c>
      <c r="AA64">
        <f>HYPERLINK("https://klasma.github.io/Logging_1783/klagomål/A 40211-2026 FSC-klagomål.docx", "A 40211-2026")</f>
        <v/>
      </c>
      <c r="AB64">
        <f>HYPERLINK("https://klasma.github.io/Logging_1783/klagomålsmail/A 40211-2026 FSC-klagomål mail.docx", "A 40211-2026")</f>
        <v/>
      </c>
      <c r="AC64">
        <f>HYPERLINK("https://klasma.github.io/Logging_1783/tillsyn/A 40211-2026 tillsynsbegäran.docx", "A 40211-2026")</f>
        <v/>
      </c>
      <c r="AD64">
        <f>HYPERLINK("https://klasma.github.io/Logging_1783/tillsynsmail/A 40211-2026 tillsynsbegäran mail.docx", "A 40211-2026")</f>
        <v/>
      </c>
    </row>
    <row r="65" ht="15" customHeight="1">
      <c r="A65" t="inlineStr">
        <is>
          <t>A 6986-2022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46300</v>
      </c>
      <c r="F65" t="inlineStr">
        <is>
          <t>VÄRMLANDS LÄN</t>
        </is>
      </c>
      <c r="G65" t="inlineStr">
        <is>
          <t>HAGFORS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6986-2022 artfynd.xlsx", "A 6986-2022")</f>
        <v/>
      </c>
      <c r="X65">
        <f>HYPERLINK("https://klasma.github.io/Logging_1783/kartor/A 6986-2022 karta.png", "A 6986-2022")</f>
        <v/>
      </c>
      <c r="Y65">
        <f>HYPERLINK("https://klasma.github.io/Logging_1783/kartor_geotiff/A 6986-2022 georefererad karta.tif", "A 6986-2022")</f>
        <v/>
      </c>
      <c r="AA65">
        <f>HYPERLINK("https://klasma.github.io/Logging_1783/klagomål/A 6986-2022 FSC-klagomål.docx", "A 6986-2022")</f>
        <v/>
      </c>
      <c r="AB65">
        <f>HYPERLINK("https://klasma.github.io/Logging_1783/klagomålsmail/A 6986-2022 FSC-klagomål mail.docx", "A 6986-2022")</f>
        <v/>
      </c>
      <c r="AC65">
        <f>HYPERLINK("https://klasma.github.io/Logging_1783/tillsyn/A 6986-2022 tillsynsbegäran.docx", "A 6986-2022")</f>
        <v/>
      </c>
      <c r="AD65">
        <f>HYPERLINK("https://klasma.github.io/Logging_1783/tillsynsmail/A 6986-2022 tillsynsbegäran mail.docx", "A 6986-2022")</f>
        <v/>
      </c>
    </row>
    <row r="66" ht="15" customHeight="1">
      <c r="A66" t="inlineStr">
        <is>
          <t>A 12673-2024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45384</v>
      </c>
      <c r="E66" s="1" t="n">
        <v>46300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HYPERLINK("https://klasma.github.io/Logging_1783/artfynd/A 12673-2024 artfynd.xlsx", "A 12673-2024")</f>
        <v/>
      </c>
      <c r="X66">
        <f>HYPERLINK("https://klasma.github.io/Logging_1783/kartor/A 12673-2024 karta.png", "A 12673-2024")</f>
        <v/>
      </c>
      <c r="Y66">
        <f>HYPERLINK("https://klasma.github.io/Logging_1783/kartor_geotiff/A 12673-2024 georefererad karta.tif", "A 12673-2024")</f>
        <v/>
      </c>
      <c r="AA66">
        <f>HYPERLINK("https://klasma.github.io/Logging_1783/klagomål/A 12673-2024 FSC-klagomål.docx", "A 12673-2024")</f>
        <v/>
      </c>
      <c r="AB66">
        <f>HYPERLINK("https://klasma.github.io/Logging_1783/klagomålsmail/A 12673-2024 FSC-klagomål mail.docx", "A 12673-2024")</f>
        <v/>
      </c>
      <c r="AC66">
        <f>HYPERLINK("https://klasma.github.io/Logging_1783/tillsyn/A 12673-2024 tillsynsbegäran.docx", "A 12673-2024")</f>
        <v/>
      </c>
      <c r="AD66">
        <f>HYPERLINK("https://klasma.github.io/Logging_1783/tillsynsmail/A 12673-2024 tillsynsbegäran mail.docx", "A 12673-2024")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46300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46300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46300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46300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46300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46300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46300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46300</v>
      </c>
      <c r="F75" t="inlineStr">
        <is>
          <t>VÄRMLANDS LÄN</t>
        </is>
      </c>
      <c r="G75" t="inlineStr">
        <is>
          <t>HAGFORS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46300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46300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46300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46300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46300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46300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46300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46300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46300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46300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46300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46300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46300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46300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46300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46300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46300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46300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46300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46300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46300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46300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46300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46300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46300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46300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46300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46300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46300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46300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46300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46300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46300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46300</v>
      </c>
      <c r="F113" t="inlineStr">
        <is>
          <t>VÄRMLANDS LÄN</t>
        </is>
      </c>
      <c r="G113" t="inlineStr">
        <is>
          <t>HAGFORS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46300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46300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46300</v>
      </c>
      <c r="F116" t="inlineStr">
        <is>
          <t>VÄRMLANDS LÄN</t>
        </is>
      </c>
      <c r="G116" t="inlineStr">
        <is>
          <t>HAGFORS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46300</v>
      </c>
      <c r="F117" t="inlineStr">
        <is>
          <t>VÄRMLANDS LÄN</t>
        </is>
      </c>
      <c r="G117" t="inlineStr">
        <is>
          <t>HAGFORS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46300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46300</v>
      </c>
      <c r="F119" t="inlineStr">
        <is>
          <t>VÄRMLANDS LÄN</t>
        </is>
      </c>
      <c r="G119" t="inlineStr">
        <is>
          <t>HAGFORS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46300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46300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46300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46300</v>
      </c>
      <c r="F123" t="inlineStr">
        <is>
          <t>VÄRMLANDS LÄN</t>
        </is>
      </c>
      <c r="G123" t="inlineStr">
        <is>
          <t>HAGFORS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46300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46300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46300</v>
      </c>
      <c r="F126" t="inlineStr">
        <is>
          <t>VÄRMLANDS LÄN</t>
        </is>
      </c>
      <c r="G126" t="inlineStr">
        <is>
          <t>HAGFORS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46300</v>
      </c>
      <c r="F127" t="inlineStr">
        <is>
          <t>VÄRMLANDS LÄN</t>
        </is>
      </c>
      <c r="G127" t="inlineStr">
        <is>
          <t>HAGFORS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46300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61843-2025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46003</v>
      </c>
      <c r="E129" s="1" t="n">
        <v>46300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46300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46300</v>
      </c>
      <c r="F131" t="inlineStr">
        <is>
          <t>VÄRMLANDS LÄN</t>
        </is>
      </c>
      <c r="G131" t="inlineStr">
        <is>
          <t>HAGFORS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46300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61718-2025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46002</v>
      </c>
      <c r="E133" s="1" t="n">
        <v>46300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46300</v>
      </c>
      <c r="F134" t="inlineStr">
        <is>
          <t>VÄRMLANDS LÄN</t>
        </is>
      </c>
      <c r="G134" t="inlineStr">
        <is>
          <t>HAGFORS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46300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46300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61910-2025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46003</v>
      </c>
      <c r="E137" s="1" t="n">
        <v>46300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46300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46300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46300</v>
      </c>
      <c r="F140" t="inlineStr">
        <is>
          <t>VÄRMLANDS LÄN</t>
        </is>
      </c>
      <c r="G140" t="inlineStr">
        <is>
          <t>HAGFORS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45790</v>
      </c>
      <c r="E141" s="1" t="n">
        <v>46300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62168-2025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46006</v>
      </c>
      <c r="E142" s="1" t="n">
        <v>46300</v>
      </c>
      <c r="F142" t="inlineStr">
        <is>
          <t>VÄRMLANDS LÄN</t>
        </is>
      </c>
      <c r="G142" t="inlineStr">
        <is>
          <t>HAGFORS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46300</v>
      </c>
      <c r="F143" t="inlineStr">
        <is>
          <t>VÄRMLANDS LÄN</t>
        </is>
      </c>
      <c r="G143" t="inlineStr">
        <is>
          <t>HAGFORS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46300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46300</v>
      </c>
      <c r="F145" t="inlineStr">
        <is>
          <t>VÄRMLANDS LÄN</t>
        </is>
      </c>
      <c r="G145" t="inlineStr">
        <is>
          <t>HAGFORS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46300</v>
      </c>
      <c r="F146" t="inlineStr">
        <is>
          <t>VÄRMLANDS LÄN</t>
        </is>
      </c>
      <c r="G146" t="inlineStr">
        <is>
          <t>HAGFORS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58210-2022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46300</v>
      </c>
      <c r="F147" t="inlineStr">
        <is>
          <t>VÄRMLANDS LÄN</t>
        </is>
      </c>
      <c r="G147" t="inlineStr">
        <is>
          <t>HAGFORS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46300</v>
      </c>
      <c r="F148" t="inlineStr">
        <is>
          <t>VÄRMLANDS LÄN</t>
        </is>
      </c>
      <c r="G148" t="inlineStr">
        <is>
          <t>HAGFORS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46300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46300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45419</v>
      </c>
      <c r="E151" s="1" t="n">
        <v>46300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46300</v>
      </c>
      <c r="F152" t="inlineStr">
        <is>
          <t>VÄRMLANDS LÄN</t>
        </is>
      </c>
      <c r="G152" t="inlineStr">
        <is>
          <t>HAGFORS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46300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46300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46300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46300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46300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46300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46300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46300</v>
      </c>
      <c r="F160" t="inlineStr">
        <is>
          <t>VÄRMLANDS LÄN</t>
        </is>
      </c>
      <c r="G160" t="inlineStr">
        <is>
          <t>HAGFORS</t>
        </is>
      </c>
      <c r="H160" t="inlineStr">
        <is>
          <t>Kyrkan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46300</v>
      </c>
      <c r="F161" t="inlineStr">
        <is>
          <t>VÄRMLANDS LÄN</t>
        </is>
      </c>
      <c r="G161" t="inlineStr">
        <is>
          <t>HAGFORS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46300</v>
      </c>
      <c r="F162" t="inlineStr">
        <is>
          <t>VÄRMLANDS LÄN</t>
        </is>
      </c>
      <c r="G162" t="inlineStr">
        <is>
          <t>HAGFORS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46018</v>
      </c>
      <c r="E163" s="1" t="n">
        <v>46300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46018</v>
      </c>
      <c r="E164" s="1" t="n">
        <v>46300</v>
      </c>
      <c r="F164" t="inlineStr">
        <is>
          <t>VÄRMLANDS LÄN</t>
        </is>
      </c>
      <c r="G164" t="inlineStr">
        <is>
          <t>HAGFORS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46300</v>
      </c>
      <c r="F165" t="inlineStr">
        <is>
          <t>VÄRMLANDS LÄN</t>
        </is>
      </c>
      <c r="G165" t="inlineStr">
        <is>
          <t>HAGFORS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46300</v>
      </c>
      <c r="F166" t="inlineStr">
        <is>
          <t>VÄRMLANDS LÄN</t>
        </is>
      </c>
      <c r="G166" t="inlineStr">
        <is>
          <t>HAGFORS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46300</v>
      </c>
      <c r="F167" t="inlineStr">
        <is>
          <t>VÄRMLANDS LÄN</t>
        </is>
      </c>
      <c r="G167" t="inlineStr">
        <is>
          <t>HAGFORS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46300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46300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60221-2023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45258</v>
      </c>
      <c r="E170" s="1" t="n">
        <v>46300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48807-2025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45937</v>
      </c>
      <c r="E171" s="1" t="n">
        <v>46300</v>
      </c>
      <c r="F171" t="inlineStr">
        <is>
          <t>VÄRMLANDS LÄN</t>
        </is>
      </c>
      <c r="G171" t="inlineStr">
        <is>
          <t>HAGFORS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46300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46300</v>
      </c>
      <c r="F173" t="inlineStr">
        <is>
          <t>VÄRMLANDS LÄN</t>
        </is>
      </c>
      <c r="G173" t="inlineStr">
        <is>
          <t>HAGFORS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46300</v>
      </c>
      <c r="F174" t="inlineStr">
        <is>
          <t>VÄRMLANDS LÄN</t>
        </is>
      </c>
      <c r="G174" t="inlineStr">
        <is>
          <t>HAGFORS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46300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46300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46030</v>
      </c>
      <c r="E177" s="1" t="n">
        <v>46300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46300</v>
      </c>
      <c r="F178" t="inlineStr">
        <is>
          <t>VÄRMLANDS LÄN</t>
        </is>
      </c>
      <c r="G178" t="inlineStr">
        <is>
          <t>HAGFORS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46300</v>
      </c>
      <c r="F179" t="inlineStr">
        <is>
          <t>VÄRMLANDS LÄN</t>
        </is>
      </c>
      <c r="G179" t="inlineStr">
        <is>
          <t>HAGFORS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46300</v>
      </c>
      <c r="F180" t="inlineStr">
        <is>
          <t>VÄRMLANDS LÄN</t>
        </is>
      </c>
      <c r="G180" t="inlineStr">
        <is>
          <t>HAGFORS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44834</v>
      </c>
      <c r="E181" s="1" t="n">
        <v>46300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46300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46300</v>
      </c>
      <c r="F183" t="inlineStr">
        <is>
          <t>VÄRMLANDS LÄN</t>
        </is>
      </c>
      <c r="G183" t="inlineStr">
        <is>
          <t>HAGFORS</t>
        </is>
      </c>
      <c r="H183" t="inlineStr">
        <is>
          <t>Kommuner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46300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45902</v>
      </c>
      <c r="E185" s="1" t="n">
        <v>46300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46300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46300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46300</v>
      </c>
      <c r="F188" t="inlineStr">
        <is>
          <t>VÄRMLANDS LÄN</t>
        </is>
      </c>
      <c r="G188" t="inlineStr">
        <is>
          <t>HAGFORS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46300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46300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46300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23556-2025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45792</v>
      </c>
      <c r="E192" s="1" t="n">
        <v>46300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46300</v>
      </c>
      <c r="F193" t="inlineStr">
        <is>
          <t>VÄRMLANDS LÄN</t>
        </is>
      </c>
      <c r="G193" t="inlineStr">
        <is>
          <t>HAGFORS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46300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44649</v>
      </c>
      <c r="E195" s="1" t="n">
        <v>46300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46300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46300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46300</v>
      </c>
      <c r="F198" t="inlineStr">
        <is>
          <t>VÄRMLANDS LÄN</t>
        </is>
      </c>
      <c r="G198" t="inlineStr">
        <is>
          <t>HAGFORS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46300</v>
      </c>
      <c r="F199" t="inlineStr">
        <is>
          <t>VÄRMLANDS LÄN</t>
        </is>
      </c>
      <c r="G199" t="inlineStr">
        <is>
          <t>HAGFORS</t>
        </is>
      </c>
      <c r="H199" t="inlineStr">
        <is>
          <t>Kommuner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44903</v>
      </c>
      <c r="E200" s="1" t="n">
        <v>46300</v>
      </c>
      <c r="F200" t="inlineStr">
        <is>
          <t>VÄRMLANDS LÄN</t>
        </is>
      </c>
      <c r="G200" t="inlineStr">
        <is>
          <t>HAGFORS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46300</v>
      </c>
      <c r="F201" t="inlineStr">
        <is>
          <t>VÄRMLANDS LÄN</t>
        </is>
      </c>
      <c r="G201" t="inlineStr">
        <is>
          <t>HAGFORS</t>
        </is>
      </c>
      <c r="H201" t="inlineStr">
        <is>
          <t>Kommuner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43084-2025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46300</v>
      </c>
      <c r="F202" t="inlineStr">
        <is>
          <t>VÄRMLANDS LÄN</t>
        </is>
      </c>
      <c r="G202" t="inlineStr">
        <is>
          <t>HAGFORS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45793</v>
      </c>
      <c r="E203" s="1" t="n">
        <v>46300</v>
      </c>
      <c r="F203" t="inlineStr">
        <is>
          <t>VÄRMLANDS LÄN</t>
        </is>
      </c>
      <c r="G203" t="inlineStr">
        <is>
          <t>HAGFORS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46300</v>
      </c>
      <c r="F205" t="inlineStr">
        <is>
          <t>VÄRMLANDS LÄN</t>
        </is>
      </c>
      <c r="G205" t="inlineStr">
        <is>
          <t>HAGFORS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46300</v>
      </c>
      <c r="F206" t="inlineStr">
        <is>
          <t>VÄRMLANDS LÄN</t>
        </is>
      </c>
      <c r="G206" t="inlineStr">
        <is>
          <t>HAGFORS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46300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44770</v>
      </c>
      <c r="E208" s="1" t="n">
        <v>46300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46300</v>
      </c>
      <c r="F209" t="inlineStr">
        <is>
          <t>VÄRMLANDS LÄN</t>
        </is>
      </c>
      <c r="G209" t="inlineStr">
        <is>
          <t>HAGFORS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46300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46300</v>
      </c>
      <c r="F211" t="inlineStr">
        <is>
          <t>VÄRMLANDS LÄN</t>
        </is>
      </c>
      <c r="G211" t="inlineStr">
        <is>
          <t>HAGFORS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46300</v>
      </c>
      <c r="F212" t="inlineStr">
        <is>
          <t>VÄRMLANDS LÄN</t>
        </is>
      </c>
      <c r="G212" t="inlineStr">
        <is>
          <t>HAGFORS</t>
        </is>
      </c>
      <c r="I212" t="n">
        <v>13.1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15643-2024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45404</v>
      </c>
      <c r="E213" s="1" t="n">
        <v>46300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24434-2025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45797</v>
      </c>
      <c r="E214" s="1" t="n">
        <v>46300</v>
      </c>
      <c r="F214" t="inlineStr">
        <is>
          <t>VÄRMLANDS LÄN</t>
        </is>
      </c>
      <c r="G214" t="inlineStr">
        <is>
          <t>HAGFORS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24435-2025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45797</v>
      </c>
      <c r="E215" s="1" t="n">
        <v>46300</v>
      </c>
      <c r="F215" t="inlineStr">
        <is>
          <t>VÄRMLANDS LÄN</t>
        </is>
      </c>
      <c r="G215" t="inlineStr">
        <is>
          <t>HAGFORS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24438-2025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45797</v>
      </c>
      <c r="E216" s="1" t="n">
        <v>46300</v>
      </c>
      <c r="F216" t="inlineStr">
        <is>
          <t>VÄRMLANDS LÄN</t>
        </is>
      </c>
      <c r="G216" t="inlineStr">
        <is>
          <t>HAGFORS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46300</v>
      </c>
      <c r="F217" t="inlineStr">
        <is>
          <t>VÄRMLANDS LÄN</t>
        </is>
      </c>
      <c r="G217" t="inlineStr">
        <is>
          <t>HAGFORS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46300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46300</v>
      </c>
      <c r="F219" t="inlineStr">
        <is>
          <t>VÄRMLANDS LÄN</t>
        </is>
      </c>
      <c r="G219" t="inlineStr">
        <is>
          <t>HAGFORS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46300</v>
      </c>
      <c r="F220" t="inlineStr">
        <is>
          <t>VÄRMLANDS LÄN</t>
        </is>
      </c>
      <c r="G220" t="inlineStr">
        <is>
          <t>HAGFORS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46300</v>
      </c>
      <c r="F221" t="inlineStr">
        <is>
          <t>VÄRMLANDS LÄN</t>
        </is>
      </c>
      <c r="G221" t="inlineStr">
        <is>
          <t>HAGFORS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46300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46300</v>
      </c>
      <c r="F223" t="inlineStr">
        <is>
          <t>VÄRMLANDS LÄN</t>
        </is>
      </c>
      <c r="G223" t="inlineStr">
        <is>
          <t>HAGFORS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46300</v>
      </c>
      <c r="F224" t="inlineStr">
        <is>
          <t>VÄRMLANDS LÄN</t>
        </is>
      </c>
      <c r="G224" t="inlineStr">
        <is>
          <t>HAGFORS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46300</v>
      </c>
      <c r="F225" t="inlineStr">
        <is>
          <t>VÄRMLANDS LÄN</t>
        </is>
      </c>
      <c r="G225" t="inlineStr">
        <is>
          <t>HAGFORS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46300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46300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46300</v>
      </c>
      <c r="F228" t="inlineStr">
        <is>
          <t>VÄRMLANDS LÄN</t>
        </is>
      </c>
      <c r="G228" t="inlineStr">
        <is>
          <t>HAGFORS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46300</v>
      </c>
      <c r="F229" t="inlineStr">
        <is>
          <t>VÄRMLANDS LÄN</t>
        </is>
      </c>
      <c r="G229" t="inlineStr">
        <is>
          <t>HAGFORS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46300</v>
      </c>
      <c r="F230" t="inlineStr">
        <is>
          <t>VÄRMLANDS LÄN</t>
        </is>
      </c>
      <c r="G230" t="inlineStr">
        <is>
          <t>HAGFORS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26463-2025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45807</v>
      </c>
      <c r="E231" s="1" t="n">
        <v>46300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46300</v>
      </c>
      <c r="F232" t="inlineStr">
        <is>
          <t>VÄRMLANDS LÄN</t>
        </is>
      </c>
      <c r="G232" t="inlineStr">
        <is>
          <t>HAGFORS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45754</v>
      </c>
      <c r="E233" s="1" t="n">
        <v>46300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46300</v>
      </c>
      <c r="F234" t="inlineStr">
        <is>
          <t>VÄRMLANDS LÄN</t>
        </is>
      </c>
      <c r="G234" t="inlineStr">
        <is>
          <t>HAGFORS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46300</v>
      </c>
      <c r="F235" t="inlineStr">
        <is>
          <t>VÄRMLANDS LÄN</t>
        </is>
      </c>
      <c r="G235" t="inlineStr">
        <is>
          <t>HAGFORS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46300</v>
      </c>
      <c r="F236" t="inlineStr">
        <is>
          <t>VÄRMLANDS LÄN</t>
        </is>
      </c>
      <c r="G236" t="inlineStr">
        <is>
          <t>HAGFORS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45055</v>
      </c>
      <c r="E237" s="1" t="n">
        <v>46300</v>
      </c>
      <c r="F237" t="inlineStr">
        <is>
          <t>VÄRMLANDS LÄN</t>
        </is>
      </c>
      <c r="G237" t="inlineStr">
        <is>
          <t>HAGFORS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46300</v>
      </c>
      <c r="F238" t="inlineStr">
        <is>
          <t>VÄRMLANDS LÄN</t>
        </is>
      </c>
      <c r="G238" t="inlineStr">
        <is>
          <t>HAGFORS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46300</v>
      </c>
      <c r="F239" t="inlineStr">
        <is>
          <t>VÄRMLANDS LÄN</t>
        </is>
      </c>
      <c r="G239" t="inlineStr">
        <is>
          <t>HAGFORS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61140-2023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45261</v>
      </c>
      <c r="E240" s="1" t="n">
        <v>46300</v>
      </c>
      <c r="F240" t="inlineStr">
        <is>
          <t>VÄRMLANDS LÄN</t>
        </is>
      </c>
      <c r="G240" t="inlineStr">
        <is>
          <t>HAGFORS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46300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46300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46300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46300</v>
      </c>
      <c r="F244" t="inlineStr">
        <is>
          <t>VÄRMLANDS LÄN</t>
        </is>
      </c>
      <c r="G244" t="inlineStr">
        <is>
          <t>HAGFORS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24947-2024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45461</v>
      </c>
      <c r="E245" s="1" t="n">
        <v>46300</v>
      </c>
      <c r="F245" t="inlineStr">
        <is>
          <t>VÄRMLANDS LÄN</t>
        </is>
      </c>
      <c r="G245" t="inlineStr">
        <is>
          <t>HAGFORS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46300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45385</v>
      </c>
      <c r="E247" s="1" t="n">
        <v>46300</v>
      </c>
      <c r="F247" t="inlineStr">
        <is>
          <t>VÄRMLANDS LÄN</t>
        </is>
      </c>
      <c r="G247" t="inlineStr">
        <is>
          <t>HAGFORS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45928</v>
      </c>
      <c r="E248" s="1" t="n">
        <v>46300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46300</v>
      </c>
      <c r="F249" t="inlineStr">
        <is>
          <t>VÄRMLANDS LÄN</t>
        </is>
      </c>
      <c r="G249" t="inlineStr">
        <is>
          <t>HAGFORS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44924</v>
      </c>
      <c r="E250" s="1" t="n">
        <v>46300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45927</v>
      </c>
      <c r="E251" s="1" t="n">
        <v>46300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46300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46300</v>
      </c>
      <c r="F253" t="inlineStr">
        <is>
          <t>VÄRMLANDS LÄN</t>
        </is>
      </c>
      <c r="G253" t="inlineStr">
        <is>
          <t>HAGFORS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46300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46300</v>
      </c>
      <c r="F255" t="inlineStr">
        <is>
          <t>VÄRMLANDS LÄN</t>
        </is>
      </c>
      <c r="G255" t="inlineStr">
        <is>
          <t>HAGFORS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46300</v>
      </c>
      <c r="F256" t="inlineStr">
        <is>
          <t>VÄRMLANDS LÄN</t>
        </is>
      </c>
      <c r="G256" t="inlineStr">
        <is>
          <t>HAGFORS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46300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46300</v>
      </c>
      <c r="F258" t="inlineStr">
        <is>
          <t>VÄRMLANDS LÄN</t>
        </is>
      </c>
      <c r="G258" t="inlineStr">
        <is>
          <t>HAGFORS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46300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46300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46300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46300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46300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46300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46300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46300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46300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46300</v>
      </c>
      <c r="F268" t="inlineStr">
        <is>
          <t>VÄRMLANDS LÄN</t>
        </is>
      </c>
      <c r="G268" t="inlineStr">
        <is>
          <t>HAGFORS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44566</v>
      </c>
      <c r="E269" s="1" t="n">
        <v>46300</v>
      </c>
      <c r="F269" t="inlineStr">
        <is>
          <t>VÄRMLANDS LÄN</t>
        </is>
      </c>
      <c r="G269" t="inlineStr">
        <is>
          <t>HAGFORS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46300</v>
      </c>
      <c r="F270" t="inlineStr">
        <is>
          <t>VÄRMLANDS LÄN</t>
        </is>
      </c>
      <c r="G270" t="inlineStr">
        <is>
          <t>HAGFORS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57379-2022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44896</v>
      </c>
      <c r="E271" s="1" t="n">
        <v>46300</v>
      </c>
      <c r="F271" t="inlineStr">
        <is>
          <t>VÄRMLANDS LÄN</t>
        </is>
      </c>
      <c r="G271" t="inlineStr">
        <is>
          <t>HAGFORS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46300</v>
      </c>
      <c r="F272" t="inlineStr">
        <is>
          <t>VÄRMLANDS LÄN</t>
        </is>
      </c>
      <c r="G272" t="inlineStr">
        <is>
          <t>HAGFORS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46300</v>
      </c>
      <c r="F273" t="inlineStr">
        <is>
          <t>VÄRMLANDS LÄN</t>
        </is>
      </c>
      <c r="G273" t="inlineStr">
        <is>
          <t>HAGFORS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45941</v>
      </c>
      <c r="E274" s="1" t="n">
        <v>46300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46300</v>
      </c>
      <c r="F275" t="inlineStr">
        <is>
          <t>VÄRMLANDS LÄN</t>
        </is>
      </c>
      <c r="G275" t="inlineStr">
        <is>
          <t>HAGFORS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46300</v>
      </c>
      <c r="F276" t="inlineStr">
        <is>
          <t>VÄRMLANDS LÄN</t>
        </is>
      </c>
      <c r="G276" t="inlineStr">
        <is>
          <t>HAGFORS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46300</v>
      </c>
      <c r="F277" t="inlineStr">
        <is>
          <t>VÄRMLANDS LÄN</t>
        </is>
      </c>
      <c r="G277" t="inlineStr">
        <is>
          <t>HAGFORS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52224-2023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45224</v>
      </c>
      <c r="E278" s="1" t="n">
        <v>46300</v>
      </c>
      <c r="F278" t="inlineStr">
        <is>
          <t>VÄRMLANDS LÄN</t>
        </is>
      </c>
      <c r="G278" t="inlineStr">
        <is>
          <t>HAGFORS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45810</v>
      </c>
      <c r="E279" s="1" t="n">
        <v>46300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46300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46300</v>
      </c>
      <c r="F281" t="inlineStr">
        <is>
          <t>VÄRMLANDS LÄN</t>
        </is>
      </c>
      <c r="G281" t="inlineStr">
        <is>
          <t>HAGFORS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46300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46300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39211-2022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46300</v>
      </c>
      <c r="F284" t="inlineStr">
        <is>
          <t>VÄRMLANDS LÄN</t>
        </is>
      </c>
      <c r="G284" t="inlineStr">
        <is>
          <t>HAGFORS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46300</v>
      </c>
      <c r="F285" t="inlineStr">
        <is>
          <t>VÄRMLANDS LÄN</t>
        </is>
      </c>
      <c r="G285" t="inlineStr">
        <is>
          <t>HAGFORS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46300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46300</v>
      </c>
      <c r="F287" t="inlineStr">
        <is>
          <t>VÄRMLANDS LÄN</t>
        </is>
      </c>
      <c r="G287" t="inlineStr">
        <is>
          <t>HAGFORS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46300</v>
      </c>
      <c r="F288" t="inlineStr">
        <is>
          <t>VÄRMLANDS LÄN</t>
        </is>
      </c>
      <c r="G288" t="inlineStr">
        <is>
          <t>HAGFORS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45949</v>
      </c>
      <c r="E289" s="1" t="n">
        <v>46300</v>
      </c>
      <c r="F289" t="inlineStr">
        <is>
          <t>VÄRMLANDS LÄN</t>
        </is>
      </c>
      <c r="G289" t="inlineStr">
        <is>
          <t>HAGFORS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45433</v>
      </c>
      <c r="E290" s="1" t="n">
        <v>46300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46300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46300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52479-2025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46300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46300</v>
      </c>
      <c r="F294" t="inlineStr">
        <is>
          <t>VÄRMLANDS LÄN</t>
        </is>
      </c>
      <c r="G294" t="inlineStr">
        <is>
          <t>HAGFORS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46300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46300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46300</v>
      </c>
      <c r="F297" t="inlineStr">
        <is>
          <t>VÄRMLANDS LÄN</t>
        </is>
      </c>
      <c r="G297" t="inlineStr">
        <is>
          <t>HAGFORS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46300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46300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46300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46300</v>
      </c>
      <c r="F301" t="inlineStr">
        <is>
          <t>VÄRMLANDS LÄN</t>
        </is>
      </c>
      <c r="G301" t="inlineStr">
        <is>
          <t>HAGFORS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46300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46300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45673</v>
      </c>
      <c r="E304" s="1" t="n">
        <v>46300</v>
      </c>
      <c r="F304" t="inlineStr">
        <is>
          <t>VÄRMLANDS LÄN</t>
        </is>
      </c>
      <c r="G304" t="inlineStr">
        <is>
          <t>HAGFORS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46300</v>
      </c>
      <c r="F305" t="inlineStr">
        <is>
          <t>VÄRMLANDS LÄN</t>
        </is>
      </c>
      <c r="G305" t="inlineStr">
        <is>
          <t>HAGFORS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46300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46300</v>
      </c>
      <c r="F307" t="inlineStr">
        <is>
          <t>VÄRMLANDS LÄN</t>
        </is>
      </c>
      <c r="G307" t="inlineStr">
        <is>
          <t>HAGFORS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46300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46300</v>
      </c>
      <c r="F309" t="inlineStr">
        <is>
          <t>VÄRMLANDS LÄN</t>
        </is>
      </c>
      <c r="G309" t="inlineStr">
        <is>
          <t>HAGFORS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46300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46300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46300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46300</v>
      </c>
      <c r="F313" t="inlineStr">
        <is>
          <t>VÄRMLANDS LÄN</t>
        </is>
      </c>
      <c r="G313" t="inlineStr">
        <is>
          <t>HAGFORS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46300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46300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46300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46300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46300</v>
      </c>
      <c r="F318" t="inlineStr">
        <is>
          <t>VÄRMLANDS LÄN</t>
        </is>
      </c>
      <c r="G318" t="inlineStr">
        <is>
          <t>HAGFORS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46300</v>
      </c>
      <c r="F319" t="inlineStr">
        <is>
          <t>VÄRMLANDS LÄN</t>
        </is>
      </c>
      <c r="G319" t="inlineStr">
        <is>
          <t>HAGFORS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45279</v>
      </c>
      <c r="E320" s="1" t="n">
        <v>46300</v>
      </c>
      <c r="F320" t="inlineStr">
        <is>
          <t>VÄRMLANDS LÄN</t>
        </is>
      </c>
      <c r="G320" t="inlineStr">
        <is>
          <t>HAGFORS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46300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46300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46300</v>
      </c>
      <c r="F323" t="inlineStr">
        <is>
          <t>VÄRMLANDS LÄN</t>
        </is>
      </c>
      <c r="G323" t="inlineStr">
        <is>
          <t>HAGFORS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46300</v>
      </c>
      <c r="F324" t="inlineStr">
        <is>
          <t>VÄRMLANDS LÄN</t>
        </is>
      </c>
      <c r="G324" t="inlineStr">
        <is>
          <t>HAGFORS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46300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46300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46300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46300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46300</v>
      </c>
      <c r="F329" t="inlineStr">
        <is>
          <t>VÄRMLANDS LÄN</t>
        </is>
      </c>
      <c r="G329" t="inlineStr">
        <is>
          <t>HAGFORS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46300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46300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46300</v>
      </c>
      <c r="F332" t="inlineStr">
        <is>
          <t>VÄRMLANDS LÄN</t>
        </is>
      </c>
      <c r="G332" t="inlineStr">
        <is>
          <t>HAGFORS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46300</v>
      </c>
      <c r="F333" t="inlineStr">
        <is>
          <t>VÄRMLANDS LÄN</t>
        </is>
      </c>
      <c r="G333" t="inlineStr">
        <is>
          <t>HAGFORS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46300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46300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46300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46300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46300</v>
      </c>
      <c r="F338" t="inlineStr">
        <is>
          <t>VÄRMLANDS LÄN</t>
        </is>
      </c>
      <c r="G338" t="inlineStr">
        <is>
          <t>HAGFORS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46300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46300</v>
      </c>
      <c r="F340" t="inlineStr">
        <is>
          <t>VÄRMLANDS LÄN</t>
        </is>
      </c>
      <c r="G340" t="inlineStr">
        <is>
          <t>HAGFORS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11104-2022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44628</v>
      </c>
      <c r="E341" s="1" t="n">
        <v>46300</v>
      </c>
      <c r="F341" t="inlineStr">
        <is>
          <t>VÄRMLANDS LÄN</t>
        </is>
      </c>
      <c r="G341" t="inlineStr">
        <is>
          <t>HAGFORS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46300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46300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46300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46300</v>
      </c>
      <c r="F345" t="inlineStr">
        <is>
          <t>VÄRMLANDS LÄN</t>
        </is>
      </c>
      <c r="G345" t="inlineStr">
        <is>
          <t>HAGFORS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46300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16824-2023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45033</v>
      </c>
      <c r="E347" s="1" t="n">
        <v>46300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46300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46300</v>
      </c>
      <c r="F349" t="inlineStr">
        <is>
          <t>VÄRMLANDS LÄN</t>
        </is>
      </c>
      <c r="G349" t="inlineStr">
        <is>
          <t>HAGFORS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45201</v>
      </c>
      <c r="E350" s="1" t="n">
        <v>46300</v>
      </c>
      <c r="F350" t="inlineStr">
        <is>
          <t>VÄRMLANDS LÄN</t>
        </is>
      </c>
      <c r="G350" t="inlineStr">
        <is>
          <t>HAGFORS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46300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45979</v>
      </c>
      <c r="E352" s="1" t="n">
        <v>46300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46300</v>
      </c>
      <c r="F353" t="inlineStr">
        <is>
          <t>VÄRMLANDS LÄN</t>
        </is>
      </c>
      <c r="G353" t="inlineStr">
        <is>
          <t>HAGFORS</t>
        </is>
      </c>
      <c r="H353" t="inlineStr">
        <is>
          <t>Kyrkan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46300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46300</v>
      </c>
      <c r="F355" t="inlineStr">
        <is>
          <t>VÄRMLANDS LÄN</t>
        </is>
      </c>
      <c r="G355" t="inlineStr">
        <is>
          <t>HAGFORS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46300</v>
      </c>
      <c r="F356" t="inlineStr">
        <is>
          <t>VÄRMLANDS LÄN</t>
        </is>
      </c>
      <c r="G356" t="inlineStr">
        <is>
          <t>HAGFORS</t>
        </is>
      </c>
      <c r="H356" t="inlineStr">
        <is>
          <t>Kyrkan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46300</v>
      </c>
      <c r="F357" t="inlineStr">
        <is>
          <t>VÄRMLANDS LÄN</t>
        </is>
      </c>
      <c r="G357" t="inlineStr">
        <is>
          <t>HAGFORS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46300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46300</v>
      </c>
      <c r="F359" t="inlineStr">
        <is>
          <t>VÄRMLANDS LÄN</t>
        </is>
      </c>
      <c r="G359" t="inlineStr">
        <is>
          <t>HAGFORS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46300</v>
      </c>
      <c r="F360" t="inlineStr">
        <is>
          <t>VÄRMLANDS LÄN</t>
        </is>
      </c>
      <c r="G360" t="inlineStr">
        <is>
          <t>HAGFORS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46300</v>
      </c>
      <c r="F361" t="inlineStr">
        <is>
          <t>VÄRMLANDS LÄN</t>
        </is>
      </c>
      <c r="G361" t="inlineStr">
        <is>
          <t>HAGFORS</t>
        </is>
      </c>
      <c r="H361" t="inlineStr">
        <is>
          <t>Kyrkan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46300</v>
      </c>
      <c r="F362" t="inlineStr">
        <is>
          <t>VÄRMLANDS LÄN</t>
        </is>
      </c>
      <c r="G362" t="inlineStr">
        <is>
          <t>HAGFORS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45310</v>
      </c>
      <c r="E363" s="1" t="n">
        <v>46300</v>
      </c>
      <c r="F363" t="inlineStr">
        <is>
          <t>VÄRMLANDS LÄN</t>
        </is>
      </c>
      <c r="G363" t="inlineStr">
        <is>
          <t>HAGFORS</t>
        </is>
      </c>
      <c r="H363" t="inlineStr">
        <is>
          <t>Kyrkan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46300</v>
      </c>
      <c r="F364" t="inlineStr">
        <is>
          <t>VÄRMLANDS LÄN</t>
        </is>
      </c>
      <c r="G364" t="inlineStr">
        <is>
          <t>HAGFORS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45821</v>
      </c>
      <c r="E365" s="1" t="n">
        <v>46300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46300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46300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46190-2024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45581</v>
      </c>
      <c r="E368" s="1" t="n">
        <v>46300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46300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46300</v>
      </c>
      <c r="F370" t="inlineStr">
        <is>
          <t>VÄRMLANDS LÄN</t>
        </is>
      </c>
      <c r="G370" t="inlineStr">
        <is>
          <t>HAGFORS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46300</v>
      </c>
      <c r="F371" t="inlineStr">
        <is>
          <t>VÄRMLANDS LÄN</t>
        </is>
      </c>
      <c r="G371" t="inlineStr">
        <is>
          <t>HAGFORS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59047-2025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45988</v>
      </c>
      <c r="E372" s="1" t="n">
        <v>46300</v>
      </c>
      <c r="F372" t="inlineStr">
        <is>
          <t>VÄRMLANDS LÄN</t>
        </is>
      </c>
      <c r="G372" t="inlineStr">
        <is>
          <t>HAGFORS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56466-2024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45625</v>
      </c>
      <c r="E373" s="1" t="n">
        <v>46300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46300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46300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46300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46300</v>
      </c>
      <c r="F377" t="inlineStr">
        <is>
          <t>VÄRMLANDS LÄN</t>
        </is>
      </c>
      <c r="G377" t="inlineStr">
        <is>
          <t>HAGFORS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44757</v>
      </c>
      <c r="E378" s="1" t="n">
        <v>46300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46300</v>
      </c>
      <c r="F379" t="inlineStr">
        <is>
          <t>VÄRMLANDS LÄN</t>
        </is>
      </c>
      <c r="G379" t="inlineStr">
        <is>
          <t>HAGFORS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45323</v>
      </c>
      <c r="E380" s="1" t="n">
        <v>46300</v>
      </c>
      <c r="F380" t="inlineStr">
        <is>
          <t>VÄRMLANDS LÄN</t>
        </is>
      </c>
      <c r="G380" t="inlineStr">
        <is>
          <t>HAGFORS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46300</v>
      </c>
      <c r="F381" t="inlineStr">
        <is>
          <t>VÄRMLANDS LÄN</t>
        </is>
      </c>
      <c r="G381" t="inlineStr">
        <is>
          <t>HAGFORS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46300</v>
      </c>
      <c r="F382" t="inlineStr">
        <is>
          <t>VÄRMLANDS LÄN</t>
        </is>
      </c>
      <c r="G382" t="inlineStr">
        <is>
          <t>HAGFORS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46300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46300</v>
      </c>
      <c r="F384" t="inlineStr">
        <is>
          <t>VÄRMLANDS LÄN</t>
        </is>
      </c>
      <c r="G384" t="inlineStr">
        <is>
          <t>HAGFORS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60648-2025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45996</v>
      </c>
      <c r="E385" s="1" t="n">
        <v>46300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46129</v>
      </c>
      <c r="E386" s="1" t="n">
        <v>46300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46300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46300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18797-2026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46128</v>
      </c>
      <c r="E389" s="1" t="n">
        <v>46300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46300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46300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46300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44687</v>
      </c>
      <c r="E393" s="1" t="n">
        <v>46300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46300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46300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46300</v>
      </c>
      <c r="F396" t="inlineStr">
        <is>
          <t>VÄRMLANDS LÄN</t>
        </is>
      </c>
      <c r="G396" t="inlineStr">
        <is>
          <t>HAGFORS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46300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46300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19421-2026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46300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45390</v>
      </c>
      <c r="E400" s="1" t="n">
        <v>46300</v>
      </c>
      <c r="F400" t="inlineStr">
        <is>
          <t>VÄRMLANDS LÄN</t>
        </is>
      </c>
      <c r="G400" t="inlineStr">
        <is>
          <t>HAGFORS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46300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36030-2023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45149</v>
      </c>
      <c r="E402" s="1" t="n">
        <v>46300</v>
      </c>
      <c r="F402" t="inlineStr">
        <is>
          <t>VÄRMLANDS LÄN</t>
        </is>
      </c>
      <c r="G402" t="inlineStr">
        <is>
          <t>HAGFORS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46300</v>
      </c>
      <c r="F403" t="inlineStr">
        <is>
          <t>VÄRMLANDS LÄN</t>
        </is>
      </c>
      <c r="G403" t="inlineStr">
        <is>
          <t>HAGFORS</t>
        </is>
      </c>
      <c r="I403" t="n">
        <v>13.5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44812</v>
      </c>
      <c r="E404" s="1" t="n">
        <v>46300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46134</v>
      </c>
      <c r="E405" s="1" t="n">
        <v>46300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46300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46300</v>
      </c>
      <c r="F407" t="inlineStr">
        <is>
          <t>VÄRMLANDS LÄN</t>
        </is>
      </c>
      <c r="G407" t="inlineStr">
        <is>
          <t>HAGFORS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46300</v>
      </c>
      <c r="F408" t="inlineStr">
        <is>
          <t>VÄRMLANDS LÄN</t>
        </is>
      </c>
      <c r="G408" t="inlineStr">
        <is>
          <t>HAGFORS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15538-2024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45401</v>
      </c>
      <c r="E409" s="1" t="n">
        <v>46300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46300</v>
      </c>
      <c r="F410" t="inlineStr">
        <is>
          <t>VÄRMLANDS LÄN</t>
        </is>
      </c>
      <c r="G410" t="inlineStr">
        <is>
          <t>HAGFORS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46300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46300</v>
      </c>
      <c r="F412" t="inlineStr">
        <is>
          <t>VÄRMLANDS LÄN</t>
        </is>
      </c>
      <c r="G412" t="inlineStr">
        <is>
          <t>HAGFORS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46300</v>
      </c>
      <c r="F413" t="inlineStr">
        <is>
          <t>VÄRMLANDS LÄN</t>
        </is>
      </c>
      <c r="G413" t="inlineStr">
        <is>
          <t>HAGFORS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44924</v>
      </c>
      <c r="E414" s="1" t="n">
        <v>46300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46300</v>
      </c>
      <c r="F415" t="inlineStr">
        <is>
          <t>VÄRMLANDS LÄN</t>
        </is>
      </c>
      <c r="G415" t="inlineStr">
        <is>
          <t>HAGFORS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46300</v>
      </c>
      <c r="F416" t="inlineStr">
        <is>
          <t>VÄRMLANDS LÄN</t>
        </is>
      </c>
      <c r="G416" t="inlineStr">
        <is>
          <t>HAGFORS</t>
        </is>
      </c>
      <c r="H416" t="inlineStr">
        <is>
          <t>Kyrkan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46300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45772</v>
      </c>
      <c r="E418" s="1" t="n">
        <v>46300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33440-2025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45841</v>
      </c>
      <c r="E419" s="1" t="n">
        <v>46300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46300</v>
      </c>
      <c r="F420" t="inlineStr">
        <is>
          <t>VÄRMLANDS LÄN</t>
        </is>
      </c>
      <c r="G420" t="inlineStr">
        <is>
          <t>HAGFORS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46300</v>
      </c>
      <c r="F421" t="inlineStr">
        <is>
          <t>VÄRMLANDS LÄN</t>
        </is>
      </c>
      <c r="G421" t="inlineStr">
        <is>
          <t>HAGFORS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33454-2025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46300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46300</v>
      </c>
      <c r="F423" t="inlineStr">
        <is>
          <t>VÄRMLANDS LÄN</t>
        </is>
      </c>
      <c r="G423" t="inlineStr">
        <is>
          <t>HAGFORS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46300</v>
      </c>
      <c r="F424" t="inlineStr">
        <is>
          <t>VÄRMLANDS LÄN</t>
        </is>
      </c>
      <c r="G424" t="inlineStr">
        <is>
          <t>HAGFORS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46300</v>
      </c>
      <c r="F425" t="inlineStr">
        <is>
          <t>VÄRMLANDS LÄN</t>
        </is>
      </c>
      <c r="G425" t="inlineStr">
        <is>
          <t>HAGFORS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46300</v>
      </c>
      <c r="F426" t="inlineStr">
        <is>
          <t>VÄRMLANDS LÄN</t>
        </is>
      </c>
      <c r="G426" t="inlineStr">
        <is>
          <t>HAGFORS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45484</v>
      </c>
      <c r="E427" s="1" t="n">
        <v>46300</v>
      </c>
      <c r="F427" t="inlineStr">
        <is>
          <t>VÄRMLANDS LÄN</t>
        </is>
      </c>
      <c r="G427" t="inlineStr">
        <is>
          <t>HAGFORS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46300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46300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46300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46300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46300</v>
      </c>
      <c r="F432" t="inlineStr">
        <is>
          <t>VÄRMLANDS LÄN</t>
        </is>
      </c>
      <c r="G432" t="inlineStr">
        <is>
          <t>HAGFORS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45684</v>
      </c>
      <c r="E433" s="1" t="n">
        <v>46300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46300</v>
      </c>
      <c r="F434" t="inlineStr">
        <is>
          <t>VÄRMLANDS LÄN</t>
        </is>
      </c>
      <c r="G434" t="inlineStr">
        <is>
          <t>HAGFORS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44638</v>
      </c>
      <c r="E435" s="1" t="n">
        <v>46300</v>
      </c>
      <c r="F435" t="inlineStr">
        <is>
          <t>VÄRMLANDS LÄN</t>
        </is>
      </c>
      <c r="G435" t="inlineStr">
        <is>
          <t>HAGFORS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45784</v>
      </c>
      <c r="E436" s="1" t="n">
        <v>46300</v>
      </c>
      <c r="F436" t="inlineStr">
        <is>
          <t>VÄRMLANDS LÄN</t>
        </is>
      </c>
      <c r="G436" t="inlineStr">
        <is>
          <t>HAGFORS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46300</v>
      </c>
      <c r="F437" t="inlineStr">
        <is>
          <t>VÄRMLANDS LÄN</t>
        </is>
      </c>
      <c r="G437" t="inlineStr">
        <is>
          <t>HAGFORS</t>
        </is>
      </c>
      <c r="H437" t="inlineStr">
        <is>
          <t>Kyrkan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44824</v>
      </c>
      <c r="E438" s="1" t="n">
        <v>46300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46300</v>
      </c>
      <c r="F439" t="inlineStr">
        <is>
          <t>VÄRMLANDS LÄN</t>
        </is>
      </c>
      <c r="G439" t="inlineStr">
        <is>
          <t>HAGFORS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45796</v>
      </c>
      <c r="E440" s="1" t="n">
        <v>46300</v>
      </c>
      <c r="F440" t="inlineStr">
        <is>
          <t>VÄRMLANDS LÄN</t>
        </is>
      </c>
      <c r="G440" t="inlineStr">
        <is>
          <t>HAGFORS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45450</v>
      </c>
      <c r="E441" s="1" t="n">
        <v>46300</v>
      </c>
      <c r="F441" t="inlineStr">
        <is>
          <t>VÄRMLANDS LÄN</t>
        </is>
      </c>
      <c r="G441" t="inlineStr">
        <is>
          <t>HAGFORS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46300</v>
      </c>
      <c r="F442" t="inlineStr">
        <is>
          <t>VÄRMLANDS LÄN</t>
        </is>
      </c>
      <c r="G442" t="inlineStr">
        <is>
          <t>HAGFORS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45854</v>
      </c>
      <c r="E443" s="1" t="n">
        <v>46300</v>
      </c>
      <c r="F443" t="inlineStr">
        <is>
          <t>VÄRMLANDS LÄN</t>
        </is>
      </c>
      <c r="G443" t="inlineStr">
        <is>
          <t>HAGFORS</t>
        </is>
      </c>
      <c r="H443" t="inlineStr">
        <is>
          <t>Kyrkan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47021-2023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45201</v>
      </c>
      <c r="E444" s="1" t="n">
        <v>46300</v>
      </c>
      <c r="F444" t="inlineStr">
        <is>
          <t>VÄRMLANDS LÄN</t>
        </is>
      </c>
      <c r="G444" t="inlineStr">
        <is>
          <t>HAGFORS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46300</v>
      </c>
      <c r="F445" t="inlineStr">
        <is>
          <t>VÄRMLANDS LÄN</t>
        </is>
      </c>
      <c r="G445" t="inlineStr">
        <is>
          <t>HAGFORS</t>
        </is>
      </c>
      <c r="H445" t="inlineStr">
        <is>
          <t>Kyrkan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71447-2021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44540</v>
      </c>
      <c r="E446" s="1" t="n">
        <v>46300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45854</v>
      </c>
      <c r="E447" s="1" t="n">
        <v>46300</v>
      </c>
      <c r="F447" t="inlineStr">
        <is>
          <t>VÄRMLANDS LÄN</t>
        </is>
      </c>
      <c r="G447" t="inlineStr">
        <is>
          <t>HAGFORS</t>
        </is>
      </c>
      <c r="H447" t="inlineStr">
        <is>
          <t>Kyrkan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45873</v>
      </c>
      <c r="E448" s="1" t="n">
        <v>46300</v>
      </c>
      <c r="F448" t="inlineStr">
        <is>
          <t>VÄRMLANDS LÄN</t>
        </is>
      </c>
      <c r="G448" t="inlineStr">
        <is>
          <t>HAGFORS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26615-2024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45469</v>
      </c>
      <c r="E449" s="1" t="n">
        <v>46300</v>
      </c>
      <c r="F449" t="inlineStr">
        <is>
          <t>VÄRMLANDS LÄN</t>
        </is>
      </c>
      <c r="G449" t="inlineStr">
        <is>
          <t>HAGFORS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45720</v>
      </c>
      <c r="E450" s="1" t="n">
        <v>46300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46300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46300</v>
      </c>
      <c r="F452" t="inlineStr">
        <is>
          <t>VÄRMLANDS LÄN</t>
        </is>
      </c>
      <c r="G452" t="inlineStr">
        <is>
          <t>HAGFORS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46300</v>
      </c>
      <c r="F453" t="inlineStr">
        <is>
          <t>VÄRMLANDS LÄN</t>
        </is>
      </c>
      <c r="G453" t="inlineStr">
        <is>
          <t>HAGFORS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45847</v>
      </c>
      <c r="E454" s="1" t="n">
        <v>46300</v>
      </c>
      <c r="F454" t="inlineStr">
        <is>
          <t>VÄRMLANDS LÄN</t>
        </is>
      </c>
      <c r="G454" t="inlineStr">
        <is>
          <t>HAGFORS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45684</v>
      </c>
      <c r="E455" s="1" t="n">
        <v>46300</v>
      </c>
      <c r="F455" t="inlineStr">
        <is>
          <t>VÄRMLANDS LÄN</t>
        </is>
      </c>
      <c r="G455" t="inlineStr">
        <is>
          <t>HAGFORS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45509</v>
      </c>
      <c r="E456" s="1" t="n">
        <v>46300</v>
      </c>
      <c r="F456" t="inlineStr">
        <is>
          <t>VÄRMLANDS LÄN</t>
        </is>
      </c>
      <c r="G456" t="inlineStr">
        <is>
          <t>HAGFORS</t>
        </is>
      </c>
      <c r="H456" t="inlineStr">
        <is>
          <t>Kommuner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44526</v>
      </c>
      <c r="E457" s="1" t="n">
        <v>46300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45097</v>
      </c>
      <c r="E458" s="1" t="n">
        <v>46300</v>
      </c>
      <c r="F458" t="inlineStr">
        <is>
          <t>VÄRMLANDS LÄN</t>
        </is>
      </c>
      <c r="G458" t="inlineStr">
        <is>
          <t>HAGFORS</t>
        </is>
      </c>
      <c r="H458" t="inlineStr">
        <is>
          <t>Kyrkan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45623</v>
      </c>
      <c r="E459" s="1" t="n">
        <v>46300</v>
      </c>
      <c r="F459" t="inlineStr">
        <is>
          <t>VÄRMLANDS LÄN</t>
        </is>
      </c>
      <c r="G459" t="inlineStr">
        <is>
          <t>HAGFORS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44937</v>
      </c>
      <c r="E460" s="1" t="n">
        <v>46300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46300</v>
      </c>
      <c r="F461" t="inlineStr">
        <is>
          <t>VÄRMLANDS LÄN</t>
        </is>
      </c>
      <c r="G461" t="inlineStr">
        <is>
          <t>HAGFORS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45087</v>
      </c>
      <c r="E462" s="1" t="n">
        <v>46300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46300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45527</v>
      </c>
      <c r="E464" s="1" t="n">
        <v>46300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46300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20706-2026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46141</v>
      </c>
      <c r="E466" s="1" t="n">
        <v>46300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46300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44915</v>
      </c>
      <c r="E468" s="1" t="n">
        <v>46300</v>
      </c>
      <c r="F468" t="inlineStr">
        <is>
          <t>VÄRMLANDS LÄN</t>
        </is>
      </c>
      <c r="G468" t="inlineStr">
        <is>
          <t>HAGFORS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46300</v>
      </c>
      <c r="F469" t="inlineStr">
        <is>
          <t>VÄRMLANDS LÄN</t>
        </is>
      </c>
      <c r="G469" t="inlineStr">
        <is>
          <t>HAGFORS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46300</v>
      </c>
      <c r="F470" t="inlineStr">
        <is>
          <t>VÄRMLANDS LÄN</t>
        </is>
      </c>
      <c r="G470" t="inlineStr">
        <is>
          <t>HAGFORS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20564-2026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46300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46300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32604-2025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45838</v>
      </c>
      <c r="E473" s="1" t="n">
        <v>46300</v>
      </c>
      <c r="F473" t="inlineStr">
        <is>
          <t>VÄRMLANDS LÄN</t>
        </is>
      </c>
      <c r="G473" t="inlineStr">
        <is>
          <t>HAGFORS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46300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11126-2024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45371</v>
      </c>
      <c r="E475" s="1" t="n">
        <v>46300</v>
      </c>
      <c r="F475" t="inlineStr">
        <is>
          <t>VÄRMLANDS LÄN</t>
        </is>
      </c>
      <c r="G475" t="inlineStr">
        <is>
          <t>HAGFORS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20752-2026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46141</v>
      </c>
      <c r="E476" s="1" t="n">
        <v>46300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45684</v>
      </c>
      <c r="E477" s="1" t="n">
        <v>46300</v>
      </c>
      <c r="F477" t="inlineStr">
        <is>
          <t>VÄRMLANDS LÄN</t>
        </is>
      </c>
      <c r="G477" t="inlineStr">
        <is>
          <t>HAGFORS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46300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46300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46300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53192-2022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46300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46300</v>
      </c>
      <c r="F482" t="inlineStr">
        <is>
          <t>VÄRMLANDS LÄN</t>
        </is>
      </c>
      <c r="G482" t="inlineStr">
        <is>
          <t>HAGFORS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46300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45084</v>
      </c>
      <c r="E484" s="1" t="n">
        <v>46300</v>
      </c>
      <c r="F484" t="inlineStr">
        <is>
          <t>VÄRMLANDS LÄN</t>
        </is>
      </c>
      <c r="G484" t="inlineStr">
        <is>
          <t>HAGFORS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61902-2021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44502</v>
      </c>
      <c r="E485" s="1" t="n">
        <v>46300</v>
      </c>
      <c r="F485" t="inlineStr">
        <is>
          <t>VÄRMLANDS LÄN</t>
        </is>
      </c>
      <c r="G485" t="inlineStr">
        <is>
          <t>HAGFORS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20880-2026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46142</v>
      </c>
      <c r="E486" s="1" t="n">
        <v>46300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46300</v>
      </c>
      <c r="F487" t="inlineStr">
        <is>
          <t>VÄRMLANDS LÄN</t>
        </is>
      </c>
      <c r="G487" t="inlineStr">
        <is>
          <t>HAGFORS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46300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46300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46300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46300</v>
      </c>
      <c r="F491" t="inlineStr">
        <is>
          <t>VÄRMLANDS LÄN</t>
        </is>
      </c>
      <c r="G491" t="inlineStr">
        <is>
          <t>HAGFORS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46300</v>
      </c>
      <c r="F492" t="inlineStr">
        <is>
          <t>VÄRMLANDS LÄN</t>
        </is>
      </c>
      <c r="G492" t="inlineStr">
        <is>
          <t>HAGFORS</t>
        </is>
      </c>
      <c r="H492" t="inlineStr">
        <is>
          <t>Kommuner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46300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54929-2024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45618</v>
      </c>
      <c r="E494" s="1" t="n">
        <v>46300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44613</v>
      </c>
      <c r="E495" s="1" t="n">
        <v>46300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61169-2024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45645</v>
      </c>
      <c r="E496" s="1" t="n">
        <v>46300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46300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46150</v>
      </c>
      <c r="E498" s="1" t="n">
        <v>46300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24814-2024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46300</v>
      </c>
      <c r="F499" t="inlineStr">
        <is>
          <t>VÄRMLANDS LÄN</t>
        </is>
      </c>
      <c r="G499" t="inlineStr">
        <is>
          <t>HAGFORS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46300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45351</v>
      </c>
      <c r="E501" s="1" t="n">
        <v>46300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45874</v>
      </c>
      <c r="E502" s="1" t="n">
        <v>46300</v>
      </c>
      <c r="F502" t="inlineStr">
        <is>
          <t>VÄRMLANDS LÄN</t>
        </is>
      </c>
      <c r="G502" t="inlineStr">
        <is>
          <t>HAGFORS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46155</v>
      </c>
      <c r="E503" s="1" t="n">
        <v>46300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46300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46300</v>
      </c>
      <c r="F505" t="inlineStr">
        <is>
          <t>VÄRMLANDS LÄN</t>
        </is>
      </c>
      <c r="G505" t="inlineStr">
        <is>
          <t>HAGFORS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46300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46300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46300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46300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46300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46300</v>
      </c>
      <c r="F511" t="inlineStr">
        <is>
          <t>VÄRMLANDS LÄN</t>
        </is>
      </c>
      <c r="G511" t="inlineStr">
        <is>
          <t>HAGFORS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46300</v>
      </c>
      <c r="F512" t="inlineStr">
        <is>
          <t>VÄRMLANDS LÄN</t>
        </is>
      </c>
      <c r="G512" t="inlineStr">
        <is>
          <t>HAGFORS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46300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59048-2022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44903</v>
      </c>
      <c r="E514" s="1" t="n">
        <v>46300</v>
      </c>
      <c r="F514" t="inlineStr">
        <is>
          <t>VÄRMLANDS LÄN</t>
        </is>
      </c>
      <c r="G514" t="inlineStr">
        <is>
          <t>HAGFORS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46300</v>
      </c>
      <c r="F515" t="inlineStr">
        <is>
          <t>VÄRMLANDS LÄN</t>
        </is>
      </c>
      <c r="G515" t="inlineStr">
        <is>
          <t>HAGFORS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46300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8.699999999999999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46300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46300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45502</v>
      </c>
      <c r="E519" s="1" t="n">
        <v>46300</v>
      </c>
      <c r="F519" t="inlineStr">
        <is>
          <t>VÄRMLANDS LÄN</t>
        </is>
      </c>
      <c r="G519" t="inlineStr">
        <is>
          <t>HAGFORS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45057</v>
      </c>
      <c r="E520" s="1" t="n">
        <v>46300</v>
      </c>
      <c r="F520" t="inlineStr">
        <is>
          <t>VÄRMLANDS LÄN</t>
        </is>
      </c>
      <c r="G520" t="inlineStr">
        <is>
          <t>HAGFORS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46300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46300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19554-2024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45429</v>
      </c>
      <c r="E523" s="1" t="n">
        <v>46300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45569</v>
      </c>
      <c r="E524" s="1" t="n">
        <v>46300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45947</v>
      </c>
      <c r="E525" s="1" t="n">
        <v>46300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45356</v>
      </c>
      <c r="E526" s="1" t="n">
        <v>46300</v>
      </c>
      <c r="F526" t="inlineStr">
        <is>
          <t>VÄRMLANDS LÄN</t>
        </is>
      </c>
      <c r="G526" t="inlineStr">
        <is>
          <t>HAGFORS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45869</v>
      </c>
      <c r="E527" s="1" t="n">
        <v>46300</v>
      </c>
      <c r="F527" t="inlineStr">
        <is>
          <t>VÄRMLANDS LÄN</t>
        </is>
      </c>
      <c r="G527" t="inlineStr">
        <is>
          <t>HAGFORS</t>
        </is>
      </c>
      <c r="H527" t="inlineStr">
        <is>
          <t>Kyrkan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46300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46300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44763</v>
      </c>
      <c r="E530" s="1" t="n">
        <v>46300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46300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45476</v>
      </c>
      <c r="E532" s="1" t="n">
        <v>46300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23728-2026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46164</v>
      </c>
      <c r="E533" s="1" t="n">
        <v>46300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16153-2025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45750</v>
      </c>
      <c r="E534" s="1" t="n">
        <v>46300</v>
      </c>
      <c r="F534" t="inlineStr">
        <is>
          <t>VÄRMLANDS LÄN</t>
        </is>
      </c>
      <c r="G534" t="inlineStr">
        <is>
          <t>HAGFORS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45420</v>
      </c>
      <c r="E535" s="1" t="n">
        <v>46300</v>
      </c>
      <c r="F535" t="inlineStr">
        <is>
          <t>VÄRMLANDS LÄN</t>
        </is>
      </c>
      <c r="G535" t="inlineStr">
        <is>
          <t>HAGFORS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46300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45831</v>
      </c>
      <c r="E537" s="1" t="n">
        <v>46300</v>
      </c>
      <c r="F537" t="inlineStr">
        <is>
          <t>VÄRMLANDS LÄN</t>
        </is>
      </c>
      <c r="G537" t="inlineStr">
        <is>
          <t>HAGFORS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45831</v>
      </c>
      <c r="E538" s="1" t="n">
        <v>46300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24238-2026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46300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8.1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46300</v>
      </c>
      <c r="F540" t="inlineStr">
        <is>
          <t>VÄRMLANDS LÄN</t>
        </is>
      </c>
      <c r="G540" t="inlineStr">
        <is>
          <t>HAGFORS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46300</v>
      </c>
      <c r="F541" t="inlineStr">
        <is>
          <t>VÄRMLANDS LÄN</t>
        </is>
      </c>
      <c r="G541" t="inlineStr">
        <is>
          <t>HAGFORS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46300</v>
      </c>
      <c r="F542" t="inlineStr">
        <is>
          <t>VÄRMLANDS LÄN</t>
        </is>
      </c>
      <c r="G542" t="inlineStr">
        <is>
          <t>HAGFORS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44984</v>
      </c>
      <c r="E543" s="1" t="n">
        <v>46300</v>
      </c>
      <c r="F543" t="inlineStr">
        <is>
          <t>VÄRMLANDS LÄN</t>
        </is>
      </c>
      <c r="G543" t="inlineStr">
        <is>
          <t>HAGFORS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24625-2026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46171</v>
      </c>
      <c r="E544" s="1" t="n">
        <v>46300</v>
      </c>
      <c r="F544" t="inlineStr">
        <is>
          <t>VÄRMLANDS LÄN</t>
        </is>
      </c>
      <c r="G544" t="inlineStr">
        <is>
          <t>HAGFORS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34540-2024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45525</v>
      </c>
      <c r="E545" s="1" t="n">
        <v>46300</v>
      </c>
      <c r="F545" t="inlineStr">
        <is>
          <t>VÄRMLANDS LÄN</t>
        </is>
      </c>
      <c r="G545" t="inlineStr">
        <is>
          <t>HAGFORS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46300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24677-2026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46171</v>
      </c>
      <c r="E547" s="1" t="n">
        <v>46300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24761-2026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46171</v>
      </c>
      <c r="E548" s="1" t="n">
        <v>46300</v>
      </c>
      <c r="F548" t="inlineStr">
        <is>
          <t>VÄRMLANDS LÄN</t>
        </is>
      </c>
      <c r="G548" t="inlineStr">
        <is>
          <t>HAGFORS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24628-2026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46171</v>
      </c>
      <c r="E549" s="1" t="n">
        <v>46300</v>
      </c>
      <c r="F549" t="inlineStr">
        <is>
          <t>VÄRMLANDS LÄN</t>
        </is>
      </c>
      <c r="G549" t="inlineStr">
        <is>
          <t>HAGFORS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46300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46300</v>
      </c>
      <c r="F551" t="inlineStr">
        <is>
          <t>VÄRMLANDS LÄN</t>
        </is>
      </c>
      <c r="G551" t="inlineStr">
        <is>
          <t>HAGFORS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24699-2026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46171</v>
      </c>
      <c r="E552" s="1" t="n">
        <v>46300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45533</v>
      </c>
      <c r="E553" s="1" t="n">
        <v>46300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24626-2026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46300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65065-2023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45287</v>
      </c>
      <c r="E555" s="1" t="n">
        <v>46300</v>
      </c>
      <c r="F555" t="inlineStr">
        <is>
          <t>VÄRMLANDS LÄN</t>
        </is>
      </c>
      <c r="G555" t="inlineStr">
        <is>
          <t>HAGFORS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46171</v>
      </c>
      <c r="E556" s="1" t="n">
        <v>46300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46300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46300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46178</v>
      </c>
      <c r="E559" s="1" t="n">
        <v>46300</v>
      </c>
      <c r="F559" t="inlineStr">
        <is>
          <t>VÄRMLANDS LÄN</t>
        </is>
      </c>
      <c r="G559" t="inlineStr">
        <is>
          <t>HAGFORS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45614</v>
      </c>
      <c r="E560" s="1" t="n">
        <v>46300</v>
      </c>
      <c r="F560" t="inlineStr">
        <is>
          <t>VÄRMLANDS LÄN</t>
        </is>
      </c>
      <c r="G560" t="inlineStr">
        <is>
          <t>HAGFORS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45226</v>
      </c>
      <c r="E561" s="1" t="n">
        <v>46300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45765</v>
      </c>
      <c r="E562" s="1" t="n">
        <v>46300</v>
      </c>
      <c r="F562" t="inlineStr">
        <is>
          <t>VÄRMLANDS LÄN</t>
        </is>
      </c>
      <c r="G562" t="inlineStr">
        <is>
          <t>HAGFORS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46300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46300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46300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36.8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45223</v>
      </c>
      <c r="E566" s="1" t="n">
        <v>46300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46300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46300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56165-2024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45624</v>
      </c>
      <c r="E569" s="1" t="n">
        <v>46300</v>
      </c>
      <c r="F569" t="inlineStr">
        <is>
          <t>VÄRMLANDS LÄN</t>
        </is>
      </c>
      <c r="G569" t="inlineStr">
        <is>
          <t>HAGFORS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46300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46300</v>
      </c>
      <c r="F571" t="inlineStr">
        <is>
          <t>VÄRMLANDS LÄN</t>
        </is>
      </c>
      <c r="G571" t="inlineStr">
        <is>
          <t>HAGFORS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46300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46300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33.4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45475</v>
      </c>
      <c r="E574" s="1" t="n">
        <v>46300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45475</v>
      </c>
      <c r="E575" s="1" t="n">
        <v>46300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46300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45534</v>
      </c>
      <c r="E577" s="1" t="n">
        <v>46300</v>
      </c>
      <c r="F577" t="inlineStr">
        <is>
          <t>VÄRMLANDS LÄN</t>
        </is>
      </c>
      <c r="G577" t="inlineStr">
        <is>
          <t>HAGFORS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44582</v>
      </c>
      <c r="E578" s="1" t="n">
        <v>46300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26740-2026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46300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20103-2024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46300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46300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46300</v>
      </c>
      <c r="F582" t="inlineStr">
        <is>
          <t>VÄRMLANDS LÄN</t>
        </is>
      </c>
      <c r="G582" t="inlineStr">
        <is>
          <t>HAGFORS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46300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46300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45725</v>
      </c>
      <c r="E585" s="1" t="n">
        <v>46300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45400</v>
      </c>
      <c r="E586" s="1" t="n">
        <v>46300</v>
      </c>
      <c r="F586" t="inlineStr">
        <is>
          <t>VÄRMLANDS LÄN</t>
        </is>
      </c>
      <c r="G586" t="inlineStr">
        <is>
          <t>HAGFORS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46300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46300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46300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46300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46426-2024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45582</v>
      </c>
      <c r="E591" s="1" t="n">
        <v>46300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46300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46300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46300</v>
      </c>
      <c r="F594" t="inlineStr">
        <is>
          <t>VÄRMLANDS LÄN</t>
        </is>
      </c>
      <c r="G594" t="inlineStr">
        <is>
          <t>HAGFORS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44567</v>
      </c>
      <c r="E595" s="1" t="n">
        <v>46300</v>
      </c>
      <c r="F595" t="inlineStr">
        <is>
          <t>VÄRMLANDS LÄN</t>
        </is>
      </c>
      <c r="G595" t="inlineStr">
        <is>
          <t>HAGFORS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45526</v>
      </c>
      <c r="E596" s="1" t="n">
        <v>46300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27394-2026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46300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45140</v>
      </c>
      <c r="E598" s="1" t="n">
        <v>46300</v>
      </c>
      <c r="F598" t="inlineStr">
        <is>
          <t>VÄRMLANDS LÄN</t>
        </is>
      </c>
      <c r="G598" t="inlineStr">
        <is>
          <t>HAGFORS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46300</v>
      </c>
      <c r="F599" t="inlineStr">
        <is>
          <t>VÄRMLANDS LÄN</t>
        </is>
      </c>
      <c r="G599" t="inlineStr">
        <is>
          <t>HAGFORS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46300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46300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54757-2022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44883</v>
      </c>
      <c r="E602" s="1" t="n">
        <v>46300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45238-2024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46300</v>
      </c>
      <c r="F603" t="inlineStr">
        <is>
          <t>VÄRMLANDS LÄN</t>
        </is>
      </c>
      <c r="G603" t="inlineStr">
        <is>
          <t>HAGFORS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28185-2026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46300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37085-2023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45155</v>
      </c>
      <c r="E605" s="1" t="n">
        <v>46300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37463-2022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44809</v>
      </c>
      <c r="E606" s="1" t="n">
        <v>46300</v>
      </c>
      <c r="F606" t="inlineStr">
        <is>
          <t>VÄRMLANDS LÄN</t>
        </is>
      </c>
      <c r="G606" t="inlineStr">
        <is>
          <t>HAGFORS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45268</v>
      </c>
      <c r="E607" s="1" t="n">
        <v>46300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45057</v>
      </c>
      <c r="E608" s="1" t="n">
        <v>46300</v>
      </c>
      <c r="F608" t="inlineStr">
        <is>
          <t>VÄRMLANDS LÄN</t>
        </is>
      </c>
      <c r="G608" t="inlineStr">
        <is>
          <t>HAGFORS</t>
        </is>
      </c>
      <c r="H608" t="inlineStr">
        <is>
          <t>Kyrkan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46300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28720-2026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46300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46300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53813-2024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45615</v>
      </c>
      <c r="E612" s="1" t="n">
        <v>46300</v>
      </c>
      <c r="F612" t="inlineStr">
        <is>
          <t>VÄRMLANDS LÄN</t>
        </is>
      </c>
      <c r="G612" t="inlineStr">
        <is>
          <t>HAGFORS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46300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46200</v>
      </c>
      <c r="E614" s="1" t="n">
        <v>46300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46200</v>
      </c>
      <c r="E615" s="1" t="n">
        <v>46300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27855-2026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46191</v>
      </c>
      <c r="E616" s="1" t="n">
        <v>46300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45470</v>
      </c>
      <c r="E617" s="1" t="n">
        <v>46300</v>
      </c>
      <c r="F617" t="inlineStr">
        <is>
          <t>VÄRMLANDS LÄN</t>
        </is>
      </c>
      <c r="G617" t="inlineStr">
        <is>
          <t>HAGFORS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46300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25258-2023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45079</v>
      </c>
      <c r="E619" s="1" t="n">
        <v>46300</v>
      </c>
      <c r="F619" t="inlineStr">
        <is>
          <t>VÄRMLANDS LÄN</t>
        </is>
      </c>
      <c r="G619" t="inlineStr">
        <is>
          <t>HAGFORS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46300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46300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46300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46300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46300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46300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46300</v>
      </c>
      <c r="F626" t="inlineStr">
        <is>
          <t>VÄRMLANDS LÄN</t>
        </is>
      </c>
      <c r="G626" t="inlineStr">
        <is>
          <t>HAGFORS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46300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46300</v>
      </c>
      <c r="F628" t="inlineStr">
        <is>
          <t>VÄRMLANDS LÄN</t>
        </is>
      </c>
      <c r="G628" t="inlineStr">
        <is>
          <t>HAGFORS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46300</v>
      </c>
      <c r="F629" t="inlineStr">
        <is>
          <t>VÄRMLANDS LÄN</t>
        </is>
      </c>
      <c r="G629" t="inlineStr">
        <is>
          <t>HAGFORS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29950-2026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46300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49766-2023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45212</v>
      </c>
      <c r="E631" s="1" t="n">
        <v>46300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46300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47516-2023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45203</v>
      </c>
      <c r="E633" s="1" t="n">
        <v>46300</v>
      </c>
      <c r="F633" t="inlineStr">
        <is>
          <t>VÄRMLANDS LÄN</t>
        </is>
      </c>
      <c r="G633" t="inlineStr">
        <is>
          <t>HAGFORS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46300</v>
      </c>
      <c r="F634" t="inlineStr">
        <is>
          <t>VÄRMLANDS LÄN</t>
        </is>
      </c>
      <c r="G634" t="inlineStr">
        <is>
          <t>HAGFORS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31657-2024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45506</v>
      </c>
      <c r="E635" s="1" t="n">
        <v>46300</v>
      </c>
      <c r="F635" t="inlineStr">
        <is>
          <t>VÄRMLANDS LÄN</t>
        </is>
      </c>
      <c r="G635" t="inlineStr">
        <is>
          <t>HAGFORS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46300</v>
      </c>
      <c r="F636" t="inlineStr">
        <is>
          <t>VÄRMLANDS LÄN</t>
        </is>
      </c>
      <c r="G636" t="inlineStr">
        <is>
          <t>HAGFORS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46300</v>
      </c>
      <c r="F637" t="inlineStr">
        <is>
          <t>VÄRMLANDS LÄN</t>
        </is>
      </c>
      <c r="G637" t="inlineStr">
        <is>
          <t>HAGFORS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46300</v>
      </c>
      <c r="F638" t="inlineStr">
        <is>
          <t>VÄRMLANDS LÄN</t>
        </is>
      </c>
      <c r="G638" t="inlineStr">
        <is>
          <t>HAGFORS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44951</v>
      </c>
      <c r="E639" s="1" t="n">
        <v>46300</v>
      </c>
      <c r="F639" t="inlineStr">
        <is>
          <t>VÄRMLANDS LÄN</t>
        </is>
      </c>
      <c r="G639" t="inlineStr">
        <is>
          <t>HAGFORS</t>
        </is>
      </c>
      <c r="H639" t="inlineStr">
        <is>
          <t>Kommuner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64936-2023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45282</v>
      </c>
      <c r="E640" s="1" t="n">
        <v>46300</v>
      </c>
      <c r="F640" t="inlineStr">
        <is>
          <t>VÄRMLANDS LÄN</t>
        </is>
      </c>
      <c r="G640" t="inlineStr">
        <is>
          <t>HAGFORS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46300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46300</v>
      </c>
      <c r="F642" t="inlineStr">
        <is>
          <t>VÄRMLANDS LÄN</t>
        </is>
      </c>
      <c r="G642" t="inlineStr">
        <is>
          <t>HAGFORS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45436</v>
      </c>
      <c r="E643" s="1" t="n">
        <v>46300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3426-2023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46300</v>
      </c>
      <c r="F644" t="inlineStr">
        <is>
          <t>VÄRMLANDS LÄN</t>
        </is>
      </c>
      <c r="G644" t="inlineStr">
        <is>
          <t>HAGFORS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30914-2026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46213</v>
      </c>
      <c r="E645" s="1" t="n">
        <v>46300</v>
      </c>
      <c r="F645" t="inlineStr">
        <is>
          <t>VÄRMLANDS LÄN</t>
        </is>
      </c>
      <c r="G645" t="inlineStr">
        <is>
          <t>HAGFORS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30327-2022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44760</v>
      </c>
      <c r="E646" s="1" t="n">
        <v>46300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46300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19583-2023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45050</v>
      </c>
      <c r="E648" s="1" t="n">
        <v>46300</v>
      </c>
      <c r="F648" t="inlineStr">
        <is>
          <t>VÄRMLANDS LÄN</t>
        </is>
      </c>
      <c r="G648" t="inlineStr">
        <is>
          <t>HAGFORS</t>
        </is>
      </c>
      <c r="H648" t="inlineStr">
        <is>
          <t>Kommuner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46300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46300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46261</v>
      </c>
      <c r="E651" s="1" t="n">
        <v>46300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35310-2026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46300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39029-2022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44817</v>
      </c>
      <c r="E653" s="1" t="n">
        <v>46300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45681</v>
      </c>
      <c r="E654" s="1" t="n">
        <v>46300</v>
      </c>
      <c r="F654" t="inlineStr">
        <is>
          <t>VÄRMLANDS LÄN</t>
        </is>
      </c>
      <c r="G654" t="inlineStr">
        <is>
          <t>HAGFORS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46260</v>
      </c>
      <c r="E655" s="1" t="n">
        <v>46300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18.2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15228-2024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45400</v>
      </c>
      <c r="E656" s="1" t="n">
        <v>46300</v>
      </c>
      <c r="F656" t="inlineStr">
        <is>
          <t>VÄRMLANDS LÄN</t>
        </is>
      </c>
      <c r="G656" t="inlineStr">
        <is>
          <t>HAGFORS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35781-2026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46265</v>
      </c>
      <c r="E657" s="1" t="n">
        <v>46300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11744-2024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45373</v>
      </c>
      <c r="E658" s="1" t="n">
        <v>46300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45525</v>
      </c>
      <c r="E659" s="1" t="n">
        <v>46300</v>
      </c>
      <c r="F659" t="inlineStr">
        <is>
          <t>VÄRMLANDS LÄN</t>
        </is>
      </c>
      <c r="G659" t="inlineStr">
        <is>
          <t>HAGFORS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46265</v>
      </c>
      <c r="E660" s="1" t="n">
        <v>46300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35574-2026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46262</v>
      </c>
      <c r="E661" s="1" t="n">
        <v>46300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46267</v>
      </c>
      <c r="E662" s="1" t="n">
        <v>46300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30180-2023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45110</v>
      </c>
      <c r="E663" s="1" t="n">
        <v>46300</v>
      </c>
      <c r="F663" t="inlineStr">
        <is>
          <t>VÄRMLANDS LÄN</t>
        </is>
      </c>
      <c r="G663" t="inlineStr">
        <is>
          <t>HAGFORS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46300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46300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8.800000000000001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46300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46300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58808-2022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44903</v>
      </c>
      <c r="E668" s="1" t="n">
        <v>46300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46226</v>
      </c>
      <c r="E669" s="1" t="n">
        <v>46300</v>
      </c>
      <c r="F669" t="inlineStr">
        <is>
          <t>VÄRMLANDS LÄN</t>
        </is>
      </c>
      <c r="G669" t="inlineStr">
        <is>
          <t>HAGFORS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46225</v>
      </c>
      <c r="E670" s="1" t="n">
        <v>46300</v>
      </c>
      <c r="F670" t="inlineStr">
        <is>
          <t>VÄRMLANDS LÄN</t>
        </is>
      </c>
      <c r="G670" t="inlineStr">
        <is>
          <t>HAGFORS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20652-2022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44700</v>
      </c>
      <c r="E671" s="1" t="n">
        <v>46300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46225</v>
      </c>
      <c r="E672" s="1" t="n">
        <v>46300</v>
      </c>
      <c r="F672" t="inlineStr">
        <is>
          <t>VÄRMLANDS LÄN</t>
        </is>
      </c>
      <c r="G672" t="inlineStr">
        <is>
          <t>HAGFORS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46300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18170-2024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45420</v>
      </c>
      <c r="E674" s="1" t="n">
        <v>46300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58132-2024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45632</v>
      </c>
      <c r="E675" s="1" t="n">
        <v>46300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46272</v>
      </c>
      <c r="E676" s="1" t="n">
        <v>46300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36721-2026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46300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45679</v>
      </c>
      <c r="E678" s="1" t="n">
        <v>46300</v>
      </c>
      <c r="F678" t="inlineStr">
        <is>
          <t>VÄRMLANDS LÄN</t>
        </is>
      </c>
      <c r="G678" t="inlineStr">
        <is>
          <t>HAGFORS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36676-2026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46300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36728-2026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46300</v>
      </c>
      <c r="F680" t="inlineStr">
        <is>
          <t>VÄRMLANDS LÄN</t>
        </is>
      </c>
      <c r="G680" t="inlineStr">
        <is>
          <t>HAGFORS</t>
        </is>
      </c>
      <c r="H680" t="inlineStr">
        <is>
          <t>Kyrkan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36221-2026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46268</v>
      </c>
      <c r="E681" s="1" t="n">
        <v>46300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46269</v>
      </c>
      <c r="E682" s="1" t="n">
        <v>46300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46300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14897-2024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45398</v>
      </c>
      <c r="E684" s="1" t="n">
        <v>46300</v>
      </c>
      <c r="F684" t="inlineStr">
        <is>
          <t>VÄRMLANDS LÄN</t>
        </is>
      </c>
      <c r="G684" t="inlineStr">
        <is>
          <t>HAGFORS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46300</v>
      </c>
      <c r="F685" t="inlineStr">
        <is>
          <t>VÄRMLANDS LÄN</t>
        </is>
      </c>
      <c r="G685" t="inlineStr">
        <is>
          <t>HAGFORS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46300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7.1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46300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46300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37269-2026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46300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36110-2026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46267</v>
      </c>
      <c r="E690" s="1" t="n">
        <v>46300</v>
      </c>
      <c r="F690" t="inlineStr">
        <is>
          <t>VÄRMLANDS LÄN</t>
        </is>
      </c>
      <c r="G690" t="inlineStr">
        <is>
          <t>HAGFORS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46300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46233</v>
      </c>
      <c r="E692" s="1" t="n">
        <v>46300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46300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46279</v>
      </c>
      <c r="E694" s="1" t="n">
        <v>46300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46300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46300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38053-2026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46300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37963-2026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46280</v>
      </c>
      <c r="E698" s="1" t="n">
        <v>46300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38031-2026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46280</v>
      </c>
      <c r="E699" s="1" t="n">
        <v>46300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46300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8.5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46300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46300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45244</v>
      </c>
      <c r="E703" s="1" t="n">
        <v>46300</v>
      </c>
      <c r="F703" t="inlineStr">
        <is>
          <t>VÄRMLANDS LÄN</t>
        </is>
      </c>
      <c r="G703" t="inlineStr">
        <is>
          <t>HAGFORS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46300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38244-2026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46281</v>
      </c>
      <c r="E705" s="1" t="n">
        <v>46300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46300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38573-2026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46283</v>
      </c>
      <c r="E707" s="1" t="n">
        <v>46300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46300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46283</v>
      </c>
      <c r="E709" s="1" t="n">
        <v>46300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32507-2026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46300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45054</v>
      </c>
      <c r="E711" s="1" t="n">
        <v>46300</v>
      </c>
      <c r="F711" t="inlineStr">
        <is>
          <t>VÄRMLANDS LÄN</t>
        </is>
      </c>
      <c r="G711" t="inlineStr">
        <is>
          <t>HAGFORS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38477-2026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46300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46300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46300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19.3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46300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49753-2023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45212</v>
      </c>
      <c r="E716" s="1" t="n">
        <v>46300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46300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38342-2026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46282</v>
      </c>
      <c r="E718" s="1" t="n">
        <v>46300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46300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46300</v>
      </c>
      <c r="F720" t="inlineStr">
        <is>
          <t>VÄRMLANDS LÄN</t>
        </is>
      </c>
      <c r="G720" t="inlineStr">
        <is>
          <t>HAGFORS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56888-2023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45244</v>
      </c>
      <c r="E721" s="1" t="n">
        <v>46300</v>
      </c>
      <c r="F721" t="inlineStr">
        <is>
          <t>VÄRMLANDS LÄN</t>
        </is>
      </c>
      <c r="G721" t="inlineStr">
        <is>
          <t>HAGFORS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46300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8304-2022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44610</v>
      </c>
      <c r="E723" s="1" t="n">
        <v>46300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39070-2026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46287</v>
      </c>
      <c r="E724" s="1" t="n">
        <v>46300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38951-2026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46286</v>
      </c>
      <c r="E725" s="1" t="n">
        <v>46300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46287</v>
      </c>
      <c r="E726" s="1" t="n">
        <v>46300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46241</v>
      </c>
      <c r="E727" s="1" t="n">
        <v>46300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19056-2026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46132</v>
      </c>
      <c r="E728" s="1" t="n">
        <v>46300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32713-2026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46241</v>
      </c>
      <c r="E729" s="1" t="n">
        <v>46300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46300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3557-2023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44950</v>
      </c>
      <c r="E731" s="1" t="n">
        <v>46300</v>
      </c>
      <c r="F731" t="inlineStr">
        <is>
          <t>VÄRMLANDS LÄN</t>
        </is>
      </c>
      <c r="G731" t="inlineStr">
        <is>
          <t>HAGFORS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44950</v>
      </c>
      <c r="E732" s="1" t="n">
        <v>46300</v>
      </c>
      <c r="F732" t="inlineStr">
        <is>
          <t>VÄRMLANDS LÄN</t>
        </is>
      </c>
      <c r="G732" t="inlineStr">
        <is>
          <t>HAGFORS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46241</v>
      </c>
      <c r="E733" s="1" t="n">
        <v>46300</v>
      </c>
      <c r="F733" t="inlineStr">
        <is>
          <t>VÄRMLANDS LÄN</t>
        </is>
      </c>
      <c r="G733" t="inlineStr">
        <is>
          <t>HAGFORS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33146-2024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45518</v>
      </c>
      <c r="E734" s="1" t="n">
        <v>46300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42223-2022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44830</v>
      </c>
      <c r="E735" s="1" t="n">
        <v>46300</v>
      </c>
      <c r="F735" t="inlineStr">
        <is>
          <t>VÄRMLANDS LÄN</t>
        </is>
      </c>
      <c r="G735" t="inlineStr">
        <is>
          <t>HAGFORS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45428</v>
      </c>
      <c r="E736" s="1" t="n">
        <v>46300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46300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39345-2026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46288</v>
      </c>
      <c r="E738" s="1" t="n">
        <v>46300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39347-2026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46300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8.5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39382-2026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46300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39532-2026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46289</v>
      </c>
      <c r="E741" s="1" t="n">
        <v>46300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46289</v>
      </c>
      <c r="E742" s="1" t="n">
        <v>46300</v>
      </c>
      <c r="F742" t="inlineStr">
        <is>
          <t>VÄRMLANDS LÄN</t>
        </is>
      </c>
      <c r="G742" t="inlineStr">
        <is>
          <t>HAGFORS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39605-2026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46289</v>
      </c>
      <c r="E743" s="1" t="n">
        <v>46300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46245</v>
      </c>
      <c r="E744" s="1" t="n">
        <v>46300</v>
      </c>
      <c r="F744" t="inlineStr">
        <is>
          <t>VÄRMLANDS LÄN</t>
        </is>
      </c>
      <c r="G744" t="inlineStr">
        <is>
          <t>HAGFORS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11241-2024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45371</v>
      </c>
      <c r="E745" s="1" t="n">
        <v>46300</v>
      </c>
      <c r="F745" t="inlineStr">
        <is>
          <t>VÄRMLANDS LÄN</t>
        </is>
      </c>
      <c r="G745" t="inlineStr">
        <is>
          <t>HAGFORS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18585-2025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45763</v>
      </c>
      <c r="E746" s="1" t="n">
        <v>46300</v>
      </c>
      <c r="F746" t="inlineStr">
        <is>
          <t>VÄRMLANDS LÄN</t>
        </is>
      </c>
      <c r="G746" t="inlineStr">
        <is>
          <t>HAGFORS</t>
        </is>
      </c>
      <c r="H746" t="inlineStr">
        <is>
          <t>Kyrkan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46300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39706-2026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46290</v>
      </c>
      <c r="E748" s="1" t="n">
        <v>46300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39727-2026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46290</v>
      </c>
      <c r="E749" s="1" t="n">
        <v>46300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46290</v>
      </c>
      <c r="E750" s="1" t="n">
        <v>46300</v>
      </c>
      <c r="F750" t="inlineStr">
        <is>
          <t>VÄRMLANDS LÄN</t>
        </is>
      </c>
      <c r="G750" t="inlineStr">
        <is>
          <t>HAGFORS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40206-2026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46293</v>
      </c>
      <c r="E751" s="1" t="n">
        <v>46300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46300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39708-2026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46290</v>
      </c>
      <c r="E753" s="1" t="n">
        <v>46300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46293</v>
      </c>
      <c r="E754" s="1" t="n">
        <v>46300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40125-2026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46300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40203-2026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46300</v>
      </c>
      <c r="F756" t="inlineStr">
        <is>
          <t>VÄRMLANDS LÄN</t>
        </is>
      </c>
      <c r="G756" t="inlineStr">
        <is>
          <t>HAGFORS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46300</v>
      </c>
      <c r="F757" t="inlineStr">
        <is>
          <t>VÄRMLANDS LÄN</t>
        </is>
      </c>
      <c r="G757" t="inlineStr">
        <is>
          <t>HAGFORS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47019-2023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45201</v>
      </c>
      <c r="E758" s="1" t="n">
        <v>46300</v>
      </c>
      <c r="F758" t="inlineStr">
        <is>
          <t>VÄRMLANDS LÄN</t>
        </is>
      </c>
      <c r="G758" t="inlineStr">
        <is>
          <t>HAGFORS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40148-2026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46300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39825-2026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46290</v>
      </c>
      <c r="E760" s="1" t="n">
        <v>46300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46300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46300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46300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60664-2023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45259</v>
      </c>
      <c r="E764" s="1" t="n">
        <v>46300</v>
      </c>
      <c r="F764" t="inlineStr">
        <is>
          <t>VÄRMLANDS LÄN</t>
        </is>
      </c>
      <c r="G764" t="inlineStr">
        <is>
          <t>HAGFORS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35775-2024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45532</v>
      </c>
      <c r="E765" s="1" t="n">
        <v>46300</v>
      </c>
      <c r="F765" t="inlineStr">
        <is>
          <t>VÄRMLANDS LÄN</t>
        </is>
      </c>
      <c r="G765" t="inlineStr">
        <is>
          <t>HAGFORS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40130-2026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46300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46300</v>
      </c>
      <c r="F767" t="inlineStr">
        <is>
          <t>VÄRMLANDS LÄN</t>
        </is>
      </c>
      <c r="G767" t="inlineStr">
        <is>
          <t>HAGFORS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33627-2026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46248</v>
      </c>
      <c r="E768" s="1" t="n">
        <v>46300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39881-2026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46300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40207-2026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46300</v>
      </c>
      <c r="F770" t="inlineStr">
        <is>
          <t>VÄRMLANDS LÄN</t>
        </is>
      </c>
      <c r="G770" t="inlineStr">
        <is>
          <t>HAGFORS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46290</v>
      </c>
      <c r="E771" s="1" t="n">
        <v>46300</v>
      </c>
      <c r="F771" t="inlineStr">
        <is>
          <t>VÄRMLANDS LÄN</t>
        </is>
      </c>
      <c r="G771" t="inlineStr">
        <is>
          <t>HAGFORS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50929-2023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45211</v>
      </c>
      <c r="E772" s="1" t="n">
        <v>46300</v>
      </c>
      <c r="F772" t="inlineStr">
        <is>
          <t>VÄRMLANDS LÄN</t>
        </is>
      </c>
      <c r="G772" t="inlineStr">
        <is>
          <t>HAGFORS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57359-2022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44896</v>
      </c>
      <c r="E773" s="1" t="n">
        <v>46300</v>
      </c>
      <c r="F773" t="inlineStr">
        <is>
          <t>VÄRMLANDS LÄN</t>
        </is>
      </c>
      <c r="G773" t="inlineStr">
        <is>
          <t>HAGFORS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41092-2024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45559</v>
      </c>
      <c r="E774" s="1" t="n">
        <v>46300</v>
      </c>
      <c r="F774" t="inlineStr">
        <is>
          <t>VÄRMLANDS LÄN</t>
        </is>
      </c>
      <c r="G774" t="inlineStr">
        <is>
          <t>HAGFORS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46300</v>
      </c>
      <c r="F775" t="inlineStr">
        <is>
          <t>VÄRMLANDS LÄN</t>
        </is>
      </c>
      <c r="G775" t="inlineStr">
        <is>
          <t>HAGFORS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58084-2024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45632</v>
      </c>
      <c r="E776" s="1" t="n">
        <v>46300</v>
      </c>
      <c r="F776" t="inlineStr">
        <is>
          <t>VÄRMLANDS LÄN</t>
        </is>
      </c>
      <c r="G776" t="inlineStr">
        <is>
          <t>HAGFORS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19702-2022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44694</v>
      </c>
      <c r="E777" s="1" t="n">
        <v>46300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40538-2026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46295</v>
      </c>
      <c r="E778" s="1" t="n">
        <v>46300</v>
      </c>
      <c r="F778" t="inlineStr">
        <is>
          <t>VÄRMLANDS LÄN</t>
        </is>
      </c>
      <c r="G778" t="inlineStr">
        <is>
          <t>HAGFORS</t>
        </is>
      </c>
      <c r="H778" t="inlineStr">
        <is>
          <t>Kommuner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46300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33833-2026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46251</v>
      </c>
      <c r="E780" s="1" t="n">
        <v>46300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46252</v>
      </c>
      <c r="E781" s="1" t="n">
        <v>46300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40547-2026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46300</v>
      </c>
      <c r="F782" t="inlineStr">
        <is>
          <t>VÄRMLANDS LÄN</t>
        </is>
      </c>
      <c r="G782" t="inlineStr">
        <is>
          <t>HAGFORS</t>
        </is>
      </c>
      <c r="H782" t="inlineStr">
        <is>
          <t>Kommuner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40537-2026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46295</v>
      </c>
      <c r="E783" s="1" t="n">
        <v>46300</v>
      </c>
      <c r="F783" t="inlineStr">
        <is>
          <t>VÄRMLANDS LÄN</t>
        </is>
      </c>
      <c r="G783" t="inlineStr">
        <is>
          <t>HAGFORS</t>
        </is>
      </c>
      <c r="H783" t="inlineStr">
        <is>
          <t>Kommuner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40428-2026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46300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40440-2026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46300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40351-2026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46300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22503-2024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45447</v>
      </c>
      <c r="E787" s="1" t="n">
        <v>46300</v>
      </c>
      <c r="F787" t="inlineStr">
        <is>
          <t>VÄRMLANDS LÄN</t>
        </is>
      </c>
      <c r="G787" t="inlineStr">
        <is>
          <t>HAGFORS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4279-2024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45324</v>
      </c>
      <c r="E788" s="1" t="n">
        <v>46300</v>
      </c>
      <c r="F788" t="inlineStr">
        <is>
          <t>VÄRMLANDS LÄN</t>
        </is>
      </c>
      <c r="G788" t="inlineStr">
        <is>
          <t>HAGFORS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44571</v>
      </c>
      <c r="E789" s="1" t="n">
        <v>46300</v>
      </c>
      <c r="F789" t="inlineStr">
        <is>
          <t>VÄRMLANDS LÄN</t>
        </is>
      </c>
      <c r="G789" t="inlineStr">
        <is>
          <t>HAGFORS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45446</v>
      </c>
      <c r="E790" s="1" t="n">
        <v>46300</v>
      </c>
      <c r="F790" t="inlineStr">
        <is>
          <t>VÄRMLANDS LÄN</t>
        </is>
      </c>
      <c r="G790" t="inlineStr">
        <is>
          <t>HAGFORS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12426-2024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45379</v>
      </c>
      <c r="E791" s="1" t="n">
        <v>46300</v>
      </c>
      <c r="F791" t="inlineStr">
        <is>
          <t>VÄRMLANDS LÄN</t>
        </is>
      </c>
      <c r="G791" t="inlineStr">
        <is>
          <t>HAGFORS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8922-2025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45713</v>
      </c>
      <c r="E792" s="1" t="n">
        <v>46300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46300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46300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17882-2025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45758</v>
      </c>
      <c r="E795" s="1" t="n">
        <v>46300</v>
      </c>
      <c r="F795" t="inlineStr">
        <is>
          <t>VÄRMLANDS LÄN</t>
        </is>
      </c>
      <c r="G795" t="inlineStr">
        <is>
          <t>HAGFORS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7332-2025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45703</v>
      </c>
      <c r="E796" s="1" t="n">
        <v>46300</v>
      </c>
      <c r="F796" t="inlineStr">
        <is>
          <t>VÄRMLANDS LÄN</t>
        </is>
      </c>
      <c r="G796" t="inlineStr">
        <is>
          <t>HAGFORS</t>
        </is>
      </c>
      <c r="H796" t="inlineStr">
        <is>
          <t>Kyrkan</t>
        </is>
      </c>
      <c r="I796" t="n">
        <v>15.9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17329-2024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45414</v>
      </c>
      <c r="E797" s="1" t="n">
        <v>46300</v>
      </c>
      <c r="F797" t="inlineStr">
        <is>
          <t>VÄRMLANDS LÄN</t>
        </is>
      </c>
      <c r="G797" t="inlineStr">
        <is>
          <t>HAGFORS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46255</v>
      </c>
      <c r="E798" s="1" t="n">
        <v>46300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34456-2026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46254</v>
      </c>
      <c r="E799" s="1" t="n">
        <v>46300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3980-2025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45684</v>
      </c>
      <c r="E800" s="1" t="n">
        <v>46300</v>
      </c>
      <c r="F800" t="inlineStr">
        <is>
          <t>VÄRMLANDS LÄN</t>
        </is>
      </c>
      <c r="G800" t="inlineStr">
        <is>
          <t>HAGFORS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46300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46300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46251</v>
      </c>
      <c r="E803" s="1" t="n">
        <v>46300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45226</v>
      </c>
      <c r="E804" s="1" t="n">
        <v>46300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45671</v>
      </c>
      <c r="E805" s="1" t="n">
        <v>46300</v>
      </c>
      <c r="F805" t="inlineStr">
        <is>
          <t>VÄRMLANDS LÄN</t>
        </is>
      </c>
      <c r="G805" t="inlineStr">
        <is>
          <t>HAGFORS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48276-2024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46300</v>
      </c>
      <c r="F806" t="inlineStr">
        <is>
          <t>VÄRMLANDS LÄN</t>
        </is>
      </c>
      <c r="G806" t="inlineStr">
        <is>
          <t>HAGFORS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54751-2022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44883</v>
      </c>
      <c r="E807" s="1" t="n">
        <v>46300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32149-2023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45107</v>
      </c>
      <c r="E808" s="1" t="n">
        <v>46300</v>
      </c>
      <c r="F808" t="inlineStr">
        <is>
          <t>VÄRMLANDS LÄN</t>
        </is>
      </c>
      <c r="G808" t="inlineStr">
        <is>
          <t>HAGFORS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52494-2024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45609</v>
      </c>
      <c r="E809" s="1" t="n">
        <v>46300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45692</v>
      </c>
      <c r="E810" s="1" t="n">
        <v>46300</v>
      </c>
      <c r="F810" t="inlineStr">
        <is>
          <t>VÄRMLANDS LÄN</t>
        </is>
      </c>
      <c r="G810" t="inlineStr">
        <is>
          <t>HAGFORS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10562-2024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45366</v>
      </c>
      <c r="E811" s="1" t="n">
        <v>46300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5482-2022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44595</v>
      </c>
      <c r="E812" s="1" t="n">
        <v>46300</v>
      </c>
      <c r="F812" t="inlineStr">
        <is>
          <t>VÄRMLANDS LÄN</t>
        </is>
      </c>
      <c r="G812" t="inlineStr">
        <is>
          <t>HAGFORS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60167-2023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45258</v>
      </c>
      <c r="E813" s="1" t="n">
        <v>46300</v>
      </c>
      <c r="F813" t="inlineStr">
        <is>
          <t>VÄRMLANDS LÄN</t>
        </is>
      </c>
      <c r="G813" t="inlineStr">
        <is>
          <t>HAGFORS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60178-2023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45258</v>
      </c>
      <c r="E814" s="1" t="n">
        <v>46300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4748-2024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45328</v>
      </c>
      <c r="E815" s="1" t="n">
        <v>46300</v>
      </c>
      <c r="F815" t="inlineStr">
        <is>
          <t>VÄRMLANDS LÄN</t>
        </is>
      </c>
      <c r="G815" t="inlineStr">
        <is>
          <t>HAGFORS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16525-2023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45029</v>
      </c>
      <c r="E816" s="1" t="n">
        <v>46300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41603-2023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45175</v>
      </c>
      <c r="E817" s="1" t="n">
        <v>46300</v>
      </c>
      <c r="F817" t="inlineStr">
        <is>
          <t>VÄRMLANDS LÄN</t>
        </is>
      </c>
      <c r="G817" t="inlineStr">
        <is>
          <t>HAGFORS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45726</v>
      </c>
      <c r="E818" s="1" t="n">
        <v>46300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56895-2023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45244</v>
      </c>
      <c r="E819" s="1" t="n">
        <v>46300</v>
      </c>
      <c r="F819" t="inlineStr">
        <is>
          <t>VÄRMLANDS LÄN</t>
        </is>
      </c>
      <c r="G819" t="inlineStr">
        <is>
          <t>HAGFORS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46300</v>
      </c>
      <c r="F820" t="inlineStr">
        <is>
          <t>VÄRMLANDS LÄN</t>
        </is>
      </c>
      <c r="G820" t="inlineStr">
        <is>
          <t>HAGFORS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42150-2024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46300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40835-2023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45172</v>
      </c>
      <c r="E822" s="1" t="n">
        <v>46300</v>
      </c>
      <c r="F822" t="inlineStr">
        <is>
          <t>VÄRMLANDS LÄN</t>
        </is>
      </c>
      <c r="G822" t="inlineStr">
        <is>
          <t>HAGFORS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47028-2023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45201</v>
      </c>
      <c r="E823" s="1" t="n">
        <v>46300</v>
      </c>
      <c r="F823" t="inlineStr">
        <is>
          <t>VÄRMLANDS LÄN</t>
        </is>
      </c>
      <c r="G823" t="inlineStr">
        <is>
          <t>HAGFORS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30520-2024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45492</v>
      </c>
      <c r="E824" s="1" t="n">
        <v>46300</v>
      </c>
      <c r="F824" t="inlineStr">
        <is>
          <t>VÄRMLANDS LÄN</t>
        </is>
      </c>
      <c r="G824" t="inlineStr">
        <is>
          <t>HAGFORS</t>
        </is>
      </c>
      <c r="H824" t="inlineStr">
        <is>
          <t>Kyrkan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33399-2024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45519</v>
      </c>
      <c r="E825" s="1" t="n">
        <v>46300</v>
      </c>
      <c r="F825" t="inlineStr">
        <is>
          <t>VÄRMLANDS LÄN</t>
        </is>
      </c>
      <c r="G825" t="inlineStr">
        <is>
          <t>HAGFORS</t>
        </is>
      </c>
      <c r="I825" t="n">
        <v>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10236-2022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44622</v>
      </c>
      <c r="E826" s="1" t="n">
        <v>46300</v>
      </c>
      <c r="F826" t="inlineStr">
        <is>
          <t>VÄRMLANDS LÄN</t>
        </is>
      </c>
      <c r="G826" t="inlineStr">
        <is>
          <t>HAGFORS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46792-2022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44851</v>
      </c>
      <c r="E827" s="1" t="n">
        <v>46300</v>
      </c>
      <c r="F827" t="inlineStr">
        <is>
          <t>VÄRMLANDS LÄN</t>
        </is>
      </c>
      <c r="G827" t="inlineStr">
        <is>
          <t>HAGFORS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32033-2024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45510</v>
      </c>
      <c r="E828" s="1" t="n">
        <v>46300</v>
      </c>
      <c r="F828" t="inlineStr">
        <is>
          <t>VÄRMLANDS LÄN</t>
        </is>
      </c>
      <c r="G828" t="inlineStr">
        <is>
          <t>HAGFORS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54744-2024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45618</v>
      </c>
      <c r="E829" s="1" t="n">
        <v>46300</v>
      </c>
      <c r="F829" t="inlineStr">
        <is>
          <t>VÄRMLANDS LÄN</t>
        </is>
      </c>
      <c r="G829" t="inlineStr">
        <is>
          <t>HAGFORS</t>
        </is>
      </c>
      <c r="H829" t="inlineStr">
        <is>
          <t>Kyrkan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39640-2022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44817</v>
      </c>
      <c r="E830" s="1" t="n">
        <v>46300</v>
      </c>
      <c r="F830" t="inlineStr">
        <is>
          <t>VÄRMLANDS LÄN</t>
        </is>
      </c>
      <c r="G830" t="inlineStr">
        <is>
          <t>HAGFORS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1931-2024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45308</v>
      </c>
      <c r="E831" s="1" t="n">
        <v>46300</v>
      </c>
      <c r="F831" t="inlineStr">
        <is>
          <t>VÄRMLANDS LÄN</t>
        </is>
      </c>
      <c r="G831" t="inlineStr">
        <is>
          <t>HAGFORS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57159-2024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45629</v>
      </c>
      <c r="E832" s="1" t="n">
        <v>46300</v>
      </c>
      <c r="F832" t="inlineStr">
        <is>
          <t>VÄRMLANDS LÄN</t>
        </is>
      </c>
      <c r="G832" t="inlineStr">
        <is>
          <t>HAGFORS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34404-2023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45132</v>
      </c>
      <c r="E833" s="1" t="n">
        <v>46300</v>
      </c>
      <c r="F833" t="inlineStr">
        <is>
          <t>VÄRMLANDS LÄN</t>
        </is>
      </c>
      <c r="G833" t="inlineStr">
        <is>
          <t>HAGFORS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11160-2025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45723</v>
      </c>
      <c r="E834" s="1" t="n">
        <v>46300</v>
      </c>
      <c r="F834" t="inlineStr">
        <is>
          <t>VÄRMLANDS LÄN</t>
        </is>
      </c>
      <c r="G834" t="inlineStr">
        <is>
          <t>HAGFORS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43998-2024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45572</v>
      </c>
      <c r="E835" s="1" t="n">
        <v>46300</v>
      </c>
      <c r="F835" t="inlineStr">
        <is>
          <t>VÄRMLANDS LÄN</t>
        </is>
      </c>
      <c r="G835" t="inlineStr">
        <is>
          <t>HAGFORS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13282-2024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45386</v>
      </c>
      <c r="E836" s="1" t="n">
        <v>46300</v>
      </c>
      <c r="F836" t="inlineStr">
        <is>
          <t>VÄRMLANDS LÄN</t>
        </is>
      </c>
      <c r="G836" t="inlineStr">
        <is>
          <t>HAGFORS</t>
        </is>
      </c>
      <c r="H836" t="inlineStr">
        <is>
          <t>Kommuner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44728-2023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45190</v>
      </c>
      <c r="E837" s="1" t="n">
        <v>46300</v>
      </c>
      <c r="F837" t="inlineStr">
        <is>
          <t>VÄRMLANDS LÄN</t>
        </is>
      </c>
      <c r="G837" t="inlineStr">
        <is>
          <t>HAGFORS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42168-2024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45562</v>
      </c>
      <c r="E838" s="1" t="n">
        <v>46300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42170-2024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45562</v>
      </c>
      <c r="E839" s="1" t="n">
        <v>46300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42171-2024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45562</v>
      </c>
      <c r="E840" s="1" t="n">
        <v>46300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42243-2024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45562</v>
      </c>
      <c r="E841" s="1" t="n">
        <v>46300</v>
      </c>
      <c r="F841" t="inlineStr">
        <is>
          <t>VÄRMLANDS LÄN</t>
        </is>
      </c>
      <c r="G841" t="inlineStr">
        <is>
          <t>HAGFORS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6980-2022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44603</v>
      </c>
      <c r="E842" s="1" t="n">
        <v>46300</v>
      </c>
      <c r="F842" t="inlineStr">
        <is>
          <t>VÄRMLANDS LÄN</t>
        </is>
      </c>
      <c r="G842" t="inlineStr">
        <is>
          <t>HAGFORS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36013-2023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45149</v>
      </c>
      <c r="E843" s="1" t="n">
        <v>46300</v>
      </c>
      <c r="F843" t="inlineStr">
        <is>
          <t>VÄRMLANDS LÄN</t>
        </is>
      </c>
      <c r="G843" t="inlineStr">
        <is>
          <t>HAGFORS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61311-2023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45264</v>
      </c>
      <c r="E844" s="1" t="n">
        <v>46300</v>
      </c>
      <c r="F844" t="inlineStr">
        <is>
          <t>VÄRMLANDS LÄN</t>
        </is>
      </c>
      <c r="G844" t="inlineStr">
        <is>
          <t>HAGFORS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61315-2023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45264</v>
      </c>
      <c r="E845" s="1" t="n">
        <v>46300</v>
      </c>
      <c r="F845" t="inlineStr">
        <is>
          <t>VÄRMLANDS LÄN</t>
        </is>
      </c>
      <c r="G845" t="inlineStr">
        <is>
          <t>HAGFORS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18907-2025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45764</v>
      </c>
      <c r="E846" s="1" t="n">
        <v>46300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17305-2023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45035</v>
      </c>
      <c r="E847" s="1" t="n">
        <v>46300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31178-2022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44770</v>
      </c>
      <c r="E848" s="1" t="n">
        <v>46300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10.1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59552-2024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45638</v>
      </c>
      <c r="E849" s="1" t="n">
        <v>46300</v>
      </c>
      <c r="F849" t="inlineStr">
        <is>
          <t>VÄRMLANDS LÄN</t>
        </is>
      </c>
      <c r="G849" t="inlineStr">
        <is>
          <t>HAGFORS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21067-2025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45777</v>
      </c>
      <c r="E850" s="1" t="n">
        <v>46300</v>
      </c>
      <c r="F850" t="inlineStr">
        <is>
          <t>VÄRMLANDS LÄN</t>
        </is>
      </c>
      <c r="G850" t="inlineStr">
        <is>
          <t>HAGFORS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21723-2025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45783</v>
      </c>
      <c r="E851" s="1" t="n">
        <v>46300</v>
      </c>
      <c r="F851" t="inlineStr">
        <is>
          <t>VÄRMLANDS LÄN</t>
        </is>
      </c>
      <c r="G851" t="inlineStr">
        <is>
          <t>HAGFORS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24680-2024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45460</v>
      </c>
      <c r="E852" s="1" t="n">
        <v>46300</v>
      </c>
      <c r="F852" t="inlineStr">
        <is>
          <t>VÄRMLANDS LÄN</t>
        </is>
      </c>
      <c r="G852" t="inlineStr">
        <is>
          <t>HAGFORS</t>
        </is>
      </c>
      <c r="I852" t="n">
        <v>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17833-2022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44683</v>
      </c>
      <c r="E853" s="1" t="n">
        <v>46300</v>
      </c>
      <c r="F853" t="inlineStr">
        <is>
          <t>VÄRMLANDS LÄN</t>
        </is>
      </c>
      <c r="G853" t="inlineStr">
        <is>
          <t>HAGFORS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47425-2024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45587</v>
      </c>
      <c r="E854" s="1" t="n">
        <v>46300</v>
      </c>
      <c r="F854" t="inlineStr">
        <is>
          <t>VÄRMLANDS LÄN</t>
        </is>
      </c>
      <c r="G854" t="inlineStr">
        <is>
          <t>HAGFORS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40332-2023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45169</v>
      </c>
      <c r="E855" s="1" t="n">
        <v>46300</v>
      </c>
      <c r="F855" t="inlineStr">
        <is>
          <t>VÄRMLANDS LÄN</t>
        </is>
      </c>
      <c r="G855" t="inlineStr">
        <is>
          <t>HAGFORS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2225-2020</t>
        </is>
      </c>
      <c r="B856" t="inlineStr">
        <is>
          <t>samrådsanmälan</t>
        </is>
      </c>
      <c r="C856" t="inlineStr">
        <is>
          <t>Åtgärd i nyckelbiotop</t>
        </is>
      </c>
      <c r="D856" s="1" t="n">
        <v>44127</v>
      </c>
      <c r="E856" s="1" t="n">
        <v>46300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2050-2022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44671</v>
      </c>
      <c r="E857" s="1" t="n">
        <v>46300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4419-2023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46300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35.6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4420-2023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45266</v>
      </c>
      <c r="E859" s="1" t="n">
        <v>46300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937-2022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44606</v>
      </c>
      <c r="E860" s="1" t="n">
        <v>46300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59.4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4426-2023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45266</v>
      </c>
      <c r="E861" s="1" t="n">
        <v>46300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9.699999999999999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5512-2022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44834</v>
      </c>
      <c r="E862" s="1" t="n">
        <v>46300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29.9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931-2022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46300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49.5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4415-2023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46300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9.199999999999999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46300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6970-2022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44901</v>
      </c>
      <c r="E866" s="1" t="n">
        <v>46300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29.3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4408-2023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45266</v>
      </c>
      <c r="E867" s="1" t="n">
        <v>46300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13.7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6968-2022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46300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19.3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4423-2023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46300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4418-2023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46300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907-2022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44606</v>
      </c>
      <c r="E871" s="1" t="n">
        <v>46300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43.5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651-2024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45356</v>
      </c>
      <c r="E872" s="1" t="n">
        <v>46300</v>
      </c>
      <c r="F872" t="inlineStr">
        <is>
          <t>VÄRMLANDS LÄN</t>
        </is>
      </c>
      <c r="G872" t="inlineStr">
        <is>
          <t>HAGFORS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913-2022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44606</v>
      </c>
      <c r="E873" s="1" t="n">
        <v>46300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4145-2023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45247</v>
      </c>
      <c r="E874" s="1" t="n">
        <v>46300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6967-2022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44901</v>
      </c>
      <c r="E875" s="1" t="n">
        <v>46300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27.1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89-2025</t>
        </is>
      </c>
      <c r="B876" t="inlineStr">
        <is>
          <t>samrådsanmälan</t>
        </is>
      </c>
      <c r="C876" t="inlineStr">
        <is>
          <t>Åtgärd i nyckelbiotop</t>
        </is>
      </c>
      <c r="D876" s="1" t="n">
        <v>45316</v>
      </c>
      <c r="E876" s="1" t="n">
        <v>46300</v>
      </c>
      <c r="F876" t="inlineStr">
        <is>
          <t>VÄRMLANDS LÄN</t>
        </is>
      </c>
      <c r="G876" t="inlineStr">
        <is>
          <t>HAGFORS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6969-2022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44901</v>
      </c>
      <c r="E877" s="1" t="n">
        <v>46300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220-2025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45680</v>
      </c>
      <c r="E878" s="1" t="n">
        <v>46300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898-2022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46300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4150-2023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45247</v>
      </c>
      <c r="E880" s="1" t="n">
        <v>46300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34.4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46300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39.3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900-2022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46300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914-2022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46300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19.3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4409-2023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46300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4155-2023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46300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40.9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4140-2023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45247</v>
      </c>
      <c r="E886" s="1" t="n">
        <v>46300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6977-2022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46300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6973-2022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46300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4143-2023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46300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4407-2023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46300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6965-2022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46300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662-2025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45716</v>
      </c>
      <c r="E892" s="1" t="n">
        <v>46300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108-2026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46037</v>
      </c>
      <c r="E893" s="1" t="n">
        <v>46300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204.4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46036</v>
      </c>
      <c r="E894" s="1" t="n">
        <v>46300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57.9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60-2026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46013</v>
      </c>
      <c r="E895" s="1" t="n">
        <v>46300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382-2025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45691</v>
      </c>
      <c r="E896" s="1" t="n">
        <v>46300</v>
      </c>
      <c r="F896" t="inlineStr">
        <is>
          <t>VÄRMLANDS LÄN</t>
        </is>
      </c>
      <c r="G896" t="inlineStr">
        <is>
          <t>HAGFORS</t>
        </is>
      </c>
      <c r="I896" t="n">
        <v>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2026-10-05T01:56:03Z</dcterms:created>
  <dcterms:modified xmlns:dcterms="http://purl.org/dc/terms/" xmlns:xsi="http://www.w3.org/2001/XMLSchema-instance" xsi:type="dcterms:W3CDTF">2026-10-05T01:56:04Z</dcterms:modified>
</cp:coreProperties>
</file>