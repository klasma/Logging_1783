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46219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s="2" t="inlineStr">
        <is>
          <t>Garnlav
Brunpudrad nållav
Dropptaggsvamp
Kolflarnlav
Lunglav
Mörk kolflarnlav
Skrovellav
Skuggblåslav
Vedskivlav
Vedtrappmossa
Bollvitmossa
Skinnlav</t>
        </is>
      </c>
      <c r="V2">
        <f>HYPERLINK("https://klasma.github.io/Logging_1783/artfynd/A 57613-2023 artfynd.xlsx", "A 57613-2023")</f>
        <v/>
      </c>
      <c r="W2">
        <f>HYPERLINK("https://klasma.github.io/Logging_1783/kartor/A 57613-2023 karta.png", "A 57613-2023")</f>
        <v/>
      </c>
      <c r="Y2">
        <f>HYPERLINK("https://klasma.github.io/Logging_1783/klagomål/A 57613-2023 FSC-klagomål.docx", "A 57613-2023")</f>
        <v/>
      </c>
      <c r="Z2">
        <f>HYPERLINK("https://klasma.github.io/Logging_1783/klagomålsmail/A 57613-2023 FSC-klagomål mail.docx", "A 57613-2023")</f>
        <v/>
      </c>
      <c r="AA2">
        <f>HYPERLINK("https://klasma.github.io/Logging_1783/tillsyn/A 57613-2023 tillsynsbegäran.docx", "A 57613-2023")</f>
        <v/>
      </c>
      <c r="AB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46219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s="2" t="inlineStr">
        <is>
          <t>Dropptaggsvamp
Dvärgbägarlav
Kolflarnlav
Kortskaftad ärgspik
Lunglav
Skuggblåslav
Smal trollknäppare
Vedskivlav
Vedtrappmossa
Bårdlav
Korallblylav
Vedticka</t>
        </is>
      </c>
      <c r="V3">
        <f>HYPERLINK("https://klasma.github.io/Logging_1783/artfynd/A 39627-2023 artfynd.xlsx", "A 39627-2023")</f>
        <v/>
      </c>
      <c r="W3">
        <f>HYPERLINK("https://klasma.github.io/Logging_1783/kartor/A 39627-2023 karta.png", "A 39627-2023")</f>
        <v/>
      </c>
      <c r="Y3">
        <f>HYPERLINK("https://klasma.github.io/Logging_1783/klagomål/A 39627-2023 FSC-klagomål.docx", "A 39627-2023")</f>
        <v/>
      </c>
      <c r="Z3">
        <f>HYPERLINK("https://klasma.github.io/Logging_1783/klagomålsmail/A 39627-2023 FSC-klagomål mail.docx", "A 39627-2023")</f>
        <v/>
      </c>
      <c r="AA3">
        <f>HYPERLINK("https://klasma.github.io/Logging_1783/tillsyn/A 39627-2023 tillsynsbegäran.docx", "A 39627-2023")</f>
        <v/>
      </c>
      <c r="AB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46219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s="2" t="inlineStr">
        <is>
          <t>Garnlav
Gränsticka
Knärot
Gammelgransskål
Rosenticka
Ullticka
Vedtrappmossa
Björksplintborre
Vedticka
Vågbandad barkbock
Spillkråka</t>
        </is>
      </c>
      <c r="V4">
        <f>HYPERLINK("https://klasma.github.io/Logging_1783/artfynd/A 54844-2024 artfynd.xlsx", "A 54844-2024")</f>
        <v/>
      </c>
      <c r="W4">
        <f>HYPERLINK("https://klasma.github.io/Logging_1783/kartor/A 54844-2024 karta.png", "A 54844-2024")</f>
        <v/>
      </c>
      <c r="X4">
        <f>HYPERLINK("https://klasma.github.io/Logging_1783/knärot/A 54844-2024 karta knärot.png", "A 54844-2024")</f>
        <v/>
      </c>
      <c r="Y4">
        <f>HYPERLINK("https://klasma.github.io/Logging_1783/klagomål/A 54844-2024 FSC-klagomål.docx", "A 54844-2024")</f>
        <v/>
      </c>
      <c r="Z4">
        <f>HYPERLINK("https://klasma.github.io/Logging_1783/klagomålsmail/A 54844-2024 FSC-klagomål mail.docx", "A 54844-2024")</f>
        <v/>
      </c>
      <c r="AA4">
        <f>HYPERLINK("https://klasma.github.io/Logging_1783/tillsyn/A 54844-2024 tillsynsbegäran.docx", "A 54844-2024")</f>
        <v/>
      </c>
      <c r="AB4">
        <f>HYPERLINK("https://klasma.github.io/Logging_1783/tillsynsmail/A 54844-2024 tillsynsbegäran mail.docx", "A 54844-2024")</f>
        <v/>
      </c>
      <c r="AC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46219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s="2" t="inlineStr">
        <is>
          <t>Garnlav
Kattfotslav
Kolflarnlav
Lunglav
Mörk kolflarnlav
Vedskivlav
Korallblylav
Spindelblomster
Stuplav</t>
        </is>
      </c>
      <c r="V5">
        <f>HYPERLINK("https://klasma.github.io/Logging_1783/artfynd/A 46698-2021 artfynd.xlsx", "A 46698-2021")</f>
        <v/>
      </c>
      <c r="W5">
        <f>HYPERLINK("https://klasma.github.io/Logging_1783/kartor/A 46698-2021 karta.png", "A 46698-2021")</f>
        <v/>
      </c>
      <c r="Y5">
        <f>HYPERLINK("https://klasma.github.io/Logging_1783/klagomål/A 46698-2021 FSC-klagomål.docx", "A 46698-2021")</f>
        <v/>
      </c>
      <c r="Z5">
        <f>HYPERLINK("https://klasma.github.io/Logging_1783/klagomålsmail/A 46698-2021 FSC-klagomål mail.docx", "A 46698-2021")</f>
        <v/>
      </c>
      <c r="AA5">
        <f>HYPERLINK("https://klasma.github.io/Logging_1783/tillsyn/A 46698-2021 tillsynsbegäran.docx", "A 46698-2021")</f>
        <v/>
      </c>
      <c r="AB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46219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s="2" t="inlineStr">
        <is>
          <t>Garnlav
Lunglav
Skuggblåslav
Vedtrappmossa
Bronshjon
Korallblylav
Mindre märgborre
Thomsons trägnagare
Vanlig flatbagge</t>
        </is>
      </c>
      <c r="V6">
        <f>HYPERLINK("https://klasma.github.io/Logging_1783/artfynd/S 196-2025 artfynd.xlsx", "S 196-2025")</f>
        <v/>
      </c>
      <c r="W6">
        <f>HYPERLINK("https://klasma.github.io/Logging_1783/kartor/S 196-2025 karta.png", "S 196-2025")</f>
        <v/>
      </c>
      <c r="Y6">
        <f>HYPERLINK("https://klasma.github.io/Logging_1783/klagomål/S 196-2025 FSC-klagomål.docx", "S 196-2025")</f>
        <v/>
      </c>
      <c r="Z6">
        <f>HYPERLINK("https://klasma.github.io/Logging_1783/klagomålsmail/S 196-2025 FSC-klagomål mail.docx", "S 196-2025")</f>
        <v/>
      </c>
      <c r="AA6">
        <f>HYPERLINK("https://klasma.github.io/Logging_1783/tillsyn/S 196-2025 tillsynsbegäran.docx", "S 196-2025")</f>
        <v/>
      </c>
      <c r="AB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46219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s="2" t="inlineStr">
        <is>
          <t>Garnlav
Dropptaggsvamp
Kattfotslav
Lunglav
Vedtrappmossa
Bronshjon
Korallblylav
Thomsons trägnagare</t>
        </is>
      </c>
      <c r="V7">
        <f>HYPERLINK("https://klasma.github.io/Logging_1783/artfynd/A 29984-2024 artfynd.xlsx", "A 29984-2024")</f>
        <v/>
      </c>
      <c r="W7">
        <f>HYPERLINK("https://klasma.github.io/Logging_1783/kartor/A 29984-2024 karta.png", "A 29984-2024")</f>
        <v/>
      </c>
      <c r="Y7">
        <f>HYPERLINK("https://klasma.github.io/Logging_1783/klagomål/A 29984-2024 FSC-klagomål.docx", "A 29984-2024")</f>
        <v/>
      </c>
      <c r="Z7">
        <f>HYPERLINK("https://klasma.github.io/Logging_1783/klagomålsmail/A 29984-2024 FSC-klagomål mail.docx", "A 29984-2024")</f>
        <v/>
      </c>
      <c r="AA7">
        <f>HYPERLINK("https://klasma.github.io/Logging_1783/tillsyn/A 29984-2024 tillsynsbegäran.docx", "A 29984-2024")</f>
        <v/>
      </c>
      <c r="AB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46219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s="2" t="inlineStr">
        <is>
          <t>Garnlav
Dropptaggsvamp
Kolflarnlav
Lunglav
Mörk kolflarnlav
Vedskivlav
Stuplav</t>
        </is>
      </c>
      <c r="V8">
        <f>HYPERLINK("https://klasma.github.io/Logging_1783/artfynd/A 40910-2023 artfynd.xlsx", "A 40910-2023")</f>
        <v/>
      </c>
      <c r="W8">
        <f>HYPERLINK("https://klasma.github.io/Logging_1783/kartor/A 40910-2023 karta.png", "A 40910-2023")</f>
        <v/>
      </c>
      <c r="Y8">
        <f>HYPERLINK("https://klasma.github.io/Logging_1783/klagomål/A 40910-2023 FSC-klagomål.docx", "A 40910-2023")</f>
        <v/>
      </c>
      <c r="Z8">
        <f>HYPERLINK("https://klasma.github.io/Logging_1783/klagomålsmail/A 40910-2023 FSC-klagomål mail.docx", "A 40910-2023")</f>
        <v/>
      </c>
      <c r="AA8">
        <f>HYPERLINK("https://klasma.github.io/Logging_1783/tillsyn/A 40910-2023 tillsynsbegäran.docx", "A 40910-2023")</f>
        <v/>
      </c>
      <c r="AB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46219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s="2" t="inlineStr">
        <is>
          <t>Aspgelélav
Knärot
Violettgrå tagellav
Dvärgtufs
Korallblylav
Stuplav</t>
        </is>
      </c>
      <c r="V9">
        <f>HYPERLINK("https://klasma.github.io/Logging_1783/artfynd/A 56054-2025 artfynd.xlsx", "A 56054-2025")</f>
        <v/>
      </c>
      <c r="W9">
        <f>HYPERLINK("https://klasma.github.io/Logging_1783/kartor/A 56054-2025 karta.png", "A 56054-2025")</f>
        <v/>
      </c>
      <c r="X9">
        <f>HYPERLINK("https://klasma.github.io/Logging_1783/knärot/A 56054-2025 karta knärot.png", "A 56054-2025")</f>
        <v/>
      </c>
      <c r="Y9">
        <f>HYPERLINK("https://klasma.github.io/Logging_1783/klagomål/A 56054-2025 FSC-klagomål.docx", "A 56054-2025")</f>
        <v/>
      </c>
      <c r="Z9">
        <f>HYPERLINK("https://klasma.github.io/Logging_1783/klagomålsmail/A 56054-2025 FSC-klagomål mail.docx", "A 56054-2025")</f>
        <v/>
      </c>
      <c r="AA9">
        <f>HYPERLINK("https://klasma.github.io/Logging_1783/tillsyn/A 56054-2025 tillsynsbegäran.docx", "A 56054-2025")</f>
        <v/>
      </c>
      <c r="AB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46219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s="2" t="inlineStr">
        <is>
          <t>Dropptaggsvamp
Dvärgbägarlav
Mörk kolflarnlav
Tretåig hackspett
Vedskivlav
Flagellkvastmossa</t>
        </is>
      </c>
      <c r="V10">
        <f>HYPERLINK("https://klasma.github.io/Logging_1783/artfynd/S 614-2026 artfynd.xlsx", "S 614-2026")</f>
        <v/>
      </c>
      <c r="W10">
        <f>HYPERLINK("https://klasma.github.io/Logging_1783/kartor/S 614-2026 karta.png", "S 614-2026")</f>
        <v/>
      </c>
      <c r="Y10">
        <f>HYPERLINK("https://klasma.github.io/Logging_1783/klagomål/S 614-2026 FSC-klagomål.docx", "S 614-2026")</f>
        <v/>
      </c>
      <c r="Z10">
        <f>HYPERLINK("https://klasma.github.io/Logging_1783/klagomålsmail/S 614-2026 FSC-klagomål mail.docx", "S 614-2026")</f>
        <v/>
      </c>
      <c r="AA10">
        <f>HYPERLINK("https://klasma.github.io/Logging_1783/tillsyn/S 614-2026 tillsynsbegäran.docx", "S 614-2026")</f>
        <v/>
      </c>
      <c r="AB10">
        <f>HYPERLINK("https://klasma.github.io/Logging_1783/tillsynsmail/S 614-2026 tillsynsbegäran mail.docx", "S 614-2026")</f>
        <v/>
      </c>
      <c r="AC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46219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s="2" t="inlineStr">
        <is>
          <t>Bårdlav
Svart trolldruva
Trådticka
Vedticka
Nattviol</t>
        </is>
      </c>
      <c r="V11">
        <f>HYPERLINK("https://klasma.github.io/Logging_1783/artfynd/A 44506-2025 artfynd.xlsx", "A 44506-2025")</f>
        <v/>
      </c>
      <c r="W11">
        <f>HYPERLINK("https://klasma.github.io/Logging_1783/kartor/A 44506-2025 karta.png", "A 44506-2025")</f>
        <v/>
      </c>
      <c r="Y11">
        <f>HYPERLINK("https://klasma.github.io/Logging_1783/klagomål/A 44506-2025 FSC-klagomål.docx", "A 44506-2025")</f>
        <v/>
      </c>
      <c r="Z11">
        <f>HYPERLINK("https://klasma.github.io/Logging_1783/klagomålsmail/A 44506-2025 FSC-klagomål mail.docx", "A 44506-2025")</f>
        <v/>
      </c>
      <c r="AA11">
        <f>HYPERLINK("https://klasma.github.io/Logging_1783/tillsyn/A 44506-2025 tillsynsbegäran.docx", "A 44506-2025")</f>
        <v/>
      </c>
      <c r="AB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46219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s="2" t="inlineStr">
        <is>
          <t>Garnlav
Dropptaggsvamp
Kortskaftad ärgspik
Mörk kolflarnlav
Mindre märgborre</t>
        </is>
      </c>
      <c r="V12">
        <f>HYPERLINK("https://klasma.github.io/Logging_1783/artfynd/A 17619-2023 artfynd.xlsx", "A 17619-2023")</f>
        <v/>
      </c>
      <c r="W12">
        <f>HYPERLINK("https://klasma.github.io/Logging_1783/kartor/A 17619-2023 karta.png", "A 17619-2023")</f>
        <v/>
      </c>
      <c r="Y12">
        <f>HYPERLINK("https://klasma.github.io/Logging_1783/klagomål/A 17619-2023 FSC-klagomål.docx", "A 17619-2023")</f>
        <v/>
      </c>
      <c r="Z12">
        <f>HYPERLINK("https://klasma.github.io/Logging_1783/klagomålsmail/A 17619-2023 FSC-klagomål mail.docx", "A 17619-2023")</f>
        <v/>
      </c>
      <c r="AA12">
        <f>HYPERLINK("https://klasma.github.io/Logging_1783/tillsyn/A 17619-2023 tillsynsbegäran.docx", "A 17619-2023")</f>
        <v/>
      </c>
      <c r="AB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46219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Vårärt
Dvärghäxört
Svart trolldruva
Tibast
Underviol</t>
        </is>
      </c>
      <c r="V13">
        <f>HYPERLINK("https://klasma.github.io/Logging_1783/artfynd/A 61205-2024 artfynd.xlsx", "A 61205-2024")</f>
        <v/>
      </c>
      <c r="W13">
        <f>HYPERLINK("https://klasma.github.io/Logging_1783/kartor/A 61205-2024 karta.png", "A 61205-2024")</f>
        <v/>
      </c>
      <c r="Y13">
        <f>HYPERLINK("https://klasma.github.io/Logging_1783/klagomål/A 61205-2024 FSC-klagomål.docx", "A 61205-2024")</f>
        <v/>
      </c>
      <c r="Z13">
        <f>HYPERLINK("https://klasma.github.io/Logging_1783/klagomålsmail/A 61205-2024 FSC-klagomål mail.docx", "A 61205-2024")</f>
        <v/>
      </c>
      <c r="AA13">
        <f>HYPERLINK("https://klasma.github.io/Logging_1783/tillsyn/A 61205-2024 tillsynsbegäran.docx", "A 61205-2024")</f>
        <v/>
      </c>
      <c r="AB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46219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s="2" t="inlineStr">
        <is>
          <t>Blanksvart spiklav
Gammelgransskål
Spillkråka
Revlummer</t>
        </is>
      </c>
      <c r="V14">
        <f>HYPERLINK("https://klasma.github.io/Logging_1783/artfynd/A 21457-2024 artfynd.xlsx", "A 21457-2024")</f>
        <v/>
      </c>
      <c r="W14">
        <f>HYPERLINK("https://klasma.github.io/Logging_1783/kartor/A 21457-2024 karta.png", "A 21457-2024")</f>
        <v/>
      </c>
      <c r="Y14">
        <f>HYPERLINK("https://klasma.github.io/Logging_1783/klagomål/A 21457-2024 FSC-klagomål.docx", "A 21457-2024")</f>
        <v/>
      </c>
      <c r="Z14">
        <f>HYPERLINK("https://klasma.github.io/Logging_1783/klagomålsmail/A 21457-2024 FSC-klagomål mail.docx", "A 21457-2024")</f>
        <v/>
      </c>
      <c r="AA14">
        <f>HYPERLINK("https://klasma.github.io/Logging_1783/tillsyn/A 21457-2024 tillsynsbegäran.docx", "A 21457-2024")</f>
        <v/>
      </c>
      <c r="AB14">
        <f>HYPERLINK("https://klasma.github.io/Logging_1783/tillsynsmail/A 21457-2024 tillsynsbegäran mail.docx", "A 21457-2024")</f>
        <v/>
      </c>
      <c r="AC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46219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s="2" t="inlineStr">
        <is>
          <t>Garnlav
Kolflarnlav
Mörk kolflarnlav
Vedskivlav</t>
        </is>
      </c>
      <c r="V15">
        <f>HYPERLINK("https://klasma.github.io/Logging_1783/artfynd/A 63893-2021 artfynd.xlsx", "A 63893-2021")</f>
        <v/>
      </c>
      <c r="W15">
        <f>HYPERLINK("https://klasma.github.io/Logging_1783/kartor/A 63893-2021 karta.png", "A 63893-2021")</f>
        <v/>
      </c>
      <c r="Y15">
        <f>HYPERLINK("https://klasma.github.io/Logging_1783/klagomål/A 63893-2021 FSC-klagomål.docx", "A 63893-2021")</f>
        <v/>
      </c>
      <c r="Z15">
        <f>HYPERLINK("https://klasma.github.io/Logging_1783/klagomålsmail/A 63893-2021 FSC-klagomål mail.docx", "A 63893-2021")</f>
        <v/>
      </c>
      <c r="AA15">
        <f>HYPERLINK("https://klasma.github.io/Logging_1783/tillsyn/A 63893-2021 tillsynsbegäran.docx", "A 63893-2021")</f>
        <v/>
      </c>
      <c r="AB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46219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s="2" t="inlineStr">
        <is>
          <t>Garnlav
Knärot
Dropptaggsvamp
Tretåig hackspett</t>
        </is>
      </c>
      <c r="V16">
        <f>HYPERLINK("https://klasma.github.io/Logging_1783/artfynd/A 23955-2025 artfynd.xlsx", "A 23955-2025")</f>
        <v/>
      </c>
      <c r="W16">
        <f>HYPERLINK("https://klasma.github.io/Logging_1783/kartor/A 23955-2025 karta.png", "A 23955-2025")</f>
        <v/>
      </c>
      <c r="X16">
        <f>HYPERLINK("https://klasma.github.io/Logging_1783/knärot/A 23955-2025 karta knärot.png", "A 23955-2025")</f>
        <v/>
      </c>
      <c r="Y16">
        <f>HYPERLINK("https://klasma.github.io/Logging_1783/klagomål/A 23955-2025 FSC-klagomål.docx", "A 23955-2025")</f>
        <v/>
      </c>
      <c r="Z16">
        <f>HYPERLINK("https://klasma.github.io/Logging_1783/klagomålsmail/A 23955-2025 FSC-klagomål mail.docx", "A 23955-2025")</f>
        <v/>
      </c>
      <c r="AA16">
        <f>HYPERLINK("https://klasma.github.io/Logging_1783/tillsyn/A 23955-2025 tillsynsbegäran.docx", "A 23955-2025")</f>
        <v/>
      </c>
      <c r="AB16">
        <f>HYPERLINK("https://klasma.github.io/Logging_1783/tillsynsmail/A 23955-2025 tillsynsbegäran mail.docx", "A 23955-2025")</f>
        <v/>
      </c>
      <c r="AC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46219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s="2" t="inlineStr">
        <is>
          <t>Lunglav
Vedskivlav
Vedtrappmossa
Skinnlav</t>
        </is>
      </c>
      <c r="V17">
        <f>HYPERLINK("https://klasma.github.io/Logging_1783/artfynd/A 35299-2025 artfynd.xlsx", "A 35299-2025")</f>
        <v/>
      </c>
      <c r="W17">
        <f>HYPERLINK("https://klasma.github.io/Logging_1783/kartor/A 35299-2025 karta.png", "A 35299-2025")</f>
        <v/>
      </c>
      <c r="Y17">
        <f>HYPERLINK("https://klasma.github.io/Logging_1783/klagomål/A 35299-2025 FSC-klagomål.docx", "A 35299-2025")</f>
        <v/>
      </c>
      <c r="Z17">
        <f>HYPERLINK("https://klasma.github.io/Logging_1783/klagomålsmail/A 35299-2025 FSC-klagomål mail.docx", "A 35299-2025")</f>
        <v/>
      </c>
      <c r="AA17">
        <f>HYPERLINK("https://klasma.github.io/Logging_1783/tillsyn/A 35299-2025 tillsynsbegäran.docx", "A 35299-2025")</f>
        <v/>
      </c>
      <c r="AB17">
        <f>HYPERLINK("https://klasma.github.io/Logging_1783/tillsynsmail/A 35299-2025 tillsynsbegäran mail.docx", "A 35299-2025")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46219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Gräddticka
Dvärgtufs
Gulnål</t>
        </is>
      </c>
      <c r="V18">
        <f>HYPERLINK("https://klasma.github.io/Logging_1783/artfynd/A 72412-2021 artfynd.xlsx", "A 72412-2021")</f>
        <v/>
      </c>
      <c r="W18">
        <f>HYPERLINK("https://klasma.github.io/Logging_1783/kartor/A 72412-2021 karta.png", "A 72412-2021")</f>
        <v/>
      </c>
      <c r="Y18">
        <f>HYPERLINK("https://klasma.github.io/Logging_1783/klagomål/A 72412-2021 FSC-klagomål.docx", "A 72412-2021")</f>
        <v/>
      </c>
      <c r="Z18">
        <f>HYPERLINK("https://klasma.github.io/Logging_1783/klagomålsmail/A 72412-2021 FSC-klagomål mail.docx", "A 72412-2021")</f>
        <v/>
      </c>
      <c r="AA18">
        <f>HYPERLINK("https://klasma.github.io/Logging_1783/tillsyn/A 72412-2021 tillsynsbegäran.docx", "A 72412-2021")</f>
        <v/>
      </c>
      <c r="AB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46219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Aspgelélav
Lunglav
Korallblylav</t>
        </is>
      </c>
      <c r="V19">
        <f>HYPERLINK("https://klasma.github.io/Logging_1783/artfynd/A 59972-2025 artfynd.xlsx", "A 59972-2025")</f>
        <v/>
      </c>
      <c r="W19">
        <f>HYPERLINK("https://klasma.github.io/Logging_1783/kartor/A 59972-2025 karta.png", "A 59972-2025")</f>
        <v/>
      </c>
      <c r="Y19">
        <f>HYPERLINK("https://klasma.github.io/Logging_1783/klagomål/A 59972-2025 FSC-klagomål.docx", "A 59972-2025")</f>
        <v/>
      </c>
      <c r="Z19">
        <f>HYPERLINK("https://klasma.github.io/Logging_1783/klagomålsmail/A 59972-2025 FSC-klagomål mail.docx", "A 59972-2025")</f>
        <v/>
      </c>
      <c r="AA19">
        <f>HYPERLINK("https://klasma.github.io/Logging_1783/tillsyn/A 59972-2025 tillsynsbegäran.docx", "A 59972-2025")</f>
        <v/>
      </c>
      <c r="AB19">
        <f>HYPERLINK("https://klasma.github.io/Logging_1783/tillsynsmail/A 59972-2025 tillsynsbegäran mail.docx", "A 59972-2025")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46219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Garnlav
Tretåig hackspett
Trana</t>
        </is>
      </c>
      <c r="V20">
        <f>HYPERLINK("https://klasma.github.io/Logging_1783/artfynd/A 1387-2024 artfynd.xlsx", "A 1387-2024")</f>
        <v/>
      </c>
      <c r="W20">
        <f>HYPERLINK("https://klasma.github.io/Logging_1783/kartor/A 1387-2024 karta.png", "A 1387-2024")</f>
        <v/>
      </c>
      <c r="Y20">
        <f>HYPERLINK("https://klasma.github.io/Logging_1783/klagomål/A 1387-2024 FSC-klagomål.docx", "A 1387-2024")</f>
        <v/>
      </c>
      <c r="Z20">
        <f>HYPERLINK("https://klasma.github.io/Logging_1783/klagomålsmail/A 1387-2024 FSC-klagomål mail.docx", "A 1387-2024")</f>
        <v/>
      </c>
      <c r="AA20">
        <f>HYPERLINK("https://klasma.github.io/Logging_1783/tillsyn/A 1387-2024 tillsynsbegäran.docx", "A 1387-2024")</f>
        <v/>
      </c>
      <c r="AB20">
        <f>HYPERLINK("https://klasma.github.io/Logging_1783/tillsynsmail/A 1387-2024 tillsynsbegäran mail.docx", "A 1387-2024")</f>
        <v/>
      </c>
      <c r="AC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46219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s="2" t="inlineStr">
        <is>
          <t>Rynkskinn
Stjärntagging
Ullticka</t>
        </is>
      </c>
      <c r="V21">
        <f>HYPERLINK("https://klasma.github.io/Logging_1783/artfynd/A 15826-2025 artfynd.xlsx", "A 15826-2025")</f>
        <v/>
      </c>
      <c r="W21">
        <f>HYPERLINK("https://klasma.github.io/Logging_1783/kartor/A 15826-2025 karta.png", "A 15826-2025")</f>
        <v/>
      </c>
      <c r="Y21">
        <f>HYPERLINK("https://klasma.github.io/Logging_1783/klagomål/A 15826-2025 FSC-klagomål.docx", "A 15826-2025")</f>
        <v/>
      </c>
      <c r="Z21">
        <f>HYPERLINK("https://klasma.github.io/Logging_1783/klagomålsmail/A 15826-2025 FSC-klagomål mail.docx", "A 15826-2025")</f>
        <v/>
      </c>
      <c r="AA21">
        <f>HYPERLINK("https://klasma.github.io/Logging_1783/tillsyn/A 15826-2025 tillsynsbegäran.docx", "A 15826-2025")</f>
        <v/>
      </c>
      <c r="AB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46219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Garnlav
Vedticka</t>
        </is>
      </c>
      <c r="V22">
        <f>HYPERLINK("https://klasma.github.io/Logging_1783/artfynd/A 45073-2021 artfynd.xlsx", "A 45073-2021")</f>
        <v/>
      </c>
      <c r="W22">
        <f>HYPERLINK("https://klasma.github.io/Logging_1783/kartor/A 45073-2021 karta.png", "A 45073-2021")</f>
        <v/>
      </c>
      <c r="Y22">
        <f>HYPERLINK("https://klasma.github.io/Logging_1783/klagomål/A 45073-2021 FSC-klagomål.docx", "A 45073-2021")</f>
        <v/>
      </c>
      <c r="Z22">
        <f>HYPERLINK("https://klasma.github.io/Logging_1783/klagomålsmail/A 45073-2021 FSC-klagomål mail.docx", "A 45073-2021")</f>
        <v/>
      </c>
      <c r="AA22">
        <f>HYPERLINK("https://klasma.github.io/Logging_1783/tillsyn/A 45073-2021 tillsynsbegäran.docx", "A 45073-2021")</f>
        <v/>
      </c>
      <c r="AB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46219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Svartvit taggsvamp
Tjäder</t>
        </is>
      </c>
      <c r="V23">
        <f>HYPERLINK("https://klasma.github.io/Logging_1783/artfynd/A 69709-2021 artfynd.xlsx", "A 69709-2021")</f>
        <v/>
      </c>
      <c r="W23">
        <f>HYPERLINK("https://klasma.github.io/Logging_1783/kartor/A 69709-2021 karta.png", "A 69709-2021")</f>
        <v/>
      </c>
      <c r="Y23">
        <f>HYPERLINK("https://klasma.github.io/Logging_1783/klagomål/A 69709-2021 FSC-klagomål.docx", "A 69709-2021")</f>
        <v/>
      </c>
      <c r="Z23">
        <f>HYPERLINK("https://klasma.github.io/Logging_1783/klagomålsmail/A 69709-2021 FSC-klagomål mail.docx", "A 69709-2021")</f>
        <v/>
      </c>
      <c r="AA23">
        <f>HYPERLINK("https://klasma.github.io/Logging_1783/tillsyn/A 69709-2021 tillsynsbegäran.docx", "A 69709-2021")</f>
        <v/>
      </c>
      <c r="AB23">
        <f>HYPERLINK("https://klasma.github.io/Logging_1783/tillsynsmail/A 69709-2021 tillsynsbegäran mail.docx", "A 69709-2021")</f>
        <v/>
      </c>
      <c r="AC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46219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s="2" t="inlineStr">
        <is>
          <t>Gränsticka
Utter</t>
        </is>
      </c>
      <c r="V24">
        <f>HYPERLINK("https://klasma.github.io/Logging_1783/artfynd/A 59330-2024 artfynd.xlsx", "A 59330-2024")</f>
        <v/>
      </c>
      <c r="W24">
        <f>HYPERLINK("https://klasma.github.io/Logging_1783/kartor/A 59330-2024 karta.png", "A 59330-2024")</f>
        <v/>
      </c>
      <c r="Y24">
        <f>HYPERLINK("https://klasma.github.io/Logging_1783/klagomål/A 59330-2024 FSC-klagomål.docx", "A 59330-2024")</f>
        <v/>
      </c>
      <c r="Z24">
        <f>HYPERLINK("https://klasma.github.io/Logging_1783/klagomålsmail/A 59330-2024 FSC-klagomål mail.docx", "A 59330-2024")</f>
        <v/>
      </c>
      <c r="AA24">
        <f>HYPERLINK("https://klasma.github.io/Logging_1783/tillsyn/A 59330-2024 tillsynsbegäran.docx", "A 59330-2024")</f>
        <v/>
      </c>
      <c r="AB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46219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Dvärgbägarlav
Vedskivlav</t>
        </is>
      </c>
      <c r="V25">
        <f>HYPERLINK("https://klasma.github.io/Logging_1783/artfynd/A 656-2022 artfynd.xlsx", "A 656-2022")</f>
        <v/>
      </c>
      <c r="W25">
        <f>HYPERLINK("https://klasma.github.io/Logging_1783/kartor/A 656-2022 karta.png", "A 656-2022")</f>
        <v/>
      </c>
      <c r="Y25">
        <f>HYPERLINK("https://klasma.github.io/Logging_1783/klagomål/A 656-2022 FSC-klagomål.docx", "A 656-2022")</f>
        <v/>
      </c>
      <c r="Z25">
        <f>HYPERLINK("https://klasma.github.io/Logging_1783/klagomålsmail/A 656-2022 FSC-klagomål mail.docx", "A 656-2022")</f>
        <v/>
      </c>
      <c r="AA25">
        <f>HYPERLINK("https://klasma.github.io/Logging_1783/tillsyn/A 656-2022 tillsynsbegäran.docx", "A 656-2022")</f>
        <v/>
      </c>
      <c r="AB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46219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Mattlummer
Ärtsångare</t>
        </is>
      </c>
      <c r="V26">
        <f>HYPERLINK("https://klasma.github.io/Logging_1783/artfynd/A 10836-2026 artfynd.xlsx", "A 10836-2026")</f>
        <v/>
      </c>
      <c r="W26">
        <f>HYPERLINK("https://klasma.github.io/Logging_1783/kartor/A 10836-2026 karta.png", "A 10836-2026")</f>
        <v/>
      </c>
      <c r="Y26">
        <f>HYPERLINK("https://klasma.github.io/Logging_1783/klagomål/A 10836-2026 FSC-klagomål.docx", "A 10836-2026")</f>
        <v/>
      </c>
      <c r="Z26">
        <f>HYPERLINK("https://klasma.github.io/Logging_1783/klagomålsmail/A 10836-2026 FSC-klagomål mail.docx", "A 10836-2026")</f>
        <v/>
      </c>
      <c r="AA26">
        <f>HYPERLINK("https://klasma.github.io/Logging_1783/tillsyn/A 10836-2026 tillsynsbegäran.docx", "A 10836-2026")</f>
        <v/>
      </c>
      <c r="AB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46219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Aspgelélav
Bårdlav</t>
        </is>
      </c>
      <c r="V27">
        <f>HYPERLINK("https://klasma.github.io/Logging_1783/artfynd/A 35908-2022 artfynd.xlsx", "A 35908-2022")</f>
        <v/>
      </c>
      <c r="W27">
        <f>HYPERLINK("https://klasma.github.io/Logging_1783/kartor/A 35908-2022 karta.png", "A 35908-2022")</f>
        <v/>
      </c>
      <c r="Y27">
        <f>HYPERLINK("https://klasma.github.io/Logging_1783/klagomål/A 35908-2022 FSC-klagomål.docx", "A 35908-2022")</f>
        <v/>
      </c>
      <c r="Z27">
        <f>HYPERLINK("https://klasma.github.io/Logging_1783/klagomålsmail/A 35908-2022 FSC-klagomål mail.docx", "A 35908-2022")</f>
        <v/>
      </c>
      <c r="AA27">
        <f>HYPERLINK("https://klasma.github.io/Logging_1783/tillsyn/A 35908-2022 tillsynsbegäran.docx", "A 35908-2022")</f>
        <v/>
      </c>
      <c r="AB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46219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Mellanlummer
Tjäder</t>
        </is>
      </c>
      <c r="V28">
        <f>HYPERLINK("https://klasma.github.io/Logging_1783/artfynd/S 927-2022 artfynd.xlsx", "S 927-2022")</f>
        <v/>
      </c>
      <c r="W28">
        <f>HYPERLINK("https://klasma.github.io/Logging_1783/kartor/S 927-2022 karta.png", "S 927-2022")</f>
        <v/>
      </c>
      <c r="Y28">
        <f>HYPERLINK("https://klasma.github.io/Logging_1783/klagomål/S 927-2022 FSC-klagomål.docx", "S 927-2022")</f>
        <v/>
      </c>
      <c r="Z28">
        <f>HYPERLINK("https://klasma.github.io/Logging_1783/klagomålsmail/S 927-2022 FSC-klagomål mail.docx", "S 927-2022")</f>
        <v/>
      </c>
      <c r="AA28">
        <f>HYPERLINK("https://klasma.github.io/Logging_1783/tillsyn/S 927-2022 tillsynsbegäran.docx", "S 927-2022")</f>
        <v/>
      </c>
      <c r="AB28">
        <f>HYPERLINK("https://klasma.github.io/Logging_1783/tillsynsmail/S 927-2022 tillsynsbegäran mail.docx", "S 927-2022")</f>
        <v/>
      </c>
      <c r="AC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46219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Sparvuggla
Orre</t>
        </is>
      </c>
      <c r="V29">
        <f>HYPERLINK("https://klasma.github.io/Logging_1783/artfynd/S 4153-2023 artfynd.xlsx", "S 4153-2023")</f>
        <v/>
      </c>
      <c r="W29">
        <f>HYPERLINK("https://klasma.github.io/Logging_1783/kartor/S 4153-2023 karta.png", "S 4153-2023")</f>
        <v/>
      </c>
      <c r="Y29">
        <f>HYPERLINK("https://klasma.github.io/Logging_1783/klagomål/S 4153-2023 FSC-klagomål.docx", "S 4153-2023")</f>
        <v/>
      </c>
      <c r="Z29">
        <f>HYPERLINK("https://klasma.github.io/Logging_1783/klagomålsmail/S 4153-2023 FSC-klagomål mail.docx", "S 4153-2023")</f>
        <v/>
      </c>
      <c r="AA29">
        <f>HYPERLINK("https://klasma.github.io/Logging_1783/tillsyn/S 4153-2023 tillsynsbegäran.docx", "S 4153-2023")</f>
        <v/>
      </c>
      <c r="AB29">
        <f>HYPERLINK("https://klasma.github.io/Logging_1783/tillsynsmail/S 4153-2023 tillsynsbegäran mail.docx", "S 4153-2023")</f>
        <v/>
      </c>
      <c r="AC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46219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Mellanlummer
Mattlummer</t>
        </is>
      </c>
      <c r="V30">
        <f>HYPERLINK("https://klasma.github.io/Logging_1783/artfynd/S 740-2025 artfynd.xlsx", "S 740-2025")</f>
        <v/>
      </c>
      <c r="W30">
        <f>HYPERLINK("https://klasma.github.io/Logging_1783/kartor/S 740-2025 karta.png", "S 740-2025")</f>
        <v/>
      </c>
      <c r="Y30">
        <f>HYPERLINK("https://klasma.github.io/Logging_1783/klagomål/S 740-2025 FSC-klagomål.docx", "S 740-2025")</f>
        <v/>
      </c>
      <c r="Z30">
        <f>HYPERLINK("https://klasma.github.io/Logging_1783/klagomålsmail/S 740-2025 FSC-klagomål mail.docx", "S 740-2025")</f>
        <v/>
      </c>
      <c r="AA30">
        <f>HYPERLINK("https://klasma.github.io/Logging_1783/tillsyn/S 740-2025 tillsynsbegäran.docx", "S 740-2025")</f>
        <v/>
      </c>
      <c r="AB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46219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Trådticka</t>
        </is>
      </c>
      <c r="V31">
        <f>HYPERLINK("https://klasma.github.io/Logging_1783/artfynd/A 15738-2022 artfynd.xlsx", "A 15738-2022")</f>
        <v/>
      </c>
      <c r="W31">
        <f>HYPERLINK("https://klasma.github.io/Logging_1783/kartor/A 15738-2022 karta.png", "A 15738-2022")</f>
        <v/>
      </c>
      <c r="Y31">
        <f>HYPERLINK("https://klasma.github.io/Logging_1783/klagomål/A 15738-2022 FSC-klagomål.docx", "A 15738-2022")</f>
        <v/>
      </c>
      <c r="Z31">
        <f>HYPERLINK("https://klasma.github.io/Logging_1783/klagomålsmail/A 15738-2022 FSC-klagomål mail.docx", "A 15738-2022")</f>
        <v/>
      </c>
      <c r="AA31">
        <f>HYPERLINK("https://klasma.github.io/Logging_1783/tillsyn/A 15738-2022 tillsynsbegäran.docx", "A 15738-2022")</f>
        <v/>
      </c>
      <c r="AB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46219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Dropptaggsvamp</t>
        </is>
      </c>
      <c r="V32">
        <f>HYPERLINK("https://klasma.github.io/Logging_1783/artfynd/A 56083-2022 artfynd.xlsx", "A 56083-2022")</f>
        <v/>
      </c>
      <c r="W32">
        <f>HYPERLINK("https://klasma.github.io/Logging_1783/kartor/A 56083-2022 karta.png", "A 56083-2022")</f>
        <v/>
      </c>
      <c r="Y32">
        <f>HYPERLINK("https://klasma.github.io/Logging_1783/klagomål/A 56083-2022 FSC-klagomål.docx", "A 56083-2022")</f>
        <v/>
      </c>
      <c r="Z32">
        <f>HYPERLINK("https://klasma.github.io/Logging_1783/klagomålsmail/A 56083-2022 FSC-klagomål mail.docx", "A 56083-2022")</f>
        <v/>
      </c>
      <c r="AA32">
        <f>HYPERLINK("https://klasma.github.io/Logging_1783/tillsyn/A 56083-2022 tillsynsbegäran.docx", "A 56083-2022")</f>
        <v/>
      </c>
      <c r="AB32">
        <f>HYPERLINK("https://klasma.github.io/Logging_1783/tillsynsmail/A 56083-2022 tillsynsbegäran mail.docx", "A 56083-2022")</f>
        <v/>
      </c>
    </row>
    <row r="33" ht="15" customHeight="1">
      <c r="A33" t="inlineStr">
        <is>
          <t>A 16319-2023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45028</v>
      </c>
      <c r="E33" s="1" t="n">
        <v>46219</v>
      </c>
      <c r="F33" t="inlineStr">
        <is>
          <t>VÄRMLANDS LÄN</t>
        </is>
      </c>
      <c r="G33" t="inlineStr">
        <is>
          <t>HAGFORS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Ullticka</t>
        </is>
      </c>
      <c r="V33">
        <f>HYPERLINK("https://klasma.github.io/Logging_1783/artfynd/A 16319-2023 artfynd.xlsx", "A 16319-2023")</f>
        <v/>
      </c>
      <c r="W33">
        <f>HYPERLINK("https://klasma.github.io/Logging_1783/kartor/A 16319-2023 karta.png", "A 16319-2023")</f>
        <v/>
      </c>
      <c r="Y33">
        <f>HYPERLINK("https://klasma.github.io/Logging_1783/klagomål/A 16319-2023 FSC-klagomål.docx", "A 16319-2023")</f>
        <v/>
      </c>
      <c r="Z33">
        <f>HYPERLINK("https://klasma.github.io/Logging_1783/klagomålsmail/A 16319-2023 FSC-klagomål mail.docx", "A 16319-2023")</f>
        <v/>
      </c>
      <c r="AA33">
        <f>HYPERLINK("https://klasma.github.io/Logging_1783/tillsyn/A 16319-2023 tillsynsbegäran.docx", "A 16319-2023")</f>
        <v/>
      </c>
      <c r="AB33">
        <f>HYPERLINK("https://klasma.github.io/Logging_1783/tillsynsmail/A 16319-2023 tillsynsbegäran mail.docx", "A 16319-2023")</f>
        <v/>
      </c>
    </row>
    <row r="34" ht="15" customHeight="1">
      <c r="A34" t="inlineStr">
        <is>
          <t>A 15219-2025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46219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15.8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s="2" t="inlineStr">
        <is>
          <t>Borsttagging</t>
        </is>
      </c>
      <c r="V34">
        <f>HYPERLINK("https://klasma.github.io/Logging_1783/artfynd/A 15219-2025 artfynd.xlsx", "A 15219-2025")</f>
        <v/>
      </c>
      <c r="W34">
        <f>HYPERLINK("https://klasma.github.io/Logging_1783/kartor/A 15219-2025 karta.png", "A 15219-2025")</f>
        <v/>
      </c>
      <c r="Y34">
        <f>HYPERLINK("https://klasma.github.io/Logging_1783/klagomål/A 15219-2025 FSC-klagomål.docx", "A 15219-2025")</f>
        <v/>
      </c>
      <c r="Z34">
        <f>HYPERLINK("https://klasma.github.io/Logging_1783/klagomålsmail/A 15219-2025 FSC-klagomål mail.docx", "A 15219-2025")</f>
        <v/>
      </c>
      <c r="AA34">
        <f>HYPERLINK("https://klasma.github.io/Logging_1783/tillsyn/A 15219-2025 tillsynsbegäran.docx", "A 15219-2025")</f>
        <v/>
      </c>
      <c r="AB34">
        <f>HYPERLINK("https://klasma.github.io/Logging_1783/tillsynsmail/A 15219-2025 tillsynsbegäran mail.docx", "A 15219-2025")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46219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Tallticka</t>
        </is>
      </c>
      <c r="V35">
        <f>HYPERLINK("https://klasma.github.io/Logging_1783/artfynd/A 38267-2024 artfynd.xlsx", "A 38267-2024")</f>
        <v/>
      </c>
      <c r="W35">
        <f>HYPERLINK("https://klasma.github.io/Logging_1783/kartor/A 38267-2024 karta.png", "A 38267-2024")</f>
        <v/>
      </c>
      <c r="Y35">
        <f>HYPERLINK("https://klasma.github.io/Logging_1783/klagomål/A 38267-2024 FSC-klagomål.docx", "A 38267-2024")</f>
        <v/>
      </c>
      <c r="Z35">
        <f>HYPERLINK("https://klasma.github.io/Logging_1783/klagomålsmail/A 38267-2024 FSC-klagomål mail.docx", "A 38267-2024")</f>
        <v/>
      </c>
      <c r="AA35">
        <f>HYPERLINK("https://klasma.github.io/Logging_1783/tillsyn/A 38267-2024 tillsynsbegäran.docx", "A 38267-2024")</f>
        <v/>
      </c>
      <c r="AB35">
        <f>HYPERLINK("https://klasma.github.io/Logging_1783/tillsynsmail/A 38267-2024 tillsynsbegäran mail.docx", "A 38267-2024")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46219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Hökuggla</t>
        </is>
      </c>
      <c r="V36">
        <f>HYPERLINK("https://klasma.github.io/Logging_1783/artfynd/A 37152-2023 artfynd.xlsx", "A 37152-2023")</f>
        <v/>
      </c>
      <c r="W36">
        <f>HYPERLINK("https://klasma.github.io/Logging_1783/kartor/A 37152-2023 karta.png", "A 37152-2023")</f>
        <v/>
      </c>
      <c r="Y36">
        <f>HYPERLINK("https://klasma.github.io/Logging_1783/klagomål/A 37152-2023 FSC-klagomål.docx", "A 37152-2023")</f>
        <v/>
      </c>
      <c r="Z36">
        <f>HYPERLINK("https://klasma.github.io/Logging_1783/klagomålsmail/A 37152-2023 FSC-klagomål mail.docx", "A 37152-2023")</f>
        <v/>
      </c>
      <c r="AA36">
        <f>HYPERLINK("https://klasma.github.io/Logging_1783/tillsyn/A 37152-2023 tillsynsbegäran.docx", "A 37152-2023")</f>
        <v/>
      </c>
      <c r="AB36">
        <f>HYPERLINK("https://klasma.github.io/Logging_1783/tillsynsmail/A 37152-2023 tillsynsbegäran mail.docx", "A 37152-2023")</f>
        <v/>
      </c>
      <c r="AC36">
        <f>HYPERLINK("https://klasma.github.io/Logging_1783/fåglar/A 37152-2023 prioriterade fågelarter.docx", "A 37152-2023")</f>
        <v/>
      </c>
    </row>
    <row r="37" ht="15" customHeight="1">
      <c r="A37" t="inlineStr">
        <is>
          <t>A 50030-2025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46219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9.9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Svart trolldruva</t>
        </is>
      </c>
      <c r="V37">
        <f>HYPERLINK("https://klasma.github.io/Logging_1783/artfynd/A 50030-2025 artfynd.xlsx", "A 50030-2025")</f>
        <v/>
      </c>
      <c r="W37">
        <f>HYPERLINK("https://klasma.github.io/Logging_1783/kartor/A 50030-2025 karta.png", "A 50030-2025")</f>
        <v/>
      </c>
      <c r="Y37">
        <f>HYPERLINK("https://klasma.github.io/Logging_1783/klagomål/A 50030-2025 FSC-klagomål.docx", "A 50030-2025")</f>
        <v/>
      </c>
      <c r="Z37">
        <f>HYPERLINK("https://klasma.github.io/Logging_1783/klagomålsmail/A 50030-2025 FSC-klagomål mail.docx", "A 50030-2025")</f>
        <v/>
      </c>
      <c r="AA37">
        <f>HYPERLINK("https://klasma.github.io/Logging_1783/tillsyn/A 50030-2025 tillsynsbegäran.docx", "A 50030-2025")</f>
        <v/>
      </c>
      <c r="AB37">
        <f>HYPERLINK("https://klasma.github.io/Logging_1783/tillsynsmail/A 50030-2025 tillsynsbegäran mail.docx", "A 50030-2025")</f>
        <v/>
      </c>
    </row>
    <row r="38" ht="15" customHeight="1">
      <c r="A38" t="inlineStr">
        <is>
          <t>A 29432-2026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46203</v>
      </c>
      <c r="E38" s="1" t="n">
        <v>46219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3.1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Vedtrappmossa</t>
        </is>
      </c>
      <c r="V38">
        <f>HYPERLINK("https://klasma.github.io/Logging_1783/artfynd/A 29432-2026 artfynd.xlsx", "A 29432-2026")</f>
        <v/>
      </c>
      <c r="W38">
        <f>HYPERLINK("https://klasma.github.io/Logging_1783/kartor/A 29432-2026 karta.png", "A 29432-2026")</f>
        <v/>
      </c>
      <c r="Y38">
        <f>HYPERLINK("https://klasma.github.io/Logging_1783/klagomål/A 29432-2026 FSC-klagomål.docx", "A 29432-2026")</f>
        <v/>
      </c>
      <c r="Z38">
        <f>HYPERLINK("https://klasma.github.io/Logging_1783/klagomålsmail/A 29432-2026 FSC-klagomål mail.docx", "A 29432-2026")</f>
        <v/>
      </c>
      <c r="AA38">
        <f>HYPERLINK("https://klasma.github.io/Logging_1783/tillsyn/A 29432-2026 tillsynsbegäran.docx", "A 29432-2026")</f>
        <v/>
      </c>
      <c r="AB38">
        <f>HYPERLINK("https://klasma.github.io/Logging_1783/tillsynsmail/A 29432-2026 tillsynsbegäran mail.docx", "A 29432-2026")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46219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HYPERLINK("https://klasma.github.io/Logging_1783/artfynd/A 54700-2025 artfynd.xlsx", "A 54700-2025")</f>
        <v/>
      </c>
      <c r="W39">
        <f>HYPERLINK("https://klasma.github.io/Logging_1783/kartor/A 54700-2025 karta.png", "A 54700-2025")</f>
        <v/>
      </c>
      <c r="Y39">
        <f>HYPERLINK("https://klasma.github.io/Logging_1783/klagomål/A 54700-2025 FSC-klagomål.docx", "A 54700-2025")</f>
        <v/>
      </c>
      <c r="Z39">
        <f>HYPERLINK("https://klasma.github.io/Logging_1783/klagomålsmail/A 54700-2025 FSC-klagomål mail.docx", "A 54700-2025")</f>
        <v/>
      </c>
      <c r="AA39">
        <f>HYPERLINK("https://klasma.github.io/Logging_1783/tillsyn/A 54700-2025 tillsynsbegäran.docx", "A 54700-2025")</f>
        <v/>
      </c>
      <c r="AB39">
        <f>HYPERLINK("https://klasma.github.io/Logging_1783/tillsynsmail/A 54700-2025 tillsynsbegäran mail.docx", "A 54700-2025")</f>
        <v/>
      </c>
      <c r="AC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46219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Grön sköldmossa</t>
        </is>
      </c>
      <c r="V40">
        <f>HYPERLINK("https://klasma.github.io/Logging_1783/artfynd/A 55484-2025 artfynd.xlsx", "A 55484-2025")</f>
        <v/>
      </c>
      <c r="W40">
        <f>HYPERLINK("https://klasma.github.io/Logging_1783/kartor/A 55484-2025 karta.png", "A 55484-2025")</f>
        <v/>
      </c>
      <c r="Y40">
        <f>HYPERLINK("https://klasma.github.io/Logging_1783/klagomål/A 55484-2025 FSC-klagomål.docx", "A 55484-2025")</f>
        <v/>
      </c>
      <c r="Z40">
        <f>HYPERLINK("https://klasma.github.io/Logging_1783/klagomålsmail/A 55484-2025 FSC-klagomål mail.docx", "A 55484-2025")</f>
        <v/>
      </c>
      <c r="AA40">
        <f>HYPERLINK("https://klasma.github.io/Logging_1783/tillsyn/A 55484-2025 tillsynsbegäran.docx", "A 55484-2025")</f>
        <v/>
      </c>
      <c r="AB40">
        <f>HYPERLINK("https://klasma.github.io/Logging_1783/tillsynsmail/A 55484-2025 tillsynsbegäran mail.docx", "A 55484-2025")</f>
        <v/>
      </c>
    </row>
    <row r="41" ht="15" customHeight="1">
      <c r="A41" t="inlineStr">
        <is>
          <t>A 24659-2026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46219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82.3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Garnlav</t>
        </is>
      </c>
      <c r="V41">
        <f>HYPERLINK("https://klasma.github.io/Logging_1783/artfynd/A 24659-2026 artfynd.xlsx", "A 24659-2026")</f>
        <v/>
      </c>
      <c r="W41">
        <f>HYPERLINK("https://klasma.github.io/Logging_1783/kartor/A 24659-2026 karta.png", "A 24659-2026")</f>
        <v/>
      </c>
      <c r="Y41">
        <f>HYPERLINK("https://klasma.github.io/Logging_1783/klagomål/A 24659-2026 FSC-klagomål.docx", "A 24659-2026")</f>
        <v/>
      </c>
      <c r="Z41">
        <f>HYPERLINK("https://klasma.github.io/Logging_1783/klagomålsmail/A 24659-2026 FSC-klagomål mail.docx", "A 24659-2026")</f>
        <v/>
      </c>
      <c r="AA41">
        <f>HYPERLINK("https://klasma.github.io/Logging_1783/tillsyn/A 24659-2026 tillsynsbegäran.docx", "A 24659-2026")</f>
        <v/>
      </c>
      <c r="AB41">
        <f>HYPERLINK("https://klasma.github.io/Logging_1783/tillsynsmail/A 24659-2026 tillsynsbegäran mail.docx", "A 24659-2026")</f>
        <v/>
      </c>
    </row>
    <row r="42" ht="15" customHeight="1">
      <c r="A42" t="inlineStr">
        <is>
          <t>A 6986-2022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46219</v>
      </c>
      <c r="F42" t="inlineStr">
        <is>
          <t>VÄRMLANDS LÄN</t>
        </is>
      </c>
      <c r="G42" t="inlineStr">
        <is>
          <t>HAGFORS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Vedticka</t>
        </is>
      </c>
      <c r="V42">
        <f>HYPERLINK("https://klasma.github.io/Logging_1783/artfynd/A 6986-2022 artfynd.xlsx", "A 6986-2022")</f>
        <v/>
      </c>
      <c r="W42">
        <f>HYPERLINK("https://klasma.github.io/Logging_1783/kartor/A 6986-2022 karta.png", "A 6986-2022")</f>
        <v/>
      </c>
      <c r="Y42">
        <f>HYPERLINK("https://klasma.github.io/Logging_1783/klagomål/A 6986-2022 FSC-klagomål.docx", "A 6986-2022")</f>
        <v/>
      </c>
      <c r="Z42">
        <f>HYPERLINK("https://klasma.github.io/Logging_1783/klagomålsmail/A 6986-2022 FSC-klagomål mail.docx", "A 6986-2022")</f>
        <v/>
      </c>
      <c r="AA42">
        <f>HYPERLINK("https://klasma.github.io/Logging_1783/tillsyn/A 6986-2022 tillsynsbegäran.docx", "A 6986-2022")</f>
        <v/>
      </c>
      <c r="AB42">
        <f>HYPERLINK("https://klasma.github.io/Logging_1783/tillsynsmail/A 6986-2022 tillsynsbegäran mail.docx", "A 6986-2022")</f>
        <v/>
      </c>
    </row>
    <row r="43" ht="15" customHeight="1">
      <c r="A43" t="inlineStr">
        <is>
          <t>A 24716-2026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46219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Garnlav</t>
        </is>
      </c>
      <c r="V43">
        <f>HYPERLINK("https://klasma.github.io/Logging_1783/artfynd/A 24716-2026 artfynd.xlsx", "A 24716-2026")</f>
        <v/>
      </c>
      <c r="W43">
        <f>HYPERLINK("https://klasma.github.io/Logging_1783/kartor/A 24716-2026 karta.png", "A 24716-2026")</f>
        <v/>
      </c>
      <c r="Y43">
        <f>HYPERLINK("https://klasma.github.io/Logging_1783/klagomål/A 24716-2026 FSC-klagomål.docx", "A 24716-2026")</f>
        <v/>
      </c>
      <c r="Z43">
        <f>HYPERLINK("https://klasma.github.io/Logging_1783/klagomålsmail/A 24716-2026 FSC-klagomål mail.docx", "A 24716-2026")</f>
        <v/>
      </c>
      <c r="AA43">
        <f>HYPERLINK("https://klasma.github.io/Logging_1783/tillsyn/A 24716-2026 tillsynsbegäran.docx", "A 24716-2026")</f>
        <v/>
      </c>
      <c r="AB43">
        <f>HYPERLINK("https://klasma.github.io/Logging_1783/tillsynsmail/A 24716-2026 tillsynsbegäran mail.docx", "A 24716-2026")</f>
        <v/>
      </c>
    </row>
    <row r="44" ht="15" customHeight="1">
      <c r="A44" t="inlineStr">
        <is>
          <t>A 30524-2022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44762</v>
      </c>
      <c r="E44" s="1" t="n">
        <v>46219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Kolflarnlav</t>
        </is>
      </c>
      <c r="V44">
        <f>HYPERLINK("https://klasma.github.io/Logging_1783/artfynd/A 30524-2022 artfynd.xlsx", "A 30524-2022")</f>
        <v/>
      </c>
      <c r="W44">
        <f>HYPERLINK("https://klasma.github.io/Logging_1783/kartor/A 30524-2022 karta.png", "A 30524-2022")</f>
        <v/>
      </c>
      <c r="Y44">
        <f>HYPERLINK("https://klasma.github.io/Logging_1783/klagomål/A 30524-2022 FSC-klagomål.docx", "A 30524-2022")</f>
        <v/>
      </c>
      <c r="Z44">
        <f>HYPERLINK("https://klasma.github.io/Logging_1783/klagomålsmail/A 30524-2022 FSC-klagomål mail.docx", "A 30524-2022")</f>
        <v/>
      </c>
      <c r="AA44">
        <f>HYPERLINK("https://klasma.github.io/Logging_1783/tillsyn/A 30524-2022 tillsynsbegäran.docx", "A 30524-2022")</f>
        <v/>
      </c>
      <c r="AB44">
        <f>HYPERLINK("https://klasma.github.io/Logging_1783/tillsynsmail/A 30524-2022 tillsynsbegäran mail.docx", "A 30524-2022")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46219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Kråka</t>
        </is>
      </c>
      <c r="V45">
        <f>HYPERLINK("https://klasma.github.io/Logging_1783/artfynd/A 62954-2025 artfynd.xlsx", "A 62954-2025")</f>
        <v/>
      </c>
      <c r="W45">
        <f>HYPERLINK("https://klasma.github.io/Logging_1783/kartor/A 62954-2025 karta.png", "A 62954-2025")</f>
        <v/>
      </c>
      <c r="Y45">
        <f>HYPERLINK("https://klasma.github.io/Logging_1783/klagomål/A 62954-2025 FSC-klagomål.docx", "A 62954-2025")</f>
        <v/>
      </c>
      <c r="Z45">
        <f>HYPERLINK("https://klasma.github.io/Logging_1783/klagomålsmail/A 62954-2025 FSC-klagomål mail.docx", "A 62954-2025")</f>
        <v/>
      </c>
      <c r="AA45">
        <f>HYPERLINK("https://klasma.github.io/Logging_1783/tillsyn/A 62954-2025 tillsynsbegäran.docx", "A 62954-2025")</f>
        <v/>
      </c>
      <c r="AB45">
        <f>HYPERLINK("https://klasma.github.io/Logging_1783/tillsynsmail/A 62954-2025 tillsynsbegäran mail.docx", "A 62954-2025")</f>
        <v/>
      </c>
    </row>
    <row r="46" ht="15" customHeight="1">
      <c r="A46" t="inlineStr">
        <is>
          <t>A 44095-2023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46219</v>
      </c>
      <c r="F46" t="inlineStr">
        <is>
          <t>VÄRMLANDS LÄN</t>
        </is>
      </c>
      <c r="G46" t="inlineStr">
        <is>
          <t>HAGFORS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Utter</t>
        </is>
      </c>
      <c r="V46">
        <f>HYPERLINK("https://klasma.github.io/Logging_1783/artfynd/A 44095-2023 artfynd.xlsx", "A 44095-2023")</f>
        <v/>
      </c>
      <c r="W46">
        <f>HYPERLINK("https://klasma.github.io/Logging_1783/kartor/A 44095-2023 karta.png", "A 44095-2023")</f>
        <v/>
      </c>
      <c r="Y46">
        <f>HYPERLINK("https://klasma.github.io/Logging_1783/klagomål/A 44095-2023 FSC-klagomål.docx", "A 44095-2023")</f>
        <v/>
      </c>
      <c r="Z46">
        <f>HYPERLINK("https://klasma.github.io/Logging_1783/klagomålsmail/A 44095-2023 FSC-klagomål mail.docx", "A 44095-2023")</f>
        <v/>
      </c>
      <c r="AA46">
        <f>HYPERLINK("https://klasma.github.io/Logging_1783/tillsyn/A 44095-2023 tillsynsbegäran.docx", "A 44095-2023")</f>
        <v/>
      </c>
      <c r="AB46">
        <f>HYPERLINK("https://klasma.github.io/Logging_1783/tillsynsmail/A 44095-2023 tillsynsbegäran mail.docx", "A 44095-2023")</f>
        <v/>
      </c>
    </row>
    <row r="47" ht="15" customHeight="1">
      <c r="A47" t="inlineStr">
        <is>
          <t>A 22484-2025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45786</v>
      </c>
      <c r="E47" s="1" t="n">
        <v>46219</v>
      </c>
      <c r="F47" t="inlineStr">
        <is>
          <t>VÄRMLANDS LÄN</t>
        </is>
      </c>
      <c r="G47" t="inlineStr">
        <is>
          <t>HAGFORS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Rödlånke</t>
        </is>
      </c>
      <c r="V47">
        <f>HYPERLINK("https://klasma.github.io/Logging_1783/artfynd/A 22484-2025 artfynd.xlsx", "A 22484-2025")</f>
        <v/>
      </c>
      <c r="W47">
        <f>HYPERLINK("https://klasma.github.io/Logging_1783/kartor/A 22484-2025 karta.png", "A 22484-2025")</f>
        <v/>
      </c>
      <c r="Y47">
        <f>HYPERLINK("https://klasma.github.io/Logging_1783/klagomål/A 22484-2025 FSC-klagomål.docx", "A 22484-2025")</f>
        <v/>
      </c>
      <c r="Z47">
        <f>HYPERLINK("https://klasma.github.io/Logging_1783/klagomålsmail/A 22484-2025 FSC-klagomål mail.docx", "A 22484-2025")</f>
        <v/>
      </c>
      <c r="AA47">
        <f>HYPERLINK("https://klasma.github.io/Logging_1783/tillsyn/A 22484-2025 tillsynsbegäran.docx", "A 22484-2025")</f>
        <v/>
      </c>
      <c r="AB47">
        <f>HYPERLINK("https://klasma.github.io/Logging_1783/tillsynsmail/A 22484-2025 tillsynsbegäran mail.docx", "A 22484-2025")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46219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Ullticka</t>
        </is>
      </c>
      <c r="V48">
        <f>HYPERLINK("https://klasma.github.io/Logging_1783/artfynd/A 8254-2026 artfynd.xlsx", "A 8254-2026")</f>
        <v/>
      </c>
      <c r="W48">
        <f>HYPERLINK("https://klasma.github.io/Logging_1783/kartor/A 8254-2026 karta.png", "A 8254-2026")</f>
        <v/>
      </c>
      <c r="Y48">
        <f>HYPERLINK("https://klasma.github.io/Logging_1783/klagomål/A 8254-2026 FSC-klagomål.docx", "A 8254-2026")</f>
        <v/>
      </c>
      <c r="Z48">
        <f>HYPERLINK("https://klasma.github.io/Logging_1783/klagomålsmail/A 8254-2026 FSC-klagomål mail.docx", "A 8254-2026")</f>
        <v/>
      </c>
      <c r="AA48">
        <f>HYPERLINK("https://klasma.github.io/Logging_1783/tillsyn/A 8254-2026 tillsynsbegäran.docx", "A 8254-2026")</f>
        <v/>
      </c>
      <c r="AB48">
        <f>HYPERLINK("https://klasma.github.io/Logging_1783/tillsynsmail/A 8254-2026 tillsynsbegäran mail.docx", "A 8254-2026")</f>
        <v/>
      </c>
    </row>
    <row r="49" ht="15" customHeight="1">
      <c r="A49" t="inlineStr">
        <is>
          <t>A 12445-2026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46219</v>
      </c>
      <c r="F49" t="inlineStr">
        <is>
          <t>VÄRMLANDS LÄN</t>
        </is>
      </c>
      <c r="G49" t="inlineStr">
        <is>
          <t>HAGFORS</t>
        </is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HYPERLINK("https://klasma.github.io/Logging_1783/artfynd/A 12445-2026 artfynd.xlsx", "A 12445-2026")</f>
        <v/>
      </c>
      <c r="W49">
        <f>HYPERLINK("https://klasma.github.io/Logging_1783/kartor/A 12445-2026 karta.png", "A 12445-2026")</f>
        <v/>
      </c>
      <c r="Y49">
        <f>HYPERLINK("https://klasma.github.io/Logging_1783/klagomål/A 12445-2026 FSC-klagomål.docx", "A 12445-2026")</f>
        <v/>
      </c>
      <c r="Z49">
        <f>HYPERLINK("https://klasma.github.io/Logging_1783/klagomålsmail/A 12445-2026 FSC-klagomål mail.docx", "A 12445-2026")</f>
        <v/>
      </c>
      <c r="AA49">
        <f>HYPERLINK("https://klasma.github.io/Logging_1783/tillsyn/A 12445-2026 tillsynsbegäran.docx", "A 12445-2026")</f>
        <v/>
      </c>
      <c r="AB49">
        <f>HYPERLINK("https://klasma.github.io/Logging_1783/tillsynsmail/A 12445-2026 tillsynsbegäran mail.docx", "A 12445-2026")</f>
        <v/>
      </c>
      <c r="AC49">
        <f>HYPERLINK("https://klasma.github.io/Logging_1783/fåglar/A 12445-2026 prioriterade fågelarter.docx", "A 12445-2026")</f>
        <v/>
      </c>
    </row>
    <row r="50" ht="15" customHeight="1">
      <c r="A50" t="inlineStr">
        <is>
          <t>A 51194-2022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46219</v>
      </c>
      <c r="F50" t="inlineStr">
        <is>
          <t>VÄRMLANDS LÄN</t>
        </is>
      </c>
      <c r="G50" t="inlineStr">
        <is>
          <t>HAGFORS</t>
        </is>
      </c>
      <c r="I50" t="n">
        <v>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Garnlav</t>
        </is>
      </c>
      <c r="V50">
        <f>HYPERLINK("https://klasma.github.io/Logging_1783/artfynd/A 51194-2022 artfynd.xlsx", "A 51194-2022")</f>
        <v/>
      </c>
      <c r="W50">
        <f>HYPERLINK("https://klasma.github.io/Logging_1783/kartor/A 51194-2022 karta.png", "A 51194-2022")</f>
        <v/>
      </c>
      <c r="Y50">
        <f>HYPERLINK("https://klasma.github.io/Logging_1783/klagomål/A 51194-2022 FSC-klagomål.docx", "A 51194-2022")</f>
        <v/>
      </c>
      <c r="Z50">
        <f>HYPERLINK("https://klasma.github.io/Logging_1783/klagomålsmail/A 51194-2022 FSC-klagomål mail.docx", "A 51194-2022")</f>
        <v/>
      </c>
      <c r="AA50">
        <f>HYPERLINK("https://klasma.github.io/Logging_1783/tillsyn/A 51194-2022 tillsynsbegäran.docx", "A 51194-2022")</f>
        <v/>
      </c>
      <c r="AB50">
        <f>HYPERLINK("https://klasma.github.io/Logging_1783/tillsynsmail/A 51194-2022 tillsynsbegäran mail.docx", "A 51194-2022")</f>
        <v/>
      </c>
    </row>
    <row r="51" ht="15" customHeight="1">
      <c r="A51" t="inlineStr">
        <is>
          <t>A 24885-2025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46219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Mörk husmossa</t>
        </is>
      </c>
      <c r="V51">
        <f>HYPERLINK("https://klasma.github.io/Logging_1783/artfynd/A 24885-2025 artfynd.xlsx", "A 24885-2025")</f>
        <v/>
      </c>
      <c r="W51">
        <f>HYPERLINK("https://klasma.github.io/Logging_1783/kartor/A 24885-2025 karta.png", "A 24885-2025")</f>
        <v/>
      </c>
      <c r="Y51">
        <f>HYPERLINK("https://klasma.github.io/Logging_1783/klagomål/A 24885-2025 FSC-klagomål.docx", "A 24885-2025")</f>
        <v/>
      </c>
      <c r="Z51">
        <f>HYPERLINK("https://klasma.github.io/Logging_1783/klagomålsmail/A 24885-2025 FSC-klagomål mail.docx", "A 24885-2025")</f>
        <v/>
      </c>
      <c r="AA51">
        <f>HYPERLINK("https://klasma.github.io/Logging_1783/tillsyn/A 24885-2025 tillsynsbegäran.docx", "A 24885-2025")</f>
        <v/>
      </c>
      <c r="AB51">
        <f>HYPERLINK("https://klasma.github.io/Logging_1783/tillsynsmail/A 24885-2025 tillsynsbegäran mail.docx", "A 24885-2025")</f>
        <v/>
      </c>
    </row>
    <row r="52" ht="15" customHeight="1">
      <c r="A52" t="inlineStr">
        <is>
          <t>A 26624-2025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45810</v>
      </c>
      <c r="E52" s="1" t="n">
        <v>46219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HYPERLINK("https://klasma.github.io/Logging_1783/artfynd/A 26624-2025 artfynd.xlsx", "A 26624-2025")</f>
        <v/>
      </c>
      <c r="W52">
        <f>HYPERLINK("https://klasma.github.io/Logging_1783/kartor/A 26624-2025 karta.png", "A 26624-2025")</f>
        <v/>
      </c>
      <c r="Y52">
        <f>HYPERLINK("https://klasma.github.io/Logging_1783/klagomål/A 26624-2025 FSC-klagomål.docx", "A 26624-2025")</f>
        <v/>
      </c>
      <c r="Z52">
        <f>HYPERLINK("https://klasma.github.io/Logging_1783/klagomålsmail/A 26624-2025 FSC-klagomål mail.docx", "A 26624-2025")</f>
        <v/>
      </c>
      <c r="AA52">
        <f>HYPERLINK("https://klasma.github.io/Logging_1783/tillsyn/A 26624-2025 tillsynsbegäran.docx", "A 26624-2025")</f>
        <v/>
      </c>
      <c r="AB52">
        <f>HYPERLINK("https://klasma.github.io/Logging_1783/tillsynsmail/A 26624-2025 tillsynsbegäran mail.docx", "A 26624-2025")</f>
        <v/>
      </c>
    </row>
    <row r="53" ht="15" customHeight="1">
      <c r="A53" t="inlineStr">
        <is>
          <t>A 42446-2024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45565</v>
      </c>
      <c r="E53" s="1" t="n">
        <v>46219</v>
      </c>
      <c r="F53" t="inlineStr">
        <is>
          <t>VÄRMLANDS LÄN</t>
        </is>
      </c>
      <c r="G53" t="inlineStr">
        <is>
          <t>HAGFORS</t>
        </is>
      </c>
      <c r="I53" t="n">
        <v>2.4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Strutbräken</t>
        </is>
      </c>
      <c r="V53">
        <f>HYPERLINK("https://klasma.github.io/Logging_1783/artfynd/A 42446-2024 artfynd.xlsx", "A 42446-2024")</f>
        <v/>
      </c>
      <c r="W53">
        <f>HYPERLINK("https://klasma.github.io/Logging_1783/kartor/A 42446-2024 karta.png", "A 42446-2024")</f>
        <v/>
      </c>
      <c r="Y53">
        <f>HYPERLINK("https://klasma.github.io/Logging_1783/klagomål/A 42446-2024 FSC-klagomål.docx", "A 42446-2024")</f>
        <v/>
      </c>
      <c r="Z53">
        <f>HYPERLINK("https://klasma.github.io/Logging_1783/klagomålsmail/A 42446-2024 FSC-klagomål mail.docx", "A 42446-2024")</f>
        <v/>
      </c>
      <c r="AA53">
        <f>HYPERLINK("https://klasma.github.io/Logging_1783/tillsyn/A 42446-2024 tillsynsbegäran.docx", "A 42446-2024")</f>
        <v/>
      </c>
      <c r="AB53">
        <f>HYPERLINK("https://klasma.github.io/Logging_1783/tillsynsmail/A 42446-2024 tillsynsbegäran mail.docx", "A 42446-2024")</f>
        <v/>
      </c>
    </row>
    <row r="54" ht="15" customHeight="1">
      <c r="A54" t="inlineStr">
        <is>
          <t>A 19362-2026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46133</v>
      </c>
      <c r="E54" s="1" t="n">
        <v>46219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Utter</t>
        </is>
      </c>
      <c r="V54">
        <f>HYPERLINK("https://klasma.github.io/Logging_1783/artfynd/A 19362-2026 artfynd.xlsx", "A 19362-2026")</f>
        <v/>
      </c>
      <c r="W54">
        <f>HYPERLINK("https://klasma.github.io/Logging_1783/kartor/A 19362-2026 karta.png", "A 19362-2026")</f>
        <v/>
      </c>
      <c r="Y54">
        <f>HYPERLINK("https://klasma.github.io/Logging_1783/klagomål/A 19362-2026 FSC-klagomål.docx", "A 19362-2026")</f>
        <v/>
      </c>
      <c r="Z54">
        <f>HYPERLINK("https://klasma.github.io/Logging_1783/klagomålsmail/A 19362-2026 FSC-klagomål mail.docx", "A 19362-2026")</f>
        <v/>
      </c>
      <c r="AA54">
        <f>HYPERLINK("https://klasma.github.io/Logging_1783/tillsyn/A 19362-2026 tillsynsbegäran.docx", "A 19362-2026")</f>
        <v/>
      </c>
      <c r="AB54">
        <f>HYPERLINK("https://klasma.github.io/Logging_1783/tillsynsmail/A 19362-2026 tillsynsbegäran mail.docx", "A 19362-2026")</f>
        <v/>
      </c>
    </row>
    <row r="55" ht="15" customHeight="1">
      <c r="A55" t="inlineStr">
        <is>
          <t>A 33848-2025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45842</v>
      </c>
      <c r="E55" s="1" t="n">
        <v>46219</v>
      </c>
      <c r="F55" t="inlineStr">
        <is>
          <t>VÄRMLANDS LÄN</t>
        </is>
      </c>
      <c r="G55" t="inlineStr">
        <is>
          <t>HAGFORS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Utter</t>
        </is>
      </c>
      <c r="V55">
        <f>HYPERLINK("https://klasma.github.io/Logging_1783/artfynd/A 33848-2025 artfynd.xlsx", "A 33848-2025")</f>
        <v/>
      </c>
      <c r="W55">
        <f>HYPERLINK("https://klasma.github.io/Logging_1783/kartor/A 33848-2025 karta.png", "A 33848-2025")</f>
        <v/>
      </c>
      <c r="Y55">
        <f>HYPERLINK("https://klasma.github.io/Logging_1783/klagomål/A 33848-2025 FSC-klagomål.docx", "A 33848-2025")</f>
        <v/>
      </c>
      <c r="Z55">
        <f>HYPERLINK("https://klasma.github.io/Logging_1783/klagomålsmail/A 33848-2025 FSC-klagomål mail.docx", "A 33848-2025")</f>
        <v/>
      </c>
      <c r="AA55">
        <f>HYPERLINK("https://klasma.github.io/Logging_1783/tillsyn/A 33848-2025 tillsynsbegäran.docx", "A 33848-2025")</f>
        <v/>
      </c>
      <c r="AB55">
        <f>HYPERLINK("https://klasma.github.io/Logging_1783/tillsynsmail/A 33848-2025 tillsynsbegäran mail.docx", "A 33848-2025")</f>
        <v/>
      </c>
    </row>
    <row r="56" ht="15" customHeight="1">
      <c r="A56" t="inlineStr">
        <is>
          <t>A 26189-2026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46219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Sävsparv</t>
        </is>
      </c>
      <c r="V56">
        <f>HYPERLINK("https://klasma.github.io/Logging_1783/artfynd/A 26189-2026 artfynd.xlsx", "A 26189-2026")</f>
        <v/>
      </c>
      <c r="W56">
        <f>HYPERLINK("https://klasma.github.io/Logging_1783/kartor/A 26189-2026 karta.png", "A 26189-2026")</f>
        <v/>
      </c>
      <c r="Y56">
        <f>HYPERLINK("https://klasma.github.io/Logging_1783/klagomål/A 26189-2026 FSC-klagomål.docx", "A 26189-2026")</f>
        <v/>
      </c>
      <c r="Z56">
        <f>HYPERLINK("https://klasma.github.io/Logging_1783/klagomålsmail/A 26189-2026 FSC-klagomål mail.docx", "A 26189-2026")</f>
        <v/>
      </c>
      <c r="AA56">
        <f>HYPERLINK("https://klasma.github.io/Logging_1783/tillsyn/A 26189-2026 tillsynsbegäran.docx", "A 26189-2026")</f>
        <v/>
      </c>
      <c r="AB56">
        <f>HYPERLINK("https://klasma.github.io/Logging_1783/tillsynsmail/A 26189-2026 tillsynsbegäran mail.docx", "A 26189-2026")</f>
        <v/>
      </c>
      <c r="AC56">
        <f>HYPERLINK("https://klasma.github.io/Logging_1783/fåglar/A 26189-2026 prioriterade fågelarter.docx", "A 26189-2026")</f>
        <v/>
      </c>
    </row>
    <row r="57" ht="15" customHeight="1">
      <c r="A57" t="inlineStr">
        <is>
          <t>A 34158-2025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45845</v>
      </c>
      <c r="E57" s="1" t="n">
        <v>46219</v>
      </c>
      <c r="F57" t="inlineStr">
        <is>
          <t>VÄRMLANDS LÄN</t>
        </is>
      </c>
      <c r="G57" t="inlineStr">
        <is>
          <t>HAGFORS</t>
        </is>
      </c>
      <c r="I57" t="n">
        <v>5.8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Korallblylav</t>
        </is>
      </c>
      <c r="V57">
        <f>HYPERLINK("https://klasma.github.io/Logging_1783/artfynd/A 34158-2025 artfynd.xlsx", "A 34158-2025")</f>
        <v/>
      </c>
      <c r="W57">
        <f>HYPERLINK("https://klasma.github.io/Logging_1783/kartor/A 34158-2025 karta.png", "A 34158-2025")</f>
        <v/>
      </c>
      <c r="Y57">
        <f>HYPERLINK("https://klasma.github.io/Logging_1783/klagomål/A 34158-2025 FSC-klagomål.docx", "A 34158-2025")</f>
        <v/>
      </c>
      <c r="Z57">
        <f>HYPERLINK("https://klasma.github.io/Logging_1783/klagomålsmail/A 34158-2025 FSC-klagomål mail.docx", "A 34158-2025")</f>
        <v/>
      </c>
      <c r="AA57">
        <f>HYPERLINK("https://klasma.github.io/Logging_1783/tillsyn/A 34158-2025 tillsynsbegäran.docx", "A 34158-2025")</f>
        <v/>
      </c>
      <c r="AB57">
        <f>HYPERLINK("https://klasma.github.io/Logging_1783/tillsynsmail/A 34158-2025 tillsynsbegäran mail.docx", "A 34158-2025")</f>
        <v/>
      </c>
    </row>
    <row r="58" ht="15" customHeight="1">
      <c r="A58" t="inlineStr">
        <is>
          <t>A 20119-2025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46219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Tjäder</t>
        </is>
      </c>
      <c r="V58">
        <f>HYPERLINK("https://klasma.github.io/Logging_1783/artfynd/A 20119-2025 artfynd.xlsx", "A 20119-2025")</f>
        <v/>
      </c>
      <c r="W58">
        <f>HYPERLINK("https://klasma.github.io/Logging_1783/kartor/A 20119-2025 karta.png", "A 20119-2025")</f>
        <v/>
      </c>
      <c r="Y58">
        <f>HYPERLINK("https://klasma.github.io/Logging_1783/klagomål/A 20119-2025 FSC-klagomål.docx", "A 20119-2025")</f>
        <v/>
      </c>
      <c r="Z58">
        <f>HYPERLINK("https://klasma.github.io/Logging_1783/klagomålsmail/A 20119-2025 FSC-klagomål mail.docx", "A 20119-2025")</f>
        <v/>
      </c>
      <c r="AA58">
        <f>HYPERLINK("https://klasma.github.io/Logging_1783/tillsyn/A 20119-2025 tillsynsbegäran.docx", "A 20119-2025")</f>
        <v/>
      </c>
      <c r="AB58">
        <f>HYPERLINK("https://klasma.github.io/Logging_1783/tillsynsmail/A 20119-2025 tillsynsbegäran mail.docx", "A 20119-2025")</f>
        <v/>
      </c>
      <c r="AC58">
        <f>HYPERLINK("https://klasma.github.io/Logging_1783/fåglar/A 20119-2025 prioriterade fågelarter.docx", "A 20119-2025")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46219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Utter</t>
        </is>
      </c>
      <c r="V59">
        <f>HYPERLINK("https://klasma.github.io/Logging_1783/artfynd/A 33905-2025 artfynd.xlsx", "A 33905-2025")</f>
        <v/>
      </c>
      <c r="W59">
        <f>HYPERLINK("https://klasma.github.io/Logging_1783/kartor/A 33905-2025 karta.png", "A 33905-2025")</f>
        <v/>
      </c>
      <c r="Y59">
        <f>HYPERLINK("https://klasma.github.io/Logging_1783/klagomål/A 33905-2025 FSC-klagomål.docx", "A 33905-2025")</f>
        <v/>
      </c>
      <c r="Z59">
        <f>HYPERLINK("https://klasma.github.io/Logging_1783/klagomålsmail/A 33905-2025 FSC-klagomål mail.docx", "A 33905-2025")</f>
        <v/>
      </c>
      <c r="AA59">
        <f>HYPERLINK("https://klasma.github.io/Logging_1783/tillsyn/A 33905-2025 tillsynsbegäran.docx", "A 33905-2025")</f>
        <v/>
      </c>
      <c r="AB59">
        <f>HYPERLINK("https://klasma.github.io/Logging_1783/tillsynsmail/A 33905-2025 tillsynsbegäran mail.docx", "A 33905-2025")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46219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HYPERLINK("https://klasma.github.io/Logging_1783/artfynd/S 412-2024 artfynd.xlsx", "S 412-2024")</f>
        <v/>
      </c>
      <c r="W60">
        <f>HYPERLINK("https://klasma.github.io/Logging_1783/kartor/S 412-2024 karta.png", "S 412-2024")</f>
        <v/>
      </c>
      <c r="Y60">
        <f>HYPERLINK("https://klasma.github.io/Logging_1783/klagomål/S 412-2024 FSC-klagomål.docx", "S 412-2024")</f>
        <v/>
      </c>
      <c r="Z60">
        <f>HYPERLINK("https://klasma.github.io/Logging_1783/klagomålsmail/S 412-2024 FSC-klagomål mail.docx", "S 412-2024")</f>
        <v/>
      </c>
      <c r="AA60">
        <f>HYPERLINK("https://klasma.github.io/Logging_1783/tillsyn/S 412-2024 tillsynsbegäran.docx", "S 412-2024")</f>
        <v/>
      </c>
      <c r="AB60">
        <f>HYPERLINK("https://klasma.github.io/Logging_1783/tillsynsmail/S 412-2024 tillsynsbegäran mail.docx", "S 412-2024")</f>
        <v/>
      </c>
      <c r="AC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46219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Fjällig jordtunga</t>
        </is>
      </c>
      <c r="V61">
        <f>HYPERLINK("https://klasma.github.io/Logging_1783/artfynd/S 4427-2023 artfynd.xlsx", "S 4427-2023")</f>
        <v/>
      </c>
      <c r="W61">
        <f>HYPERLINK("https://klasma.github.io/Logging_1783/kartor/S 4427-2023 karta.png", "S 4427-2023")</f>
        <v/>
      </c>
      <c r="Y61">
        <f>HYPERLINK("https://klasma.github.io/Logging_1783/klagomål/S 4427-2023 FSC-klagomål.docx", "S 4427-2023")</f>
        <v/>
      </c>
      <c r="Z61">
        <f>HYPERLINK("https://klasma.github.io/Logging_1783/klagomålsmail/S 4427-2023 FSC-klagomål mail.docx", "S 4427-2023")</f>
        <v/>
      </c>
      <c r="AA61">
        <f>HYPERLINK("https://klasma.github.io/Logging_1783/tillsyn/S 4427-2023 tillsynsbegäran.docx", "S 4427-2023")</f>
        <v/>
      </c>
      <c r="AB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46219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HYPERLINK("https://klasma.github.io/Logging_1783/artfynd/S 61-2026 artfynd.xlsx", "S 61-2026")</f>
        <v/>
      </c>
      <c r="W62">
        <f>HYPERLINK("https://klasma.github.io/Logging_1783/kartor/S 61-2026 karta.png", "S 61-2026")</f>
        <v/>
      </c>
      <c r="Y62">
        <f>HYPERLINK("https://klasma.github.io/Logging_1783/klagomål/S 61-2026 FSC-klagomål.docx", "S 61-2026")</f>
        <v/>
      </c>
      <c r="Z62">
        <f>HYPERLINK("https://klasma.github.io/Logging_1783/klagomålsmail/S 61-2026 FSC-klagomål mail.docx", "S 61-2026")</f>
        <v/>
      </c>
      <c r="AA62">
        <f>HYPERLINK("https://klasma.github.io/Logging_1783/tillsyn/S 61-2026 tillsynsbegäran.docx", "S 61-2026")</f>
        <v/>
      </c>
      <c r="AB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46219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46219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46219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46219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46219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46219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46219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46219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46219</v>
      </c>
      <c r="F71" t="inlineStr">
        <is>
          <t>VÄRMLANDS LÄN</t>
        </is>
      </c>
      <c r="G71" t="inlineStr">
        <is>
          <t>HAGFORS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37699-2021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44400</v>
      </c>
      <c r="E72" s="1" t="n">
        <v>46219</v>
      </c>
      <c r="F72" t="inlineStr">
        <is>
          <t>VÄRMLANDS LÄN</t>
        </is>
      </c>
      <c r="G72" t="inlineStr">
        <is>
          <t>HAGFORS</t>
        </is>
      </c>
      <c r="H72" t="inlineStr">
        <is>
          <t>Bergvik skog väst AB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34220-2022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46219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46219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46219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46219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46219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46219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46219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46219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46219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46219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46219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46219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46219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46219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46219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46219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46219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46219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46219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46219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46219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46219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46219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46219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46219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46219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46219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46219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46219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35622-2022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46219</v>
      </c>
      <c r="F102" t="inlineStr">
        <is>
          <t>VÄRMLANDS LÄN</t>
        </is>
      </c>
      <c r="G102" t="inlineStr">
        <is>
          <t>HAGFORS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39059-2022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46219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48210-2022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46219</v>
      </c>
      <c r="F104" t="inlineStr">
        <is>
          <t>VÄRMLANDS LÄN</t>
        </is>
      </c>
      <c r="G104" t="inlineStr">
        <is>
          <t>HAGFORS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46219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46219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46219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46219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46219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46219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46219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7304-2022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46219</v>
      </c>
      <c r="F112" t="inlineStr">
        <is>
          <t>VÄRMLANDS LÄN</t>
        </is>
      </c>
      <c r="G112" t="inlineStr">
        <is>
          <t>HAGFORS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22332-2024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45446</v>
      </c>
      <c r="E113" s="1" t="n">
        <v>46219</v>
      </c>
      <c r="F113" t="inlineStr">
        <is>
          <t>VÄRMLANDS LÄN</t>
        </is>
      </c>
      <c r="G113" t="inlineStr">
        <is>
          <t>HAGFORS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64936-2023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46219</v>
      </c>
      <c r="F114" t="inlineStr">
        <is>
          <t>VÄRMLANDS LÄN</t>
        </is>
      </c>
      <c r="G114" t="inlineStr">
        <is>
          <t>HAGFORS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46219</v>
      </c>
      <c r="F115" t="inlineStr">
        <is>
          <t>VÄRMLANDS LÄN</t>
        </is>
      </c>
      <c r="G115" t="inlineStr">
        <is>
          <t>HAGFORS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65565-2021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46219</v>
      </c>
      <c r="F116" t="inlineStr">
        <is>
          <t>VÄRMLANDS LÄN</t>
        </is>
      </c>
      <c r="G116" t="inlineStr">
        <is>
          <t>HAGFORS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27045-2022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44741</v>
      </c>
      <c r="E117" s="1" t="n">
        <v>46219</v>
      </c>
      <c r="F117" t="inlineStr">
        <is>
          <t>VÄRMLANDS LÄN</t>
        </is>
      </c>
      <c r="G117" t="inlineStr">
        <is>
          <t>HAGFORS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48203-2022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44858</v>
      </c>
      <c r="E118" s="1" t="n">
        <v>46219</v>
      </c>
      <c r="F118" t="inlineStr">
        <is>
          <t>VÄRMLANDS LÄN</t>
        </is>
      </c>
      <c r="G118" t="inlineStr">
        <is>
          <t>HAGFORS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17402-2022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44678</v>
      </c>
      <c r="E119" s="1" t="n">
        <v>46219</v>
      </c>
      <c r="F119" t="inlineStr">
        <is>
          <t>VÄRMLANDS LÄN</t>
        </is>
      </c>
      <c r="G119" t="inlineStr">
        <is>
          <t>HAGFORS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13635-2024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46219</v>
      </c>
      <c r="F120" t="inlineStr">
        <is>
          <t>VÄRMLANDS LÄN</t>
        </is>
      </c>
      <c r="G120" t="inlineStr">
        <is>
          <t>HAGFORS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21442-2022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46219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32696-2023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46219</v>
      </c>
      <c r="F122" t="inlineStr">
        <is>
          <t>VÄRMLANDS LÄN</t>
        </is>
      </c>
      <c r="G122" t="inlineStr">
        <is>
          <t>HAGFORS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53757-2021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44469</v>
      </c>
      <c r="E123" s="1" t="n">
        <v>46219</v>
      </c>
      <c r="F123" t="inlineStr">
        <is>
          <t>VÄRMLANDS LÄN</t>
        </is>
      </c>
      <c r="G123" t="inlineStr">
        <is>
          <t>HAGFORS</t>
        </is>
      </c>
      <c r="H123" t="inlineStr">
        <is>
          <t>Kyrkan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5202-2022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44594</v>
      </c>
      <c r="E124" s="1" t="n">
        <v>46219</v>
      </c>
      <c r="F124" t="inlineStr">
        <is>
          <t>VÄRMLANDS LÄN</t>
        </is>
      </c>
      <c r="G124" t="inlineStr">
        <is>
          <t>HAGFORS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6708-2022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44602</v>
      </c>
      <c r="E125" s="1" t="n">
        <v>46219</v>
      </c>
      <c r="F125" t="inlineStr">
        <is>
          <t>VÄRMLANDS LÄN</t>
        </is>
      </c>
      <c r="G125" t="inlineStr">
        <is>
          <t>HAGFORS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58799-2022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44903</v>
      </c>
      <c r="E126" s="1" t="n">
        <v>46219</v>
      </c>
      <c r="F126" t="inlineStr">
        <is>
          <t>VÄRMLANDS LÄN</t>
        </is>
      </c>
      <c r="G126" t="inlineStr">
        <is>
          <t>HAGFORS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59092-2022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44904</v>
      </c>
      <c r="E127" s="1" t="n">
        <v>46219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55137-2024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46219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45765</v>
      </c>
      <c r="E129" s="1" t="n">
        <v>46219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20466-2023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45057</v>
      </c>
      <c r="E130" s="1" t="n">
        <v>46219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8922-2025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45713</v>
      </c>
      <c r="E131" s="1" t="n">
        <v>46219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46219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45321</v>
      </c>
      <c r="E133" s="1" t="n">
        <v>46219</v>
      </c>
      <c r="F133" t="inlineStr">
        <is>
          <t>VÄRMLANDS LÄN</t>
        </is>
      </c>
      <c r="G133" t="inlineStr">
        <is>
          <t>HAGFORS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32031-2024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46219</v>
      </c>
      <c r="F134" t="inlineStr">
        <is>
          <t>VÄRMLANDS LÄN</t>
        </is>
      </c>
      <c r="G134" t="inlineStr">
        <is>
          <t>HAGFORS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46219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3669-2025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45681</v>
      </c>
      <c r="E136" s="1" t="n">
        <v>46219</v>
      </c>
      <c r="F136" t="inlineStr">
        <is>
          <t>VÄRMLANDS LÄN</t>
        </is>
      </c>
      <c r="G136" t="inlineStr">
        <is>
          <t>HAGFORS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42175-2024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45562</v>
      </c>
      <c r="E137" s="1" t="n">
        <v>46219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53192-2022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46219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46219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5778-2024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45335</v>
      </c>
      <c r="E140" s="1" t="n">
        <v>46219</v>
      </c>
      <c r="F140" t="inlineStr">
        <is>
          <t>VÄRMLANDS LÄN</t>
        </is>
      </c>
      <c r="G140" t="inlineStr">
        <is>
          <t>HAGFORS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31178-2022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44770</v>
      </c>
      <c r="E141" s="1" t="n">
        <v>46219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15538-2024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45401</v>
      </c>
      <c r="E142" s="1" t="n">
        <v>46219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13300-2023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46219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44125-2021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44434</v>
      </c>
      <c r="E144" s="1" t="n">
        <v>46219</v>
      </c>
      <c r="F144" t="inlineStr">
        <is>
          <t>VÄRMLANDS LÄN</t>
        </is>
      </c>
      <c r="G144" t="inlineStr">
        <is>
          <t>HAGFORS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46219</v>
      </c>
      <c r="F145" t="inlineStr">
        <is>
          <t>VÄRMLANDS LÄN</t>
        </is>
      </c>
      <c r="G145" t="inlineStr">
        <is>
          <t>HAGFORS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18014-2024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45419</v>
      </c>
      <c r="E146" s="1" t="n">
        <v>46219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17297-2024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46219</v>
      </c>
      <c r="F147" t="inlineStr">
        <is>
          <t>VÄRMLANDS LÄN</t>
        </is>
      </c>
      <c r="G147" t="inlineStr">
        <is>
          <t>HAGFORS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17329-2024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45414</v>
      </c>
      <c r="E148" s="1" t="n">
        <v>46219</v>
      </c>
      <c r="F148" t="inlineStr">
        <is>
          <t>VÄRMLANDS LÄN</t>
        </is>
      </c>
      <c r="G148" t="inlineStr">
        <is>
          <t>HAGFORS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46219</v>
      </c>
      <c r="F149" t="inlineStr">
        <is>
          <t>VÄRMLANDS LÄN</t>
        </is>
      </c>
      <c r="G149" t="inlineStr">
        <is>
          <t>HAGFORS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11744-2024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46219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46219</v>
      </c>
      <c r="F151" t="inlineStr">
        <is>
          <t>VÄRMLANDS LÄN</t>
        </is>
      </c>
      <c r="G151" t="inlineStr">
        <is>
          <t>HAGFORS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47516-2023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46219</v>
      </c>
      <c r="F152" t="inlineStr">
        <is>
          <t>VÄRMLANDS LÄN</t>
        </is>
      </c>
      <c r="G152" t="inlineStr">
        <is>
          <t>HAGFORS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52494-2024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46219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15228-2024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45400</v>
      </c>
      <c r="E154" s="1" t="n">
        <v>46219</v>
      </c>
      <c r="F154" t="inlineStr">
        <is>
          <t>VÄRMLANDS LÄN</t>
        </is>
      </c>
      <c r="G154" t="inlineStr">
        <is>
          <t>HAGFORS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55758-2024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46219</v>
      </c>
      <c r="F155" t="inlineStr">
        <is>
          <t>VÄRMLANDS LÄN</t>
        </is>
      </c>
      <c r="G155" t="inlineStr">
        <is>
          <t>HAGFORS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11241-2024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46219</v>
      </c>
      <c r="F156" t="inlineStr">
        <is>
          <t>VÄRMLANDS LÄN</t>
        </is>
      </c>
      <c r="G156" t="inlineStr">
        <is>
          <t>HAGFORS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21451-2024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46219</v>
      </c>
      <c r="F157" t="inlineStr">
        <is>
          <t>VÄRMLANDS LÄN</t>
        </is>
      </c>
      <c r="G157" t="inlineStr">
        <is>
          <t>HAGFORS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20103-2024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46219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34404-2023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45132</v>
      </c>
      <c r="E159" s="1" t="n">
        <v>46219</v>
      </c>
      <c r="F159" t="inlineStr">
        <is>
          <t>VÄRMLANDS LÄN</t>
        </is>
      </c>
      <c r="G159" t="inlineStr">
        <is>
          <t>HAGFORS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18472-2024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45425</v>
      </c>
      <c r="E160" s="1" t="n">
        <v>46219</v>
      </c>
      <c r="F160" t="inlineStr">
        <is>
          <t>VÄRMLANDS LÄN</t>
        </is>
      </c>
      <c r="G160" t="inlineStr">
        <is>
          <t>HAGFORS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39211-2022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44817</v>
      </c>
      <c r="E161" s="1" t="n">
        <v>46219</v>
      </c>
      <c r="F161" t="inlineStr">
        <is>
          <t>VÄRMLANDS LÄN</t>
        </is>
      </c>
      <c r="G161" t="inlineStr">
        <is>
          <t>HAGFORS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46219</v>
      </c>
      <c r="F162" t="inlineStr">
        <is>
          <t>VÄRMLANDS LÄN</t>
        </is>
      </c>
      <c r="G162" t="inlineStr">
        <is>
          <t>HAGFORS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46219</v>
      </c>
      <c r="F163" t="inlineStr">
        <is>
          <t>VÄRMLANDS LÄN</t>
        </is>
      </c>
      <c r="G163" t="inlineStr">
        <is>
          <t>HAGFORS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12673-2024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45384</v>
      </c>
      <c r="E164" s="1" t="n">
        <v>46219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56884-2023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46219</v>
      </c>
      <c r="F165" t="inlineStr">
        <is>
          <t>VÄRMLANDS LÄN</t>
        </is>
      </c>
      <c r="G165" t="inlineStr">
        <is>
          <t>HAGFORS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36013-2023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45149</v>
      </c>
      <c r="E166" s="1" t="n">
        <v>46219</v>
      </c>
      <c r="F166" t="inlineStr">
        <is>
          <t>VÄRMLANDS LÄN</t>
        </is>
      </c>
      <c r="G166" t="inlineStr">
        <is>
          <t>HAGFORS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56895-2023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45244</v>
      </c>
      <c r="E167" s="1" t="n">
        <v>46219</v>
      </c>
      <c r="F167" t="inlineStr">
        <is>
          <t>VÄRMLANDS LÄN</t>
        </is>
      </c>
      <c r="G167" t="inlineStr">
        <is>
          <t>HAGFORS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19783-2023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46219</v>
      </c>
      <c r="F168" t="inlineStr">
        <is>
          <t>VÄRMLANDS LÄN</t>
        </is>
      </c>
      <c r="G168" t="inlineStr">
        <is>
          <t>HAGFORS</t>
        </is>
      </c>
      <c r="H168" t="inlineStr">
        <is>
          <t>Kommuner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24947-2024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45461</v>
      </c>
      <c r="E169" s="1" t="n">
        <v>46219</v>
      </c>
      <c r="F169" t="inlineStr">
        <is>
          <t>VÄRMLANDS LÄN</t>
        </is>
      </c>
      <c r="G169" t="inlineStr">
        <is>
          <t>HAGFORS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35664-2023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46219</v>
      </c>
      <c r="F170" t="inlineStr">
        <is>
          <t>VÄRMLANDS LÄN</t>
        </is>
      </c>
      <c r="G170" t="inlineStr">
        <is>
          <t>HAGFORS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14897-2024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46219</v>
      </c>
      <c r="F171" t="inlineStr">
        <is>
          <t>VÄRMLANDS LÄN</t>
        </is>
      </c>
      <c r="G171" t="inlineStr">
        <is>
          <t>HAGFORS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42169-2024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46219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38132-2022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46219</v>
      </c>
      <c r="F173" t="inlineStr">
        <is>
          <t>VÄRMLANDS LÄN</t>
        </is>
      </c>
      <c r="G173" t="inlineStr">
        <is>
          <t>HAGFORS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47028-2023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46219</v>
      </c>
      <c r="F174" t="inlineStr">
        <is>
          <t>VÄRMLANDS LÄN</t>
        </is>
      </c>
      <c r="G174" t="inlineStr">
        <is>
          <t>HAGFORS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46219</v>
      </c>
      <c r="F175" t="inlineStr">
        <is>
          <t>VÄRMLANDS LÄN</t>
        </is>
      </c>
      <c r="G175" t="inlineStr">
        <is>
          <t>HAGFORS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38555-2023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46219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52923-2023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45226</v>
      </c>
      <c r="E177" s="1" t="n">
        <v>46219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18213-2024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46219</v>
      </c>
      <c r="F178" t="inlineStr">
        <is>
          <t>VÄRMLANDS LÄN</t>
        </is>
      </c>
      <c r="G178" t="inlineStr">
        <is>
          <t>HAGFORS</t>
        </is>
      </c>
      <c r="I178" t="n">
        <v>11.5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10562-2024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45366</v>
      </c>
      <c r="E179" s="1" t="n">
        <v>46219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46219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45527</v>
      </c>
      <c r="E181" s="1" t="n">
        <v>46219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17884-2025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45758</v>
      </c>
      <c r="E182" s="1" t="n">
        <v>46219</v>
      </c>
      <c r="F182" t="inlineStr">
        <is>
          <t>VÄRMLANDS LÄN</t>
        </is>
      </c>
      <c r="G182" t="inlineStr">
        <is>
          <t>HAGFORS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43309-2022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44834</v>
      </c>
      <c r="E183" s="1" t="n">
        <v>46219</v>
      </c>
      <c r="F183" t="inlineStr">
        <is>
          <t>VÄRMLANDS LÄN</t>
        </is>
      </c>
      <c r="G183" t="inlineStr">
        <is>
          <t>HAGFORS</t>
        </is>
      </c>
      <c r="H183" t="inlineStr">
        <is>
          <t>Kyrkan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52830-2023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45226</v>
      </c>
      <c r="E184" s="1" t="n">
        <v>46219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11126-2024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45371</v>
      </c>
      <c r="E185" s="1" t="n">
        <v>46219</v>
      </c>
      <c r="F185" t="inlineStr">
        <is>
          <t>VÄRMLANDS LÄN</t>
        </is>
      </c>
      <c r="G185" t="inlineStr">
        <is>
          <t>HAGFORS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24857-2025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46219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53813-2024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46219</v>
      </c>
      <c r="F187" t="inlineStr">
        <is>
          <t>VÄRMLANDS LÄN</t>
        </is>
      </c>
      <c r="G187" t="inlineStr">
        <is>
          <t>HAGFORS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30180-2022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44757</v>
      </c>
      <c r="E188" s="1" t="n">
        <v>46219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35994-2024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46219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19702-2022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44694</v>
      </c>
      <c r="E190" s="1" t="n">
        <v>46219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60167-2023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45258</v>
      </c>
      <c r="E191" s="1" t="n">
        <v>46219</v>
      </c>
      <c r="F191" t="inlineStr">
        <is>
          <t>VÄRMLANDS LÄN</t>
        </is>
      </c>
      <c r="G191" t="inlineStr">
        <is>
          <t>HAGFORS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36360-2023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46219</v>
      </c>
      <c r="F192" t="inlineStr">
        <is>
          <t>VÄRMLANDS LÄN</t>
        </is>
      </c>
      <c r="G192" t="inlineStr">
        <is>
          <t>HAGFORS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39249-2025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46219</v>
      </c>
      <c r="F193" t="inlineStr">
        <is>
          <t>VÄRMLANDS LÄN</t>
        </is>
      </c>
      <c r="G193" t="inlineStr">
        <is>
          <t>HAGFORS</t>
        </is>
      </c>
      <c r="H193" t="inlineStr">
        <is>
          <t>Kyrkan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36293-2023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45152</v>
      </c>
      <c r="E194" s="1" t="n">
        <v>46219</v>
      </c>
      <c r="F194" t="inlineStr">
        <is>
          <t>VÄRMLANDS LÄN</t>
        </is>
      </c>
      <c r="G194" t="inlineStr">
        <is>
          <t>HAGFORS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31166-2022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44770</v>
      </c>
      <c r="E195" s="1" t="n">
        <v>46219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9795-2023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46219</v>
      </c>
      <c r="F196" t="inlineStr">
        <is>
          <t>VÄRMLANDS LÄN</t>
        </is>
      </c>
      <c r="G196" t="inlineStr">
        <is>
          <t>HAGFORS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39904-2025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46219</v>
      </c>
      <c r="F197" t="inlineStr">
        <is>
          <t>VÄRMLANDS LÄN</t>
        </is>
      </c>
      <c r="G197" t="inlineStr">
        <is>
          <t>HAGFORS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20444-2024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45435</v>
      </c>
      <c r="E198" s="1" t="n">
        <v>46219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20447-2024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45435</v>
      </c>
      <c r="E199" s="1" t="n">
        <v>46219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50199-2022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44865</v>
      </c>
      <c r="E200" s="1" t="n">
        <v>46219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33.2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40300-2025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46219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41015-2025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46219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34529-2023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45140</v>
      </c>
      <c r="E203" s="1" t="n">
        <v>46219</v>
      </c>
      <c r="F203" t="inlineStr">
        <is>
          <t>VÄRMLANDS LÄN</t>
        </is>
      </c>
      <c r="G203" t="inlineStr">
        <is>
          <t>HAGFORS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45729</v>
      </c>
      <c r="E204" s="1" t="n">
        <v>46219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41155-2025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46219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41117-2025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46219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57379-2022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44896</v>
      </c>
      <c r="E207" s="1" t="n">
        <v>46219</v>
      </c>
      <c r="F207" t="inlineStr">
        <is>
          <t>VÄRMLANDS LÄN</t>
        </is>
      </c>
      <c r="G207" t="inlineStr">
        <is>
          <t>HAGFORS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13990-2025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45739</v>
      </c>
      <c r="E208" s="1" t="n">
        <v>46219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41153-2025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46219</v>
      </c>
      <c r="F209" t="inlineStr">
        <is>
          <t>VÄRMLANDS LÄN</t>
        </is>
      </c>
      <c r="G209" t="inlineStr">
        <is>
          <t>HAGFORS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46219</v>
      </c>
      <c r="F210" t="inlineStr">
        <is>
          <t>VÄRMLANDS LÄN</t>
        </is>
      </c>
      <c r="G210" t="inlineStr">
        <is>
          <t>HAGFORS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47019-2023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45201</v>
      </c>
      <c r="E211" s="1" t="n">
        <v>46219</v>
      </c>
      <c r="F211" t="inlineStr">
        <is>
          <t>VÄRMLANDS LÄN</t>
        </is>
      </c>
      <c r="G211" t="inlineStr">
        <is>
          <t>HAGFORS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41739-2025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45902</v>
      </c>
      <c r="E212" s="1" t="n">
        <v>46219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41809-2025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46219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16525-2023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45029</v>
      </c>
      <c r="E214" s="1" t="n">
        <v>46219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39029-2022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44817</v>
      </c>
      <c r="E215" s="1" t="n">
        <v>46219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61981-2024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45653</v>
      </c>
      <c r="E216" s="1" t="n">
        <v>46219</v>
      </c>
      <c r="F216" t="inlineStr">
        <is>
          <t>VÄRMLANDS LÄN</t>
        </is>
      </c>
      <c r="G216" t="inlineStr">
        <is>
          <t>HAGFORS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55049-2024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45621</v>
      </c>
      <c r="E217" s="1" t="n">
        <v>46219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41784-2025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46219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21155-2023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45057</v>
      </c>
      <c r="E219" s="1" t="n">
        <v>46219</v>
      </c>
      <c r="F219" t="inlineStr">
        <is>
          <t>VÄRMLANDS LÄN</t>
        </is>
      </c>
      <c r="G219" t="inlineStr">
        <is>
          <t>HAGFORS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58808-2022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44903</v>
      </c>
      <c r="E220" s="1" t="n">
        <v>46219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46219</v>
      </c>
      <c r="F221" t="inlineStr">
        <is>
          <t>VÄRMLANDS LÄN</t>
        </is>
      </c>
      <c r="G221" t="inlineStr">
        <is>
          <t>HAGFORS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20652-2022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44700</v>
      </c>
      <c r="E222" s="1" t="n">
        <v>46219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42381-2025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46219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42406-2025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46219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42453-2025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46219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19.2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42385-2025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46219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42430-2025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46219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10382-2025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46219</v>
      </c>
      <c r="F228" t="inlineStr">
        <is>
          <t>VÄRMLANDS LÄN</t>
        </is>
      </c>
      <c r="G228" t="inlineStr">
        <is>
          <t>HAGFORS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43084-2025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46219</v>
      </c>
      <c r="F229" t="inlineStr">
        <is>
          <t>VÄRMLANDS LÄN</t>
        </is>
      </c>
      <c r="G229" t="inlineStr">
        <is>
          <t>HAGFORS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61169-2024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45645</v>
      </c>
      <c r="E230" s="1" t="n">
        <v>46219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29447-2025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46219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51915-2023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46219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21309-2023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45062</v>
      </c>
      <c r="E233" s="1" t="n">
        <v>46219</v>
      </c>
      <c r="F233" t="inlineStr">
        <is>
          <t>VÄRMLANDS LÄN</t>
        </is>
      </c>
      <c r="G233" t="inlineStr">
        <is>
          <t>HAGFORS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23065-2025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45790</v>
      </c>
      <c r="E234" s="1" t="n">
        <v>46219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8.5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46219</v>
      </c>
      <c r="F235" t="inlineStr">
        <is>
          <t>VÄRMLANDS LÄN</t>
        </is>
      </c>
      <c r="G235" t="inlineStr">
        <is>
          <t>HAGFORS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44877-2025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45918</v>
      </c>
      <c r="E236" s="1" t="n">
        <v>46219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46219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44804-2025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46219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71447-2021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44540</v>
      </c>
      <c r="E239" s="1" t="n">
        <v>46219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46219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44924</v>
      </c>
      <c r="E241" s="1" t="n">
        <v>46219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58084-2024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45632</v>
      </c>
      <c r="E242" s="1" t="n">
        <v>46219</v>
      </c>
      <c r="F242" t="inlineStr">
        <is>
          <t>VÄRMLANDS LÄN</t>
        </is>
      </c>
      <c r="G242" t="inlineStr">
        <is>
          <t>HAGFORS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58132-2024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45632</v>
      </c>
      <c r="E243" s="1" t="n">
        <v>46219</v>
      </c>
      <c r="F243" t="inlineStr">
        <is>
          <t>VÄRMLANDS LÄN</t>
        </is>
      </c>
      <c r="G243" t="inlineStr">
        <is>
          <t>HAGFORS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37085-2023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46219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45355-2025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46219</v>
      </c>
      <c r="F245" t="inlineStr">
        <is>
          <t>VÄRMLANDS LÄN</t>
        </is>
      </c>
      <c r="G245" t="inlineStr">
        <is>
          <t>HAGFORS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45361-2025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46219</v>
      </c>
      <c r="F246" t="inlineStr">
        <is>
          <t>VÄRMLANDS LÄN</t>
        </is>
      </c>
      <c r="G246" t="inlineStr">
        <is>
          <t>HAGFORS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37463-2022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44809</v>
      </c>
      <c r="E247" s="1" t="n">
        <v>46219</v>
      </c>
      <c r="F247" t="inlineStr">
        <is>
          <t>VÄRMLANDS LÄN</t>
        </is>
      </c>
      <c r="G247" t="inlineStr">
        <is>
          <t>HAGFORS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45641-2025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46219</v>
      </c>
      <c r="F248" t="inlineStr">
        <is>
          <t>VÄRMLANDS LÄN</t>
        </is>
      </c>
      <c r="G248" t="inlineStr">
        <is>
          <t>HAGFORS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46792-2022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46219</v>
      </c>
      <c r="F249" t="inlineStr">
        <is>
          <t>VÄRMLANDS LÄN</t>
        </is>
      </c>
      <c r="G249" t="inlineStr">
        <is>
          <t>HAGFORS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35888-2023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45148</v>
      </c>
      <c r="E250" s="1" t="n">
        <v>46219</v>
      </c>
      <c r="F250" t="inlineStr">
        <is>
          <t>VÄRMLANDS LÄN</t>
        </is>
      </c>
      <c r="G250" t="inlineStr">
        <is>
          <t>HAGFORS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34540-2024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46219</v>
      </c>
      <c r="F251" t="inlineStr">
        <is>
          <t>VÄRMLANDS LÄN</t>
        </is>
      </c>
      <c r="G251" t="inlineStr">
        <is>
          <t>HAGFORS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27739-2024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45475</v>
      </c>
      <c r="E252" s="1" t="n">
        <v>46219</v>
      </c>
      <c r="F252" t="inlineStr">
        <is>
          <t>VÄRMLANDS LÄN</t>
        </is>
      </c>
      <c r="G252" t="inlineStr">
        <is>
          <t>HAGFORS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46371-2025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46219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44582</v>
      </c>
      <c r="E254" s="1" t="n">
        <v>46219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46280-2025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46219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46581-2025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46219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33969-2022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44790</v>
      </c>
      <c r="E257" s="1" t="n">
        <v>46219</v>
      </c>
      <c r="F257" t="inlineStr">
        <is>
          <t>VÄRMLANDS LÄN</t>
        </is>
      </c>
      <c r="G257" t="inlineStr">
        <is>
          <t>HAGFORS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46832-2025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45927</v>
      </c>
      <c r="E258" s="1" t="n">
        <v>46219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13282-2024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45386</v>
      </c>
      <c r="E259" s="1" t="n">
        <v>46219</v>
      </c>
      <c r="F259" t="inlineStr">
        <is>
          <t>VÄRMLANDS LÄN</t>
        </is>
      </c>
      <c r="G259" t="inlineStr">
        <is>
          <t>HAGFORS</t>
        </is>
      </c>
      <c r="H259" t="inlineStr">
        <is>
          <t>Kommuner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47333-2025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46219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46831-2025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45927</v>
      </c>
      <c r="E261" s="1" t="n">
        <v>46219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24814-2024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45461</v>
      </c>
      <c r="E262" s="1" t="n">
        <v>46219</v>
      </c>
      <c r="F262" t="inlineStr">
        <is>
          <t>VÄRMLANDS LÄN</t>
        </is>
      </c>
      <c r="G262" t="inlineStr">
        <is>
          <t>HAGFORS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19583-2023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45050</v>
      </c>
      <c r="E263" s="1" t="n">
        <v>46219</v>
      </c>
      <c r="F263" t="inlineStr">
        <is>
          <t>VÄRMLANDS LÄN</t>
        </is>
      </c>
      <c r="G263" t="inlineStr">
        <is>
          <t>HAGFORS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46838-2025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45928</v>
      </c>
      <c r="E264" s="1" t="n">
        <v>46219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13.8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48042-2025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46219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61311-2023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46219</v>
      </c>
      <c r="F266" t="inlineStr">
        <is>
          <t>VÄRMLANDS LÄN</t>
        </is>
      </c>
      <c r="G266" t="inlineStr">
        <is>
          <t>HAGFORS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61315-2023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46219</v>
      </c>
      <c r="F267" t="inlineStr">
        <is>
          <t>VÄRMLANDS LÄN</t>
        </is>
      </c>
      <c r="G267" t="inlineStr">
        <is>
          <t>HAGFORS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48134-2025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46219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70712-2021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44537</v>
      </c>
      <c r="E269" s="1" t="n">
        <v>46219</v>
      </c>
      <c r="F269" t="inlineStr">
        <is>
          <t>VÄRMLANDS LÄN</t>
        </is>
      </c>
      <c r="G269" t="inlineStr">
        <is>
          <t>HAGFORS</t>
        </is>
      </c>
      <c r="H269" t="inlineStr">
        <is>
          <t>Kommuner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48150-2025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46219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48108-2025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46219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20060-2023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45054</v>
      </c>
      <c r="E272" s="1" t="n">
        <v>46219</v>
      </c>
      <c r="F272" t="inlineStr">
        <is>
          <t>VÄRMLANDS LÄN</t>
        </is>
      </c>
      <c r="G272" t="inlineStr">
        <is>
          <t>HAGFORS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44571</v>
      </c>
      <c r="E273" s="1" t="n">
        <v>46219</v>
      </c>
      <c r="F273" t="inlineStr">
        <is>
          <t>VÄRMLANDS LÄN</t>
        </is>
      </c>
      <c r="G273" t="inlineStr">
        <is>
          <t>HAGFORS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48138-2025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46219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48176-2025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46219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44938</v>
      </c>
      <c r="E276" s="1" t="n">
        <v>46219</v>
      </c>
      <c r="F276" t="inlineStr">
        <is>
          <t>VÄRMLANDS LÄN</t>
        </is>
      </c>
      <c r="G276" t="inlineStr">
        <is>
          <t>HAGFORS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17882-2025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46219</v>
      </c>
      <c r="F277" t="inlineStr">
        <is>
          <t>VÄRMLANDS LÄN</t>
        </is>
      </c>
      <c r="G277" t="inlineStr">
        <is>
          <t>HAGFORS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49766-2023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45212</v>
      </c>
      <c r="E278" s="1" t="n">
        <v>46219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42170-2024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46219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42171-2024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46219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42243-2024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46219</v>
      </c>
      <c r="F281" t="inlineStr">
        <is>
          <t>VÄRMLANDS LÄN</t>
        </is>
      </c>
      <c r="G281" t="inlineStr">
        <is>
          <t>HAGFORS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49146-2025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46219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62546-2022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44924</v>
      </c>
      <c r="E283" s="1" t="n">
        <v>46219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45492</v>
      </c>
      <c r="E284" s="1" t="n">
        <v>46219</v>
      </c>
      <c r="F284" t="inlineStr">
        <is>
          <t>VÄRMLANDS LÄN</t>
        </is>
      </c>
      <c r="G284" t="inlineStr">
        <is>
          <t>HAGFORS</t>
        </is>
      </c>
      <c r="H284" t="inlineStr">
        <is>
          <t>Kyrkan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61140-2023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45261</v>
      </c>
      <c r="E285" s="1" t="n">
        <v>46219</v>
      </c>
      <c r="F285" t="inlineStr">
        <is>
          <t>VÄRMLANDS LÄN</t>
        </is>
      </c>
      <c r="G285" t="inlineStr">
        <is>
          <t>HAGFORS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49220-2025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46219</v>
      </c>
      <c r="F286" t="inlineStr">
        <is>
          <t>VÄRMLANDS LÄN</t>
        </is>
      </c>
      <c r="G286" t="inlineStr">
        <is>
          <t>HAGFORS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48809-2025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46219</v>
      </c>
      <c r="F287" t="inlineStr">
        <is>
          <t>VÄRMLANDS LÄN</t>
        </is>
      </c>
      <c r="G287" t="inlineStr">
        <is>
          <t>HAGFORS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14435-2025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46219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57359-2022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46219</v>
      </c>
      <c r="F289" t="inlineStr">
        <is>
          <t>VÄRMLANDS LÄN</t>
        </is>
      </c>
      <c r="G289" t="inlineStr">
        <is>
          <t>HAGFORS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49533-2025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45939</v>
      </c>
      <c r="E290" s="1" t="n">
        <v>46219</v>
      </c>
      <c r="F290" t="inlineStr">
        <is>
          <t>VÄRMLANDS LÄN</t>
        </is>
      </c>
      <c r="G290" t="inlineStr">
        <is>
          <t>HAGFORS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48276-2024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45590</v>
      </c>
      <c r="E291" s="1" t="n">
        <v>46219</v>
      </c>
      <c r="F291" t="inlineStr">
        <is>
          <t>VÄRMLANDS LÄN</t>
        </is>
      </c>
      <c r="G291" t="inlineStr">
        <is>
          <t>HAGFORS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39640-2022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44817</v>
      </c>
      <c r="E292" s="1" t="n">
        <v>46219</v>
      </c>
      <c r="F292" t="inlineStr">
        <is>
          <t>VÄRMLANDS LÄN</t>
        </is>
      </c>
      <c r="G292" t="inlineStr">
        <is>
          <t>HAGFORS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25759-2023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45090</v>
      </c>
      <c r="E293" s="1" t="n">
        <v>46219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44246-2022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44839</v>
      </c>
      <c r="E294" s="1" t="n">
        <v>46219</v>
      </c>
      <c r="F294" t="inlineStr">
        <is>
          <t>VÄRMLANDS LÄN</t>
        </is>
      </c>
      <c r="G294" t="inlineStr">
        <is>
          <t>HAGFORS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28594-2023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46219</v>
      </c>
      <c r="F295" t="inlineStr">
        <is>
          <t>VÄRMLANDS LÄN</t>
        </is>
      </c>
      <c r="G295" t="inlineStr">
        <is>
          <t>HAGFORS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49967-2025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45941</v>
      </c>
      <c r="E296" s="1" t="n">
        <v>46219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53443-2024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45614</v>
      </c>
      <c r="E297" s="1" t="n">
        <v>46219</v>
      </c>
      <c r="F297" t="inlineStr">
        <is>
          <t>VÄRMLANDS LÄN</t>
        </is>
      </c>
      <c r="G297" t="inlineStr">
        <is>
          <t>HAGFORS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16824-2023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45033</v>
      </c>
      <c r="E298" s="1" t="n">
        <v>46219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45218-2021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44439</v>
      </c>
      <c r="E299" s="1" t="n">
        <v>46219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49.5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50880-2025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46219</v>
      </c>
      <c r="F300" t="inlineStr">
        <is>
          <t>VÄRMLANDS LÄN</t>
        </is>
      </c>
      <c r="G300" t="inlineStr">
        <is>
          <t>HAGFORS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50752-2025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46219</v>
      </c>
      <c r="F301" t="inlineStr">
        <is>
          <t>VÄRMLANDS LÄN</t>
        </is>
      </c>
      <c r="G301" t="inlineStr">
        <is>
          <t>HAGFORS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54757-2022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44883</v>
      </c>
      <c r="E302" s="1" t="n">
        <v>46219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17.9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18170-2024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45420</v>
      </c>
      <c r="E303" s="1" t="n">
        <v>46219</v>
      </c>
      <c r="F303" t="inlineStr">
        <is>
          <t>VÄRMLANDS LÄN</t>
        </is>
      </c>
      <c r="G303" t="inlineStr">
        <is>
          <t>HAGFORS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47021-2023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46219</v>
      </c>
      <c r="F304" t="inlineStr">
        <is>
          <t>VÄRMLANDS LÄN</t>
        </is>
      </c>
      <c r="G304" t="inlineStr">
        <is>
          <t>HAGFORS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47027-2023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45201</v>
      </c>
      <c r="E305" s="1" t="n">
        <v>46219</v>
      </c>
      <c r="F305" t="inlineStr">
        <is>
          <t>VÄRMLANDS LÄN</t>
        </is>
      </c>
      <c r="G305" t="inlineStr">
        <is>
          <t>HAGFORS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47033-2023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45201</v>
      </c>
      <c r="E306" s="1" t="n">
        <v>46219</v>
      </c>
      <c r="F306" t="inlineStr">
        <is>
          <t>VÄRMLANDS LÄN</t>
        </is>
      </c>
      <c r="G306" t="inlineStr">
        <is>
          <t>HAGFORS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61818-2023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46219</v>
      </c>
      <c r="F307" t="inlineStr">
        <is>
          <t>VÄRMLANDS LÄN</t>
        </is>
      </c>
      <c r="G307" t="inlineStr">
        <is>
          <t>HAGFORS</t>
        </is>
      </c>
      <c r="I307" t="n">
        <v>8.6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12426-2024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45379</v>
      </c>
      <c r="E308" s="1" t="n">
        <v>46219</v>
      </c>
      <c r="F308" t="inlineStr">
        <is>
          <t>VÄRMLANDS LÄN</t>
        </is>
      </c>
      <c r="G308" t="inlineStr">
        <is>
          <t>HAGFORS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51160-2025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46219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54751-2022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44883</v>
      </c>
      <c r="E310" s="1" t="n">
        <v>46219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50977-2025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46219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9.300000000000001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51273-2025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45949</v>
      </c>
      <c r="E312" s="1" t="n">
        <v>46219</v>
      </c>
      <c r="F312" t="inlineStr">
        <is>
          <t>VÄRMLANDS LÄN</t>
        </is>
      </c>
      <c r="G312" t="inlineStr">
        <is>
          <t>HAGFORS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29580-2026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46204</v>
      </c>
      <c r="E313" s="1" t="n">
        <v>46219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51611-2025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46219</v>
      </c>
      <c r="F314" t="inlineStr">
        <is>
          <t>VÄRMLANDS LÄN</t>
        </is>
      </c>
      <c r="G314" t="inlineStr">
        <is>
          <t>HAGFORS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20081-2025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45772</v>
      </c>
      <c r="E315" s="1" t="n">
        <v>46219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29438-2026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46203</v>
      </c>
      <c r="E316" s="1" t="n">
        <v>46219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52479-2025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45954</v>
      </c>
      <c r="E317" s="1" t="n">
        <v>46219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29428-2026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46203</v>
      </c>
      <c r="E318" s="1" t="n">
        <v>46219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23129-2026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46219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23016-2026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46161</v>
      </c>
      <c r="E320" s="1" t="n">
        <v>46219</v>
      </c>
      <c r="F320" t="inlineStr">
        <is>
          <t>VÄRMLANDS LÄN</t>
        </is>
      </c>
      <c r="G320" t="inlineStr">
        <is>
          <t>HAGFORS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46219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29400-2026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46203</v>
      </c>
      <c r="E322" s="1" t="n">
        <v>46219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11.8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19554-2024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45429</v>
      </c>
      <c r="E323" s="1" t="n">
        <v>46219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46219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52462-2025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46219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28654-2023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45103</v>
      </c>
      <c r="E326" s="1" t="n">
        <v>46219</v>
      </c>
      <c r="F326" t="inlineStr">
        <is>
          <t>VÄRMLANDS LÄN</t>
        </is>
      </c>
      <c r="G326" t="inlineStr">
        <is>
          <t>HAGFORS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41502-2024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45560</v>
      </c>
      <c r="E327" s="1" t="n">
        <v>46219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29422-2026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46203</v>
      </c>
      <c r="E328" s="1" t="n">
        <v>46219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46219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8.800000000000001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22503-2024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45447</v>
      </c>
      <c r="E330" s="1" t="n">
        <v>46219</v>
      </c>
      <c r="F330" t="inlineStr">
        <is>
          <t>VÄRMLANDS LÄN</t>
        </is>
      </c>
      <c r="G330" t="inlineStr">
        <is>
          <t>HAGFORS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23269-2026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46219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29427-2026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46203</v>
      </c>
      <c r="E332" s="1" t="n">
        <v>46219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9.6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29430-2026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46203</v>
      </c>
      <c r="E333" s="1" t="n">
        <v>46219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42168-2024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45562</v>
      </c>
      <c r="E334" s="1" t="n">
        <v>46219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53620-2025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46219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53574-2025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46219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45684</v>
      </c>
      <c r="E337" s="1" t="n">
        <v>46219</v>
      </c>
      <c r="F337" t="inlineStr">
        <is>
          <t>VÄRMLANDS LÄN</t>
        </is>
      </c>
      <c r="G337" t="inlineStr">
        <is>
          <t>HAGFORS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23525-2026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46219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44728-2023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45190</v>
      </c>
      <c r="E339" s="1" t="n">
        <v>46219</v>
      </c>
      <c r="F339" t="inlineStr">
        <is>
          <t>VÄRMLANDS LÄN</t>
        </is>
      </c>
      <c r="G339" t="inlineStr">
        <is>
          <t>HAGFORS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53811-2025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46219</v>
      </c>
      <c r="F340" t="inlineStr">
        <is>
          <t>VÄRMLANDS LÄN</t>
        </is>
      </c>
      <c r="G340" t="inlineStr">
        <is>
          <t>HAGFORS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44950</v>
      </c>
      <c r="E341" s="1" t="n">
        <v>46219</v>
      </c>
      <c r="F341" t="inlineStr">
        <is>
          <t>VÄRMLANDS LÄN</t>
        </is>
      </c>
      <c r="G341" t="inlineStr">
        <is>
          <t>HAGFORS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44950</v>
      </c>
      <c r="E342" s="1" t="n">
        <v>46219</v>
      </c>
      <c r="F342" t="inlineStr">
        <is>
          <t>VÄRMLANDS LÄN</t>
        </is>
      </c>
      <c r="G342" t="inlineStr">
        <is>
          <t>HAGFORS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57159-2024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46219</v>
      </c>
      <c r="F343" t="inlineStr">
        <is>
          <t>VÄRMLANDS LÄN</t>
        </is>
      </c>
      <c r="G343" t="inlineStr">
        <is>
          <t>HAGFORS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23549-2026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46219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23728-2026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46164</v>
      </c>
      <c r="E345" s="1" t="n">
        <v>46219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54001-2025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46219</v>
      </c>
      <c r="F346" t="inlineStr">
        <is>
          <t>VÄRMLANDS LÄN</t>
        </is>
      </c>
      <c r="G346" t="inlineStr">
        <is>
          <t>HAGFORS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52691-2025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45956</v>
      </c>
      <c r="E347" s="1" t="n">
        <v>46219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28.2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30141-2026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46219</v>
      </c>
      <c r="F348" t="inlineStr">
        <is>
          <t>VÄRMLANDS LÄN</t>
        </is>
      </c>
      <c r="G348" t="inlineStr">
        <is>
          <t>HAGFORS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30153-2026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46219</v>
      </c>
      <c r="F349" t="inlineStr">
        <is>
          <t>VÄRMLANDS LÄN</t>
        </is>
      </c>
      <c r="G349" t="inlineStr">
        <is>
          <t>HAGFORS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54684-2025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46219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52016-2025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45952</v>
      </c>
      <c r="E351" s="1" t="n">
        <v>46219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9.800000000000001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54645-2025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46219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31087-2024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45502</v>
      </c>
      <c r="E353" s="1" t="n">
        <v>46219</v>
      </c>
      <c r="F353" t="inlineStr">
        <is>
          <t>VÄRMLANDS LÄN</t>
        </is>
      </c>
      <c r="G353" t="inlineStr">
        <is>
          <t>HAGFORS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65065-2023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45287</v>
      </c>
      <c r="E354" s="1" t="n">
        <v>46219</v>
      </c>
      <c r="F354" t="inlineStr">
        <is>
          <t>VÄRMLANDS LÄN</t>
        </is>
      </c>
      <c r="G354" t="inlineStr">
        <is>
          <t>HAGFORS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58210-2022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44901</v>
      </c>
      <c r="E355" s="1" t="n">
        <v>46219</v>
      </c>
      <c r="F355" t="inlineStr">
        <is>
          <t>VÄRMLANDS LÄN</t>
        </is>
      </c>
      <c r="G355" t="inlineStr">
        <is>
          <t>HAGFORS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23678-2026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46164</v>
      </c>
      <c r="E356" s="1" t="n">
        <v>46219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8.300000000000001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55190-2025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46219</v>
      </c>
      <c r="F357" t="inlineStr">
        <is>
          <t>VÄRMLANDS LÄN</t>
        </is>
      </c>
      <c r="G357" t="inlineStr">
        <is>
          <t>HAGFORS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51015-2025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45947</v>
      </c>
      <c r="E358" s="1" t="n">
        <v>46219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55001-2025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46219</v>
      </c>
      <c r="F359" t="inlineStr">
        <is>
          <t>VÄRMLANDS LÄN</t>
        </is>
      </c>
      <c r="G359" t="inlineStr">
        <is>
          <t>HAGFORS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36494-2025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45869</v>
      </c>
      <c r="E360" s="1" t="n">
        <v>46219</v>
      </c>
      <c r="F360" t="inlineStr">
        <is>
          <t>VÄRMLANDS LÄN</t>
        </is>
      </c>
      <c r="G360" t="inlineStr">
        <is>
          <t>HAGFORS</t>
        </is>
      </c>
      <c r="H360" t="inlineStr">
        <is>
          <t>Kyrkan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30167-2026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46219</v>
      </c>
      <c r="F361" t="inlineStr">
        <is>
          <t>VÄRMLANDS LÄN</t>
        </is>
      </c>
      <c r="G361" t="inlineStr">
        <is>
          <t>HAGFORS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25258-2023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45079</v>
      </c>
      <c r="E362" s="1" t="n">
        <v>46219</v>
      </c>
      <c r="F362" t="inlineStr">
        <is>
          <t>VÄRMLANDS LÄN</t>
        </is>
      </c>
      <c r="G362" t="inlineStr">
        <is>
          <t>HAGFORS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30642-2025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46219</v>
      </c>
      <c r="F363" t="inlineStr">
        <is>
          <t>VÄRMLANDS LÄN</t>
        </is>
      </c>
      <c r="G363" t="inlineStr">
        <is>
          <t>HAGFORS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55480-2025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46219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30436-2026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46209</v>
      </c>
      <c r="E365" s="1" t="n">
        <v>46219</v>
      </c>
      <c r="F365" t="inlineStr">
        <is>
          <t>VÄRMLANDS LÄN</t>
        </is>
      </c>
      <c r="G365" t="inlineStr">
        <is>
          <t>HAGFORS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30437-2026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46209</v>
      </c>
      <c r="E366" s="1" t="n">
        <v>46219</v>
      </c>
      <c r="F366" t="inlineStr">
        <is>
          <t>VÄRMLANDS LÄN</t>
        </is>
      </c>
      <c r="G366" t="inlineStr">
        <is>
          <t>HAGFORS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55519-2025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45971</v>
      </c>
      <c r="E367" s="1" t="n">
        <v>46219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30635-2025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46219</v>
      </c>
      <c r="F368" t="inlineStr">
        <is>
          <t>VÄRMLANDS LÄN</t>
        </is>
      </c>
      <c r="G368" t="inlineStr">
        <is>
          <t>HAGFORS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33399-2024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45519</v>
      </c>
      <c r="E369" s="1" t="n">
        <v>46219</v>
      </c>
      <c r="F369" t="inlineStr">
        <is>
          <t>VÄRMLANDS LÄN</t>
        </is>
      </c>
      <c r="G369" t="inlineStr">
        <is>
          <t>HAGFORS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46219</v>
      </c>
      <c r="F370" t="inlineStr">
        <is>
          <t>VÄRMLANDS LÄN</t>
        </is>
      </c>
      <c r="G370" t="inlineStr">
        <is>
          <t>HAGFORS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30158-2024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45489</v>
      </c>
      <c r="E371" s="1" t="n">
        <v>46219</v>
      </c>
      <c r="F371" t="inlineStr">
        <is>
          <t>VÄRMLANDS LÄN</t>
        </is>
      </c>
      <c r="G371" t="inlineStr">
        <is>
          <t>HAGFORS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30433-2026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46209</v>
      </c>
      <c r="E372" s="1" t="n">
        <v>46219</v>
      </c>
      <c r="F372" t="inlineStr">
        <is>
          <t>VÄRMLANDS LÄN</t>
        </is>
      </c>
      <c r="G372" t="inlineStr">
        <is>
          <t>HAGFORS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38612-2023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46219</v>
      </c>
      <c r="F373" t="inlineStr">
        <is>
          <t>VÄRMLANDS LÄN</t>
        </is>
      </c>
      <c r="G373" t="inlineStr">
        <is>
          <t>HAGFORS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29950-2026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46205</v>
      </c>
      <c r="E374" s="1" t="n">
        <v>46219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24240-2026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46168</v>
      </c>
      <c r="E375" s="1" t="n">
        <v>46219</v>
      </c>
      <c r="F375" t="inlineStr">
        <is>
          <t>VÄRMLANDS LÄN</t>
        </is>
      </c>
      <c r="G375" t="inlineStr">
        <is>
          <t>HAGFORS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24238-2026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46219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56714-2025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46219</v>
      </c>
      <c r="F377" t="inlineStr">
        <is>
          <t>VÄRMLANDS LÄN</t>
        </is>
      </c>
      <c r="G377" t="inlineStr">
        <is>
          <t>HAGFORS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56477-2025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46219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56468-2025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46219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56411-2025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46219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30629-2026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46211</v>
      </c>
      <c r="E381" s="1" t="n">
        <v>46219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57462-2025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45980</v>
      </c>
      <c r="E382" s="1" t="n">
        <v>46219</v>
      </c>
      <c r="F382" t="inlineStr">
        <is>
          <t>VÄRMLANDS LÄN</t>
        </is>
      </c>
      <c r="G382" t="inlineStr">
        <is>
          <t>HAGFORS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24638-2023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45084</v>
      </c>
      <c r="E383" s="1" t="n">
        <v>46219</v>
      </c>
      <c r="F383" t="inlineStr">
        <is>
          <t>VÄRMLANDS LÄN</t>
        </is>
      </c>
      <c r="G383" t="inlineStr">
        <is>
          <t>HAGFORS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46219</v>
      </c>
      <c r="F384" t="inlineStr">
        <is>
          <t>VÄRMLANDS LÄN</t>
        </is>
      </c>
      <c r="G384" t="inlineStr">
        <is>
          <t>HAGFORS</t>
        </is>
      </c>
      <c r="H384" t="inlineStr">
        <is>
          <t>Kyrkan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57460-2025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46219</v>
      </c>
      <c r="F385" t="inlineStr">
        <is>
          <t>VÄRMLANDS LÄN</t>
        </is>
      </c>
      <c r="G385" t="inlineStr">
        <is>
          <t>HAGFORS</t>
        </is>
      </c>
      <c r="H385" t="inlineStr">
        <is>
          <t>Kyrkan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57198-2025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45979</v>
      </c>
      <c r="E386" s="1" t="n">
        <v>46219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1735-2023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44938</v>
      </c>
      <c r="E387" s="1" t="n">
        <v>46219</v>
      </c>
      <c r="F387" t="inlineStr">
        <is>
          <t>VÄRMLANDS LÄN</t>
        </is>
      </c>
      <c r="G387" t="inlineStr">
        <is>
          <t>HAGFORS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57814-2025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46219</v>
      </c>
      <c r="F388" t="inlineStr">
        <is>
          <t>VÄRMLANDS LÄN</t>
        </is>
      </c>
      <c r="G388" t="inlineStr">
        <is>
          <t>HAGFORS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6910-2024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45343</v>
      </c>
      <c r="E389" s="1" t="n">
        <v>46219</v>
      </c>
      <c r="F389" t="inlineStr">
        <is>
          <t>VÄRMLANDS LÄN</t>
        </is>
      </c>
      <c r="G389" t="inlineStr">
        <is>
          <t>HAGFORS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24625-2026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46171</v>
      </c>
      <c r="E390" s="1" t="n">
        <v>46219</v>
      </c>
      <c r="F390" t="inlineStr">
        <is>
          <t>VÄRMLANDS LÄN</t>
        </is>
      </c>
      <c r="G390" t="inlineStr">
        <is>
          <t>HAGFORS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27826-2024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45475</v>
      </c>
      <c r="E391" s="1" t="n">
        <v>46219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27827-2024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45475</v>
      </c>
      <c r="E392" s="1" t="n">
        <v>46219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19125-2024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45428</v>
      </c>
      <c r="E393" s="1" t="n">
        <v>46219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33146-2024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45518</v>
      </c>
      <c r="E394" s="1" t="n">
        <v>46219</v>
      </c>
      <c r="F394" t="inlineStr">
        <is>
          <t>VÄRMLANDS LÄN</t>
        </is>
      </c>
      <c r="G394" t="inlineStr">
        <is>
          <t>HAGFORS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24699-2026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46171</v>
      </c>
      <c r="E395" s="1" t="n">
        <v>46219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5790-2024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45335</v>
      </c>
      <c r="E396" s="1" t="n">
        <v>46219</v>
      </c>
      <c r="F396" t="inlineStr">
        <is>
          <t>VÄRMLANDS LÄN</t>
        </is>
      </c>
      <c r="G396" t="inlineStr">
        <is>
          <t>HAGFORS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17305-2023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45035</v>
      </c>
      <c r="E397" s="1" t="n">
        <v>46219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30914-2026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46213</v>
      </c>
      <c r="E398" s="1" t="n">
        <v>46219</v>
      </c>
      <c r="F398" t="inlineStr">
        <is>
          <t>VÄRMLANDS LÄN</t>
        </is>
      </c>
      <c r="G398" t="inlineStr">
        <is>
          <t>HAGFORS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44567</v>
      </c>
      <c r="E399" s="1" t="n">
        <v>46219</v>
      </c>
      <c r="F399" t="inlineStr">
        <is>
          <t>VÄRMLANDS LÄN</t>
        </is>
      </c>
      <c r="G399" t="inlineStr">
        <is>
          <t>HAGFORS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51346-2022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44869</v>
      </c>
      <c r="E400" s="1" t="n">
        <v>46219</v>
      </c>
      <c r="F400" t="inlineStr">
        <is>
          <t>VÄRMLANDS LÄN</t>
        </is>
      </c>
      <c r="G400" t="inlineStr">
        <is>
          <t>HAGFORS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58278-2025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46219</v>
      </c>
      <c r="F401" t="inlineStr">
        <is>
          <t>VÄRMLANDS LÄN</t>
        </is>
      </c>
      <c r="G401" t="inlineStr">
        <is>
          <t>HAGFORS</t>
        </is>
      </c>
      <c r="H401" t="inlineStr">
        <is>
          <t>Kyrkan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24713-2026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46219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59047-2025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45988</v>
      </c>
      <c r="E403" s="1" t="n">
        <v>46219</v>
      </c>
      <c r="F403" t="inlineStr">
        <is>
          <t>VÄRMLANDS LÄN</t>
        </is>
      </c>
      <c r="G403" t="inlineStr">
        <is>
          <t>HAGFORS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24778-2026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46171</v>
      </c>
      <c r="E404" s="1" t="n">
        <v>46219</v>
      </c>
      <c r="F404" t="inlineStr">
        <is>
          <t>VÄRMLANDS LÄN</t>
        </is>
      </c>
      <c r="G404" t="inlineStr">
        <is>
          <t>HAGFORS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24761-2026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46171</v>
      </c>
      <c r="E405" s="1" t="n">
        <v>46219</v>
      </c>
      <c r="F405" t="inlineStr">
        <is>
          <t>VÄRMLANDS LÄN</t>
        </is>
      </c>
      <c r="G405" t="inlineStr">
        <is>
          <t>HAGFORS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10236-2022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44622</v>
      </c>
      <c r="E406" s="1" t="n">
        <v>46219</v>
      </c>
      <c r="F406" t="inlineStr">
        <is>
          <t>VÄRMLANDS LÄN</t>
        </is>
      </c>
      <c r="G406" t="inlineStr">
        <is>
          <t>HAGFORS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32033-2024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45510</v>
      </c>
      <c r="E407" s="1" t="n">
        <v>46219</v>
      </c>
      <c r="F407" t="inlineStr">
        <is>
          <t>VÄRMLANDS LÄN</t>
        </is>
      </c>
      <c r="G407" t="inlineStr">
        <is>
          <t>HAGFORS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10297-2025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45720</v>
      </c>
      <c r="E408" s="1" t="n">
        <v>46219</v>
      </c>
      <c r="F408" t="inlineStr">
        <is>
          <t>VÄRMLANDS LÄN</t>
        </is>
      </c>
      <c r="G408" t="inlineStr">
        <is>
          <t>HAGFORS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24628-2026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46171</v>
      </c>
      <c r="E409" s="1" t="n">
        <v>46219</v>
      </c>
      <c r="F409" t="inlineStr">
        <is>
          <t>VÄRMLANDS LÄN</t>
        </is>
      </c>
      <c r="G409" t="inlineStr">
        <is>
          <t>HAGFORS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24626-2026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46171</v>
      </c>
      <c r="E410" s="1" t="n">
        <v>46219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59642-2025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46219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18.8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24677-2026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46171</v>
      </c>
      <c r="E412" s="1" t="n">
        <v>46219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42593-2021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44428</v>
      </c>
      <c r="E413" s="1" t="n">
        <v>46219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41603-2023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45175</v>
      </c>
      <c r="E414" s="1" t="n">
        <v>46219</v>
      </c>
      <c r="F414" t="inlineStr">
        <is>
          <t>VÄRMLANDS LÄN</t>
        </is>
      </c>
      <c r="G414" t="inlineStr">
        <is>
          <t>HAGFORS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32147-2023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46219</v>
      </c>
      <c r="F415" t="inlineStr">
        <is>
          <t>VÄRMLANDS LÄN</t>
        </is>
      </c>
      <c r="G415" t="inlineStr">
        <is>
          <t>HAGFORS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56888-2023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45244</v>
      </c>
      <c r="E416" s="1" t="n">
        <v>46219</v>
      </c>
      <c r="F416" t="inlineStr">
        <is>
          <t>VÄRMLANDS LÄN</t>
        </is>
      </c>
      <c r="G416" t="inlineStr">
        <is>
          <t>HAGFORS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60606-2025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45996</v>
      </c>
      <c r="E417" s="1" t="n">
        <v>46219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60648-2025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45996</v>
      </c>
      <c r="E418" s="1" t="n">
        <v>46219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25276-2026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46176</v>
      </c>
      <c r="E419" s="1" t="n">
        <v>46219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60841-2025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46219</v>
      </c>
      <c r="F420" t="inlineStr">
        <is>
          <t>VÄRMLANDS LÄN</t>
        </is>
      </c>
      <c r="G420" t="inlineStr">
        <is>
          <t>HAGFORS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24862-2026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46219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9.699999999999999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38887-2024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45547</v>
      </c>
      <c r="E422" s="1" t="n">
        <v>46219</v>
      </c>
      <c r="F422" t="inlineStr">
        <is>
          <t>VÄRMLANDS LÄN</t>
        </is>
      </c>
      <c r="G422" t="inlineStr">
        <is>
          <t>HAGFORS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35065-2023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45145</v>
      </c>
      <c r="E423" s="1" t="n">
        <v>46219</v>
      </c>
      <c r="F423" t="inlineStr">
        <is>
          <t>VÄRMLANDS LÄN</t>
        </is>
      </c>
      <c r="G423" t="inlineStr">
        <is>
          <t>HAGFORS</t>
        </is>
      </c>
      <c r="I423" t="n">
        <v>13.5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34636-2024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45526</v>
      </c>
      <c r="E424" s="1" t="n">
        <v>46219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57162-2024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45629</v>
      </c>
      <c r="E425" s="1" t="n">
        <v>46219</v>
      </c>
      <c r="F425" t="inlineStr">
        <is>
          <t>VÄRMLANDS LÄN</t>
        </is>
      </c>
      <c r="G425" t="inlineStr">
        <is>
          <t>HAGFORS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9288-2025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45714</v>
      </c>
      <c r="E426" s="1" t="n">
        <v>46219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9.800000000000001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61787-2025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46219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61718-2025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46002</v>
      </c>
      <c r="E428" s="1" t="n">
        <v>46219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61910-2025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46003</v>
      </c>
      <c r="E429" s="1" t="n">
        <v>46219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62125-2025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46219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61850-2025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46003</v>
      </c>
      <c r="E431" s="1" t="n">
        <v>46219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60974-2024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45645</v>
      </c>
      <c r="E432" s="1" t="n">
        <v>46219</v>
      </c>
      <c r="F432" t="inlineStr">
        <is>
          <t>VÄRMLANDS LÄN</t>
        </is>
      </c>
      <c r="G432" t="inlineStr">
        <is>
          <t>HAGFORS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26348-2024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45469</v>
      </c>
      <c r="E433" s="1" t="n">
        <v>46219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9.300000000000001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46003</v>
      </c>
      <c r="E434" s="1" t="n">
        <v>46219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62168-2025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46006</v>
      </c>
      <c r="E435" s="1" t="n">
        <v>46219</v>
      </c>
      <c r="F435" t="inlineStr">
        <is>
          <t>VÄRMLANDS LÄN</t>
        </is>
      </c>
      <c r="G435" t="inlineStr">
        <is>
          <t>HAGFORS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62240-2025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46219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35775-2024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45532</v>
      </c>
      <c r="E437" s="1" t="n">
        <v>46219</v>
      </c>
      <c r="F437" t="inlineStr">
        <is>
          <t>VÄRMLANDS LÄN</t>
        </is>
      </c>
      <c r="G437" t="inlineStr">
        <is>
          <t>HAGFORS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61843-2025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46003</v>
      </c>
      <c r="E438" s="1" t="n">
        <v>46219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62099-2025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46006</v>
      </c>
      <c r="E439" s="1" t="n">
        <v>46219</v>
      </c>
      <c r="F439" t="inlineStr">
        <is>
          <t>VÄRMLANDS LÄN</t>
        </is>
      </c>
      <c r="G439" t="inlineStr">
        <is>
          <t>HAGFORS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62749-2025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46008</v>
      </c>
      <c r="E440" s="1" t="n">
        <v>46219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40692-2022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44824</v>
      </c>
      <c r="E441" s="1" t="n">
        <v>46219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45238-2024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45575</v>
      </c>
      <c r="E442" s="1" t="n">
        <v>46219</v>
      </c>
      <c r="F442" t="inlineStr">
        <is>
          <t>VÄRMLANDS LÄN</t>
        </is>
      </c>
      <c r="G442" t="inlineStr">
        <is>
          <t>HAGFORS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62542-2025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46219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62632-2025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46008</v>
      </c>
      <c r="E444" s="1" t="n">
        <v>46219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52083-2024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45608</v>
      </c>
      <c r="E445" s="1" t="n">
        <v>46219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46426-2024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45582</v>
      </c>
      <c r="E446" s="1" t="n">
        <v>46219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59449-2024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45638</v>
      </c>
      <c r="E447" s="1" t="n">
        <v>46219</v>
      </c>
      <c r="F447" t="inlineStr">
        <is>
          <t>VÄRMLANDS LÄN</t>
        </is>
      </c>
      <c r="G447" t="inlineStr">
        <is>
          <t>HAGFORS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43998-2024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45572</v>
      </c>
      <c r="E448" s="1" t="n">
        <v>46219</v>
      </c>
      <c r="F448" t="inlineStr">
        <is>
          <t>VÄRMLANDS LÄN</t>
        </is>
      </c>
      <c r="G448" t="inlineStr">
        <is>
          <t>HAGFORS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63301-2025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46219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59552-2024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46219</v>
      </c>
      <c r="F450" t="inlineStr">
        <is>
          <t>VÄRMLANDS LÄN</t>
        </is>
      </c>
      <c r="G450" t="inlineStr">
        <is>
          <t>HAGFORS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32149-2023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45107</v>
      </c>
      <c r="E451" s="1" t="n">
        <v>46219</v>
      </c>
      <c r="F451" t="inlineStr">
        <is>
          <t>VÄRMLANDS LÄN</t>
        </is>
      </c>
      <c r="G451" t="inlineStr">
        <is>
          <t>HAGFORS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6980-2022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44603</v>
      </c>
      <c r="E452" s="1" t="n">
        <v>46219</v>
      </c>
      <c r="F452" t="inlineStr">
        <is>
          <t>VÄRMLANDS LÄN</t>
        </is>
      </c>
      <c r="G452" t="inlineStr">
        <is>
          <t>HAGFORS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26777-2023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45093</v>
      </c>
      <c r="E453" s="1" t="n">
        <v>46219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56165-2024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45624</v>
      </c>
      <c r="E454" s="1" t="n">
        <v>46219</v>
      </c>
      <c r="F454" t="inlineStr">
        <is>
          <t>VÄRMLANDS LÄN</t>
        </is>
      </c>
      <c r="G454" t="inlineStr">
        <is>
          <t>HAGFORS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63361-2025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46219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63285-2025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46219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5749-2022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44596</v>
      </c>
      <c r="E457" s="1" t="n">
        <v>46219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4745-2024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45328</v>
      </c>
      <c r="E458" s="1" t="n">
        <v>46219</v>
      </c>
      <c r="F458" t="inlineStr">
        <is>
          <t>VÄRMLANDS LÄN</t>
        </is>
      </c>
      <c r="G458" t="inlineStr">
        <is>
          <t>HAGFORS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50929-2023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45211</v>
      </c>
      <c r="E459" s="1" t="n">
        <v>46219</v>
      </c>
      <c r="F459" t="inlineStr">
        <is>
          <t>VÄRMLANDS LÄN</t>
        </is>
      </c>
      <c r="G459" t="inlineStr">
        <is>
          <t>HAGFORS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41092-2024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45559</v>
      </c>
      <c r="E460" s="1" t="n">
        <v>46219</v>
      </c>
      <c r="F460" t="inlineStr">
        <is>
          <t>VÄRMLANDS LÄN</t>
        </is>
      </c>
      <c r="G460" t="inlineStr">
        <is>
          <t>HAGFORS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3980-2025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45684</v>
      </c>
      <c r="E461" s="1" t="n">
        <v>46219</v>
      </c>
      <c r="F461" t="inlineStr">
        <is>
          <t>VÄRMLANDS LÄN</t>
        </is>
      </c>
      <c r="G461" t="inlineStr">
        <is>
          <t>HAGFORS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4012-2025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45684</v>
      </c>
      <c r="E462" s="1" t="n">
        <v>46219</v>
      </c>
      <c r="F462" t="inlineStr">
        <is>
          <t>VÄRMLANDS LÄN</t>
        </is>
      </c>
      <c r="G462" t="inlineStr">
        <is>
          <t>HAGFORS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54744-2024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45618</v>
      </c>
      <c r="E463" s="1" t="n">
        <v>46219</v>
      </c>
      <c r="F463" t="inlineStr">
        <is>
          <t>VÄRMLANDS LÄN</t>
        </is>
      </c>
      <c r="G463" t="inlineStr">
        <is>
          <t>HAGFORS</t>
        </is>
      </c>
      <c r="H463" t="inlineStr">
        <is>
          <t>Kyrkan</t>
        </is>
      </c>
      <c r="I463" t="n">
        <v>8.800000000000001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22031-2023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45069</v>
      </c>
      <c r="E464" s="1" t="n">
        <v>46219</v>
      </c>
      <c r="F464" t="inlineStr">
        <is>
          <t>VÄRMLANDS LÄN</t>
        </is>
      </c>
      <c r="G464" t="inlineStr">
        <is>
          <t>HAGFORS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63831-2025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46020</v>
      </c>
      <c r="E465" s="1" t="n">
        <v>46219</v>
      </c>
      <c r="F465" t="inlineStr">
        <is>
          <t>VÄRMLANDS LÄN</t>
        </is>
      </c>
      <c r="G465" t="inlineStr">
        <is>
          <t>HAGFORS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63764-2025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46018</v>
      </c>
      <c r="E466" s="1" t="n">
        <v>46219</v>
      </c>
      <c r="F466" t="inlineStr">
        <is>
          <t>VÄRMLANDS LÄN</t>
        </is>
      </c>
      <c r="G466" t="inlineStr">
        <is>
          <t>HAGFORS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63765-2025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46018</v>
      </c>
      <c r="E467" s="1" t="n">
        <v>46219</v>
      </c>
      <c r="F467" t="inlineStr">
        <is>
          <t>VÄRMLANDS LÄN</t>
        </is>
      </c>
      <c r="G467" t="inlineStr">
        <is>
          <t>HAGFORS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19894-2024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45433</v>
      </c>
      <c r="E468" s="1" t="n">
        <v>46219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63875-2025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46020</v>
      </c>
      <c r="E469" s="1" t="n">
        <v>46219</v>
      </c>
      <c r="F469" t="inlineStr">
        <is>
          <t>VÄRMLANDS LÄN</t>
        </is>
      </c>
      <c r="G469" t="inlineStr">
        <is>
          <t>HAGFORS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60582-2024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45644</v>
      </c>
      <c r="E470" s="1" t="n">
        <v>46219</v>
      </c>
      <c r="F470" t="inlineStr">
        <is>
          <t>VÄRMLANDS LÄN</t>
        </is>
      </c>
      <c r="G470" t="inlineStr">
        <is>
          <t>HAGFORS</t>
        </is>
      </c>
      <c r="H470" t="inlineStr">
        <is>
          <t>Kyrkan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63834-2025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46020</v>
      </c>
      <c r="E471" s="1" t="n">
        <v>46219</v>
      </c>
      <c r="F471" t="inlineStr">
        <is>
          <t>VÄRMLANDS LÄN</t>
        </is>
      </c>
      <c r="G471" t="inlineStr">
        <is>
          <t>HAGFORS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5796-2024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45335</v>
      </c>
      <c r="E472" s="1" t="n">
        <v>46219</v>
      </c>
      <c r="F472" t="inlineStr">
        <is>
          <t>VÄRMLANDS LÄN</t>
        </is>
      </c>
      <c r="G472" t="inlineStr">
        <is>
          <t>HAGFORS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45323</v>
      </c>
      <c r="E473" s="1" t="n">
        <v>46219</v>
      </c>
      <c r="F473" t="inlineStr">
        <is>
          <t>VÄRMLANDS LÄN</t>
        </is>
      </c>
      <c r="G473" t="inlineStr">
        <is>
          <t>HAGFORS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60390-2025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45995</v>
      </c>
      <c r="E474" s="1" t="n">
        <v>46219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31657-2024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45506</v>
      </c>
      <c r="E475" s="1" t="n">
        <v>46219</v>
      </c>
      <c r="F475" t="inlineStr">
        <is>
          <t>VÄRMLANDS LÄN</t>
        </is>
      </c>
      <c r="G475" t="inlineStr">
        <is>
          <t>HAGFORS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60991-2024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45645</v>
      </c>
      <c r="E476" s="1" t="n">
        <v>46219</v>
      </c>
      <c r="F476" t="inlineStr">
        <is>
          <t>VÄRMLANDS LÄN</t>
        </is>
      </c>
      <c r="G476" t="inlineStr">
        <is>
          <t>HAGFORS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15886-2022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44664</v>
      </c>
      <c r="E477" s="1" t="n">
        <v>46219</v>
      </c>
      <c r="F477" t="inlineStr">
        <is>
          <t>VÄRMLANDS LÄN</t>
        </is>
      </c>
      <c r="G477" t="inlineStr">
        <is>
          <t>HAGFORS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46219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22.7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45659</v>
      </c>
      <c r="E479" s="1" t="n">
        <v>46219</v>
      </c>
      <c r="F479" t="inlineStr">
        <is>
          <t>VÄRMLANDS LÄN</t>
        </is>
      </c>
      <c r="G479" t="inlineStr">
        <is>
          <t>HAGFORS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36228-2024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45534</v>
      </c>
      <c r="E480" s="1" t="n">
        <v>46219</v>
      </c>
      <c r="F480" t="inlineStr">
        <is>
          <t>VÄRMLANDS LÄN</t>
        </is>
      </c>
      <c r="G480" t="inlineStr">
        <is>
          <t>HAGFORS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42173-2024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45562</v>
      </c>
      <c r="E481" s="1" t="n">
        <v>46219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42178-2024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45562</v>
      </c>
      <c r="E482" s="1" t="n">
        <v>46219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42235-2024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46219</v>
      </c>
      <c r="F483" t="inlineStr">
        <is>
          <t>VÄRMLANDS LÄN</t>
        </is>
      </c>
      <c r="G483" t="inlineStr">
        <is>
          <t>HAGFORS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48807-2025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45937</v>
      </c>
      <c r="E484" s="1" t="n">
        <v>46219</v>
      </c>
      <c r="F484" t="inlineStr">
        <is>
          <t>VÄRMLANDS LÄN</t>
        </is>
      </c>
      <c r="G484" t="inlineStr">
        <is>
          <t>HAGFORS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975-2026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46030</v>
      </c>
      <c r="E485" s="1" t="n">
        <v>46219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46219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20.2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1745-2026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46219</v>
      </c>
      <c r="F487" t="inlineStr">
        <is>
          <t>VÄRMLANDS LÄN</t>
        </is>
      </c>
      <c r="G487" t="inlineStr">
        <is>
          <t>HAGFORS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46219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16.8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20113-2023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45055</v>
      </c>
      <c r="E489" s="1" t="n">
        <v>46219</v>
      </c>
      <c r="F489" t="inlineStr">
        <is>
          <t>VÄRMLANDS LÄN</t>
        </is>
      </c>
      <c r="G489" t="inlineStr">
        <is>
          <t>HAGFORS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21067-2025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45777</v>
      </c>
      <c r="E490" s="1" t="n">
        <v>46219</v>
      </c>
      <c r="F490" t="inlineStr">
        <is>
          <t>VÄRMLANDS LÄN</t>
        </is>
      </c>
      <c r="G490" t="inlineStr">
        <is>
          <t>HAGFORS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18585-2025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45763</v>
      </c>
      <c r="E491" s="1" t="n">
        <v>46219</v>
      </c>
      <c r="F491" t="inlineStr">
        <is>
          <t>VÄRMLANDS LÄN</t>
        </is>
      </c>
      <c r="G491" t="inlineStr">
        <is>
          <t>HAGFORS</t>
        </is>
      </c>
      <c r="H491" t="inlineStr">
        <is>
          <t>Kyrkan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54112-2023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45232</v>
      </c>
      <c r="E492" s="1" t="n">
        <v>46219</v>
      </c>
      <c r="F492" t="inlineStr">
        <is>
          <t>VÄRMLANDS LÄN</t>
        </is>
      </c>
      <c r="G492" t="inlineStr">
        <is>
          <t>HAGFORS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47425-2024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45587</v>
      </c>
      <c r="E493" s="1" t="n">
        <v>46219</v>
      </c>
      <c r="F493" t="inlineStr">
        <is>
          <t>VÄRMLANDS LÄN</t>
        </is>
      </c>
      <c r="G493" t="inlineStr">
        <is>
          <t>HAGFORS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32627-2023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45121</v>
      </c>
      <c r="E494" s="1" t="n">
        <v>46219</v>
      </c>
      <c r="F494" t="inlineStr">
        <is>
          <t>VÄRMLANDS LÄN</t>
        </is>
      </c>
      <c r="G494" t="inlineStr">
        <is>
          <t>HAGFORS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9763-2025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45716</v>
      </c>
      <c r="E495" s="1" t="n">
        <v>46219</v>
      </c>
      <c r="F495" t="inlineStr">
        <is>
          <t>VÄRMLANDS LÄN</t>
        </is>
      </c>
      <c r="G495" t="inlineStr">
        <is>
          <t>HAGFORS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21729-2025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45783</v>
      </c>
      <c r="E496" s="1" t="n">
        <v>46219</v>
      </c>
      <c r="F496" t="inlineStr">
        <is>
          <t>VÄRMLANDS LÄN</t>
        </is>
      </c>
      <c r="G496" t="inlineStr">
        <is>
          <t>HAGFORS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52924-2023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45226</v>
      </c>
      <c r="E497" s="1" t="n">
        <v>46219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24680-2024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45460</v>
      </c>
      <c r="E498" s="1" t="n">
        <v>46219</v>
      </c>
      <c r="F498" t="inlineStr">
        <is>
          <t>VÄRMLANDS LÄN</t>
        </is>
      </c>
      <c r="G498" t="inlineStr">
        <is>
          <t>HAGFORS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13094-2024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45385</v>
      </c>
      <c r="E499" s="1" t="n">
        <v>46219</v>
      </c>
      <c r="F499" t="inlineStr">
        <is>
          <t>VÄRMLANDS LÄN</t>
        </is>
      </c>
      <c r="G499" t="inlineStr">
        <is>
          <t>HAGFORS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40332-2023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45169</v>
      </c>
      <c r="E500" s="1" t="n">
        <v>46219</v>
      </c>
      <c r="F500" t="inlineStr">
        <is>
          <t>VÄRMLANDS LÄN</t>
        </is>
      </c>
      <c r="G500" t="inlineStr">
        <is>
          <t>HAGFORS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8496-2022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44613</v>
      </c>
      <c r="E501" s="1" t="n">
        <v>46219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45679</v>
      </c>
      <c r="E502" s="1" t="n">
        <v>46219</v>
      </c>
      <c r="F502" t="inlineStr">
        <is>
          <t>VÄRMLANDS LÄN</t>
        </is>
      </c>
      <c r="G502" t="inlineStr">
        <is>
          <t>HAGFORS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21723-2025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46219</v>
      </c>
      <c r="F503" t="inlineStr">
        <is>
          <t>VÄRMLANDS LÄN</t>
        </is>
      </c>
      <c r="G503" t="inlineStr">
        <is>
          <t>HAGFORS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22231-2025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45785</v>
      </c>
      <c r="E504" s="1" t="n">
        <v>46219</v>
      </c>
      <c r="F504" t="inlineStr">
        <is>
          <t>VÄRMLANDS LÄN</t>
        </is>
      </c>
      <c r="G504" t="inlineStr">
        <is>
          <t>HAGFORS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5338-2025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45692</v>
      </c>
      <c r="E505" s="1" t="n">
        <v>46219</v>
      </c>
      <c r="F505" t="inlineStr">
        <is>
          <t>VÄRMLANDS LÄN</t>
        </is>
      </c>
      <c r="G505" t="inlineStr">
        <is>
          <t>HAGFORS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44906-2024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45575</v>
      </c>
      <c r="E506" s="1" t="n">
        <v>46219</v>
      </c>
      <c r="F506" t="inlineStr">
        <is>
          <t>VÄRMLANDS LÄN</t>
        </is>
      </c>
      <c r="G506" t="inlineStr">
        <is>
          <t>HAGFORS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40843-2021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44421</v>
      </c>
      <c r="E507" s="1" t="n">
        <v>46219</v>
      </c>
      <c r="F507" t="inlineStr">
        <is>
          <t>VÄRMLANDS LÄN</t>
        </is>
      </c>
      <c r="G507" t="inlineStr">
        <is>
          <t>HAGFORS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4618-2026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46219</v>
      </c>
      <c r="F508" t="inlineStr">
        <is>
          <t>VÄRMLANDS LÄN</t>
        </is>
      </c>
      <c r="G508" t="inlineStr">
        <is>
          <t>HAGFORS</t>
        </is>
      </c>
      <c r="I508" t="n">
        <v>13.1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12434-2022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44638</v>
      </c>
      <c r="E509" s="1" t="n">
        <v>46219</v>
      </c>
      <c r="F509" t="inlineStr">
        <is>
          <t>VÄRMLANDS LÄN</t>
        </is>
      </c>
      <c r="G509" t="inlineStr">
        <is>
          <t>HAGFORS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46219</v>
      </c>
      <c r="F510" t="inlineStr">
        <is>
          <t>VÄRMLANDS LÄN</t>
        </is>
      </c>
      <c r="G510" t="inlineStr">
        <is>
          <t>HAGFORS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22461-2025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45786</v>
      </c>
      <c r="E511" s="1" t="n">
        <v>46219</v>
      </c>
      <c r="F511" t="inlineStr">
        <is>
          <t>VÄRMLANDS LÄN</t>
        </is>
      </c>
      <c r="G511" t="inlineStr">
        <is>
          <t>HAGFORS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17833-2022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44683</v>
      </c>
      <c r="E512" s="1" t="n">
        <v>46219</v>
      </c>
      <c r="F512" t="inlineStr">
        <is>
          <t>VÄRMLANDS LÄN</t>
        </is>
      </c>
      <c r="G512" t="inlineStr">
        <is>
          <t>HAGFORS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5371-2026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46050</v>
      </c>
      <c r="E513" s="1" t="n">
        <v>46219</v>
      </c>
      <c r="F513" t="inlineStr">
        <is>
          <t>VÄRMLANDS LÄN</t>
        </is>
      </c>
      <c r="G513" t="inlineStr">
        <is>
          <t>HAGFORS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5030-2026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46219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36030-2023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45149</v>
      </c>
      <c r="E515" s="1" t="n">
        <v>46219</v>
      </c>
      <c r="F515" t="inlineStr">
        <is>
          <t>VÄRMLANDS LÄN</t>
        </is>
      </c>
      <c r="G515" t="inlineStr">
        <is>
          <t>HAGFORS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5455-2026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46050</v>
      </c>
      <c r="E516" s="1" t="n">
        <v>46219</v>
      </c>
      <c r="F516" t="inlineStr">
        <is>
          <t>VÄRMLANDS LÄN</t>
        </is>
      </c>
      <c r="G516" t="inlineStr">
        <is>
          <t>HAGFORS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5468-2026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46219</v>
      </c>
      <c r="F517" t="inlineStr">
        <is>
          <t>VÄRMLANDS LÄN</t>
        </is>
      </c>
      <c r="G517" t="inlineStr">
        <is>
          <t>HAGFORS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5298-2026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46219</v>
      </c>
      <c r="F518" t="inlineStr">
        <is>
          <t>VÄRMLANDS LÄN</t>
        </is>
      </c>
      <c r="G518" t="inlineStr">
        <is>
          <t>HAGFORS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7332-2025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45703</v>
      </c>
      <c r="E519" s="1" t="n">
        <v>46219</v>
      </c>
      <c r="F519" t="inlineStr">
        <is>
          <t>VÄRMLANDS LÄN</t>
        </is>
      </c>
      <c r="G519" t="inlineStr">
        <is>
          <t>HAGFORS</t>
        </is>
      </c>
      <c r="H519" t="inlineStr">
        <is>
          <t>Kyrkan</t>
        </is>
      </c>
      <c r="I519" t="n">
        <v>15.9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5263-2026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46050</v>
      </c>
      <c r="E520" s="1" t="n">
        <v>46219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35886-2023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45148</v>
      </c>
      <c r="E521" s="1" t="n">
        <v>46219</v>
      </c>
      <c r="F521" t="inlineStr">
        <is>
          <t>VÄRMLANDS LÄN</t>
        </is>
      </c>
      <c r="G521" t="inlineStr">
        <is>
          <t>HAGFORS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5383-2026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46219</v>
      </c>
      <c r="F522" t="inlineStr">
        <is>
          <t>VÄRMLANDS LÄN</t>
        </is>
      </c>
      <c r="G522" t="inlineStr">
        <is>
          <t>HAGFORS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29855-2023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45107</v>
      </c>
      <c r="E523" s="1" t="n">
        <v>46219</v>
      </c>
      <c r="F523" t="inlineStr">
        <is>
          <t>VÄRMLANDS LÄN</t>
        </is>
      </c>
      <c r="G523" t="inlineStr">
        <is>
          <t>HAGFORS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18699-2022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44687</v>
      </c>
      <c r="E524" s="1" t="n">
        <v>46219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20.2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5993-2026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46219</v>
      </c>
      <c r="F525" t="inlineStr">
        <is>
          <t>VÄRMLANDS LÄN</t>
        </is>
      </c>
      <c r="G525" t="inlineStr">
        <is>
          <t>HAGFORS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56808-2023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45244</v>
      </c>
      <c r="E526" s="1" t="n">
        <v>46219</v>
      </c>
      <c r="F526" t="inlineStr">
        <is>
          <t>VÄRMLANDS LÄN</t>
        </is>
      </c>
      <c r="G526" t="inlineStr">
        <is>
          <t>HAGFORS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3996-2025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45684</v>
      </c>
      <c r="E527" s="1" t="n">
        <v>46219</v>
      </c>
      <c r="F527" t="inlineStr">
        <is>
          <t>VÄRMLANDS LÄN</t>
        </is>
      </c>
      <c r="G527" t="inlineStr">
        <is>
          <t>HAGFORS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22917-2025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46219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7000-2026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46057</v>
      </c>
      <c r="E529" s="1" t="n">
        <v>46219</v>
      </c>
      <c r="F529" t="inlineStr">
        <is>
          <t>VÄRMLANDS LÄN</t>
        </is>
      </c>
      <c r="G529" t="inlineStr">
        <is>
          <t>HAGFORS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40835-2023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45172</v>
      </c>
      <c r="E530" s="1" t="n">
        <v>46219</v>
      </c>
      <c r="F530" t="inlineStr">
        <is>
          <t>VÄRMLANDS LÄN</t>
        </is>
      </c>
      <c r="G530" t="inlineStr">
        <is>
          <t>HAGFORS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52224-2023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45224</v>
      </c>
      <c r="E531" s="1" t="n">
        <v>46219</v>
      </c>
      <c r="F531" t="inlineStr">
        <is>
          <t>VÄRMLANDS LÄN</t>
        </is>
      </c>
      <c r="G531" t="inlineStr">
        <is>
          <t>HAGFORS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9474-2025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46219</v>
      </c>
      <c r="F532" t="inlineStr">
        <is>
          <t>VÄRMLANDS LÄN</t>
        </is>
      </c>
      <c r="G532" t="inlineStr">
        <is>
          <t>HAGFORS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22964-2025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46219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8555-2026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46065</v>
      </c>
      <c r="E534" s="1" t="n">
        <v>46219</v>
      </c>
      <c r="F534" t="inlineStr">
        <is>
          <t>VÄRMLANDS LÄN</t>
        </is>
      </c>
      <c r="G534" t="inlineStr">
        <is>
          <t>HAGFORS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22799-2025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45789</v>
      </c>
      <c r="E535" s="1" t="n">
        <v>46219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18907-2025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45764</v>
      </c>
      <c r="E536" s="1" t="n">
        <v>46219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23268-2025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45791</v>
      </c>
      <c r="E537" s="1" t="n">
        <v>46219</v>
      </c>
      <c r="F537" t="inlineStr">
        <is>
          <t>VÄRMLANDS LÄN</t>
        </is>
      </c>
      <c r="G537" t="inlineStr">
        <is>
          <t>HAGFORS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23556-2025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45792</v>
      </c>
      <c r="E538" s="1" t="n">
        <v>46219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30180-2023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46219</v>
      </c>
      <c r="F539" t="inlineStr">
        <is>
          <t>VÄRMLANDS LÄN</t>
        </is>
      </c>
      <c r="G539" t="inlineStr">
        <is>
          <t>HAGFORS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23525-2025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45792</v>
      </c>
      <c r="E540" s="1" t="n">
        <v>46219</v>
      </c>
      <c r="F540" t="inlineStr">
        <is>
          <t>VÄRMLANDS LÄN</t>
        </is>
      </c>
      <c r="G540" t="inlineStr">
        <is>
          <t>HAGFORS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9670-2026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46072</v>
      </c>
      <c r="E541" s="1" t="n">
        <v>46219</v>
      </c>
      <c r="F541" t="inlineStr">
        <is>
          <t>VÄRMLANDS LÄN</t>
        </is>
      </c>
      <c r="G541" t="inlineStr">
        <is>
          <t>HAGFORS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9769-2026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46219</v>
      </c>
      <c r="F542" t="inlineStr">
        <is>
          <t>VÄRMLANDS LÄN</t>
        </is>
      </c>
      <c r="G542" t="inlineStr">
        <is>
          <t>HAGFORS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38239-2024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45545</v>
      </c>
      <c r="E543" s="1" t="n">
        <v>46219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10271-2026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46219</v>
      </c>
      <c r="F544" t="inlineStr">
        <is>
          <t>VÄRMLANDS LÄN</t>
        </is>
      </c>
      <c r="G544" t="inlineStr">
        <is>
          <t>HAGFORS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54008-2024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45615</v>
      </c>
      <c r="E545" s="1" t="n">
        <v>46219</v>
      </c>
      <c r="F545" t="inlineStr">
        <is>
          <t>VÄRMLANDS LÄN</t>
        </is>
      </c>
      <c r="G545" t="inlineStr">
        <is>
          <t>HAGFORS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55950-2024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45623</v>
      </c>
      <c r="E546" s="1" t="n">
        <v>46219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61232-2024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45645</v>
      </c>
      <c r="E547" s="1" t="n">
        <v>46219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64155-2023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45279</v>
      </c>
      <c r="E548" s="1" t="n">
        <v>46219</v>
      </c>
      <c r="F548" t="inlineStr">
        <is>
          <t>VÄRMLANDS LÄN</t>
        </is>
      </c>
      <c r="G548" t="inlineStr">
        <is>
          <t>HAGFORS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23674-2025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45793</v>
      </c>
      <c r="E549" s="1" t="n">
        <v>46219</v>
      </c>
      <c r="F549" t="inlineStr">
        <is>
          <t>VÄRMLANDS LÄN</t>
        </is>
      </c>
      <c r="G549" t="inlineStr">
        <is>
          <t>HAGFORS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14464-2025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45741</v>
      </c>
      <c r="E550" s="1" t="n">
        <v>46219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15643-2024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45404</v>
      </c>
      <c r="E551" s="1" t="n">
        <v>46219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12295-2026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46219</v>
      </c>
      <c r="F552" t="inlineStr">
        <is>
          <t>VÄRMLANDS LÄN</t>
        </is>
      </c>
      <c r="G552" t="inlineStr">
        <is>
          <t>HAGFORS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23712-2025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45793</v>
      </c>
      <c r="E553" s="1" t="n">
        <v>46219</v>
      </c>
      <c r="F553" t="inlineStr">
        <is>
          <t>VÄRMLANDS LÄN</t>
        </is>
      </c>
      <c r="G553" t="inlineStr">
        <is>
          <t>HAGFORS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58437-2023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45250</v>
      </c>
      <c r="E554" s="1" t="n">
        <v>46219</v>
      </c>
      <c r="F554" t="inlineStr">
        <is>
          <t>VÄRMLANDS LÄN</t>
        </is>
      </c>
      <c r="G554" t="inlineStr">
        <is>
          <t>HAGFORS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11160-2025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45723</v>
      </c>
      <c r="E555" s="1" t="n">
        <v>46219</v>
      </c>
      <c r="F555" t="inlineStr">
        <is>
          <t>VÄRMLANDS LÄN</t>
        </is>
      </c>
      <c r="G555" t="inlineStr">
        <is>
          <t>HAGFORS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11180-2025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45725</v>
      </c>
      <c r="E556" s="1" t="n">
        <v>46219</v>
      </c>
      <c r="F556" t="inlineStr">
        <is>
          <t>VÄRMLANDS LÄN</t>
        </is>
      </c>
      <c r="G556" t="inlineStr">
        <is>
          <t>HAGFORS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24435-2025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45797</v>
      </c>
      <c r="E557" s="1" t="n">
        <v>46219</v>
      </c>
      <c r="F557" t="inlineStr">
        <is>
          <t>VÄRMLANDS LÄN</t>
        </is>
      </c>
      <c r="G557" t="inlineStr">
        <is>
          <t>HAGFORS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12611-2026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46091</v>
      </c>
      <c r="E558" s="1" t="n">
        <v>46219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12534-2026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46219</v>
      </c>
      <c r="F559" t="inlineStr">
        <is>
          <t>VÄRMLANDS LÄN</t>
        </is>
      </c>
      <c r="G559" t="inlineStr">
        <is>
          <t>HAGFORS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16798-2025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45754</v>
      </c>
      <c r="E560" s="1" t="n">
        <v>46219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24434-2025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45797</v>
      </c>
      <c r="E561" s="1" t="n">
        <v>46219</v>
      </c>
      <c r="F561" t="inlineStr">
        <is>
          <t>VÄRMLANDS LÄN</t>
        </is>
      </c>
      <c r="G561" t="inlineStr">
        <is>
          <t>HAGFORS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30710-2022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44763</v>
      </c>
      <c r="E562" s="1" t="n">
        <v>46219</v>
      </c>
      <c r="F562" t="inlineStr">
        <is>
          <t>VÄRMLANDS LÄN</t>
        </is>
      </c>
      <c r="G562" t="inlineStr">
        <is>
          <t>HAGFORS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13524-2025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45736</v>
      </c>
      <c r="E563" s="1" t="n">
        <v>46219</v>
      </c>
      <c r="F563" t="inlineStr">
        <is>
          <t>VÄRMLANDS LÄN</t>
        </is>
      </c>
      <c r="G563" t="inlineStr">
        <is>
          <t>HAGFORS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2315-2024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45310</v>
      </c>
      <c r="E564" s="1" t="n">
        <v>46219</v>
      </c>
      <c r="F564" t="inlineStr">
        <is>
          <t>VÄRMLANDS LÄN</t>
        </is>
      </c>
      <c r="G564" t="inlineStr">
        <is>
          <t>HAGFORS</t>
        </is>
      </c>
      <c r="H564" t="inlineStr">
        <is>
          <t>Kyrkan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13419-2026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46219</v>
      </c>
      <c r="F565" t="inlineStr">
        <is>
          <t>VÄRMLANDS LÄN</t>
        </is>
      </c>
      <c r="G565" t="inlineStr">
        <is>
          <t>HAGFORS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24438-2025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45797</v>
      </c>
      <c r="E566" s="1" t="n">
        <v>46219</v>
      </c>
      <c r="F566" t="inlineStr">
        <is>
          <t>VÄRMLANDS LÄN</t>
        </is>
      </c>
      <c r="G566" t="inlineStr">
        <is>
          <t>HAGFORS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13338-2026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46219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13411-2026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46219</v>
      </c>
      <c r="F568" t="inlineStr">
        <is>
          <t>VÄRMLANDS LÄN</t>
        </is>
      </c>
      <c r="G568" t="inlineStr">
        <is>
          <t>HAGFORS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13360-2026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46219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13466-2026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46219</v>
      </c>
      <c r="F570" t="inlineStr">
        <is>
          <t>VÄRMLANDS LÄN</t>
        </is>
      </c>
      <c r="G570" t="inlineStr">
        <is>
          <t>HAGFORS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14284-2026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46219</v>
      </c>
      <c r="F571" t="inlineStr">
        <is>
          <t>VÄRMLANDS LÄN</t>
        </is>
      </c>
      <c r="G571" t="inlineStr">
        <is>
          <t>HAGFORS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24895-2025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45799</v>
      </c>
      <c r="E572" s="1" t="n">
        <v>46219</v>
      </c>
      <c r="F572" t="inlineStr">
        <is>
          <t>VÄRMLANDS LÄN</t>
        </is>
      </c>
      <c r="G572" t="inlineStr">
        <is>
          <t>HAGFORS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13926-2026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46219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13987-2026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46219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49585-2023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45211</v>
      </c>
      <c r="E575" s="1" t="n">
        <v>46219</v>
      </c>
      <c r="F575" t="inlineStr">
        <is>
          <t>VÄRMLANDS LÄN</t>
        </is>
      </c>
      <c r="G575" t="inlineStr">
        <is>
          <t>HAGFORS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25349-2023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45087</v>
      </c>
      <c r="E576" s="1" t="n">
        <v>46219</v>
      </c>
      <c r="F576" t="inlineStr">
        <is>
          <t>VÄRMLANDS LÄN</t>
        </is>
      </c>
      <c r="G576" t="inlineStr">
        <is>
          <t>HAGFORS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14288-2026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46219</v>
      </c>
      <c r="F577" t="inlineStr">
        <is>
          <t>VÄRMLANDS LÄN</t>
        </is>
      </c>
      <c r="G577" t="inlineStr">
        <is>
          <t>HAGFORS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13809-2026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46098</v>
      </c>
      <c r="E578" s="1" t="n">
        <v>46219</v>
      </c>
      <c r="F578" t="inlineStr">
        <is>
          <t>VÄRMLANDS LÄN</t>
        </is>
      </c>
      <c r="G578" t="inlineStr">
        <is>
          <t>HAGFORS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61304-2023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46219</v>
      </c>
      <c r="F579" t="inlineStr">
        <is>
          <t>VÄRMLANDS LÄN</t>
        </is>
      </c>
      <c r="G579" t="inlineStr">
        <is>
          <t>HAGFORS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24793-2025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45799</v>
      </c>
      <c r="E580" s="1" t="n">
        <v>46219</v>
      </c>
      <c r="F580" t="inlineStr">
        <is>
          <t>VÄRMLANDS LÄN</t>
        </is>
      </c>
      <c r="G580" t="inlineStr">
        <is>
          <t>HAGFORS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5482-2022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44595</v>
      </c>
      <c r="E581" s="1" t="n">
        <v>46219</v>
      </c>
      <c r="F581" t="inlineStr">
        <is>
          <t>VÄRMLANDS LÄN</t>
        </is>
      </c>
      <c r="G581" t="inlineStr">
        <is>
          <t>HAGFORS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14667-2026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46219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25031-2025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46219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14574-2026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46101</v>
      </c>
      <c r="E584" s="1" t="n">
        <v>46219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14832-2026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46104</v>
      </c>
      <c r="E585" s="1" t="n">
        <v>46219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30327-2022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44760</v>
      </c>
      <c r="E586" s="1" t="n">
        <v>46219</v>
      </c>
      <c r="F586" t="inlineStr">
        <is>
          <t>VÄRMLANDS LÄN</t>
        </is>
      </c>
      <c r="G586" t="inlineStr">
        <is>
          <t>HAGFORS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15213-2026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46105</v>
      </c>
      <c r="E587" s="1" t="n">
        <v>46219</v>
      </c>
      <c r="F587" t="inlineStr">
        <is>
          <t>VÄRMLANDS LÄN</t>
        </is>
      </c>
      <c r="G587" t="inlineStr">
        <is>
          <t>HAGFORS</t>
        </is>
      </c>
      <c r="H587" t="inlineStr">
        <is>
          <t>Kyrkan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15031-2026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46104</v>
      </c>
      <c r="E588" s="1" t="n">
        <v>46219</v>
      </c>
      <c r="F588" t="inlineStr">
        <is>
          <t>VÄRMLANDS LÄN</t>
        </is>
      </c>
      <c r="G588" t="inlineStr">
        <is>
          <t>HAGFORS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54929-2024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45618</v>
      </c>
      <c r="E589" s="1" t="n">
        <v>46219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15656-2026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46219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15666-2026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46219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49753-2023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45212</v>
      </c>
      <c r="E592" s="1" t="n">
        <v>46219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15554-2026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46219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15577-2026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46219</v>
      </c>
      <c r="F594" t="inlineStr">
        <is>
          <t>VÄRMLANDS LÄN</t>
        </is>
      </c>
      <c r="G594" t="inlineStr">
        <is>
          <t>HAGFORS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15504-2026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46219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31660-2022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44776</v>
      </c>
      <c r="E596" s="1" t="n">
        <v>46219</v>
      </c>
      <c r="F596" t="inlineStr">
        <is>
          <t>VÄRMLANDS LÄN</t>
        </is>
      </c>
      <c r="G596" t="inlineStr">
        <is>
          <t>HAGFORS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33823-2025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45842</v>
      </c>
      <c r="E597" s="1" t="n">
        <v>46219</v>
      </c>
      <c r="F597" t="inlineStr">
        <is>
          <t>VÄRMLANDS LÄN</t>
        </is>
      </c>
      <c r="G597" t="inlineStr">
        <is>
          <t>HAGFORS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15639-2026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46219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15491-2026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46219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16284-2026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46111</v>
      </c>
      <c r="E600" s="1" t="n">
        <v>46219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16157-2026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46108</v>
      </c>
      <c r="E601" s="1" t="n">
        <v>46219</v>
      </c>
      <c r="F601" t="inlineStr">
        <is>
          <t>VÄRMLANDS LÄN</t>
        </is>
      </c>
      <c r="G601" t="inlineStr">
        <is>
          <t>HAGFORS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16146-2026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46108</v>
      </c>
      <c r="E602" s="1" t="n">
        <v>46219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16003-2026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46108</v>
      </c>
      <c r="E603" s="1" t="n">
        <v>46219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56466-2024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45625</v>
      </c>
      <c r="E604" s="1" t="n">
        <v>46219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2317-2025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45673</v>
      </c>
      <c r="E605" s="1" t="n">
        <v>46219</v>
      </c>
      <c r="F605" t="inlineStr">
        <is>
          <t>VÄRMLANDS LÄN</t>
        </is>
      </c>
      <c r="G605" t="inlineStr">
        <is>
          <t>HAGFORS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28087-2024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45476</v>
      </c>
      <c r="E606" s="1" t="n">
        <v>46219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15587-2026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46219</v>
      </c>
      <c r="F607" t="inlineStr">
        <is>
          <t>VÄRMLANDS LÄN</t>
        </is>
      </c>
      <c r="G607" t="inlineStr">
        <is>
          <t>HAGFORS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36206-2024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45534</v>
      </c>
      <c r="E608" s="1" t="n">
        <v>46219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31812-2024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45509</v>
      </c>
      <c r="E609" s="1" t="n">
        <v>46219</v>
      </c>
      <c r="F609" t="inlineStr">
        <is>
          <t>VÄRMLANDS LÄN</t>
        </is>
      </c>
      <c r="G609" t="inlineStr">
        <is>
          <t>HAGFORS</t>
        </is>
      </c>
      <c r="H609" t="inlineStr">
        <is>
          <t>Kommuner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16977-2026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46114</v>
      </c>
      <c r="E610" s="1" t="n">
        <v>46219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38474-2024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45546</v>
      </c>
      <c r="E611" s="1" t="n">
        <v>46219</v>
      </c>
      <c r="F611" t="inlineStr">
        <is>
          <t>VÄRMLANDS LÄN</t>
        </is>
      </c>
      <c r="G611" t="inlineStr">
        <is>
          <t>HAGFORS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42150-2024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46219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26463-2025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45807</v>
      </c>
      <c r="E613" s="1" t="n">
        <v>46219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52383-2024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45608</v>
      </c>
      <c r="E614" s="1" t="n">
        <v>46219</v>
      </c>
      <c r="F614" t="inlineStr">
        <is>
          <t>VÄRMLANDS LÄN</t>
        </is>
      </c>
      <c r="G614" t="inlineStr">
        <is>
          <t>HAGFORS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16755-2025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45754</v>
      </c>
      <c r="E615" s="1" t="n">
        <v>46219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60178-2023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45258</v>
      </c>
      <c r="E616" s="1" t="n">
        <v>46219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26617-2025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45810</v>
      </c>
      <c r="E617" s="1" t="n">
        <v>46219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27071-2025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45811</v>
      </c>
      <c r="E618" s="1" t="n">
        <v>46219</v>
      </c>
      <c r="F618" t="inlineStr">
        <is>
          <t>VÄRMLANDS LÄN</t>
        </is>
      </c>
      <c r="G618" t="inlineStr">
        <is>
          <t>HAGFORS</t>
        </is>
      </c>
      <c r="I618" t="n">
        <v>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26980-2025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45811</v>
      </c>
      <c r="E619" s="1" t="n">
        <v>46219</v>
      </c>
      <c r="F619" t="inlineStr">
        <is>
          <t>VÄRMLANDS LÄN</t>
        </is>
      </c>
      <c r="G619" t="inlineStr">
        <is>
          <t>HAGFORS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26982-2025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45811</v>
      </c>
      <c r="E620" s="1" t="n">
        <v>46219</v>
      </c>
      <c r="F620" t="inlineStr">
        <is>
          <t>VÄRMLANDS LÄN</t>
        </is>
      </c>
      <c r="G620" t="inlineStr">
        <is>
          <t>HAGFORS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15270-2024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45400</v>
      </c>
      <c r="E621" s="1" t="n">
        <v>46219</v>
      </c>
      <c r="F621" t="inlineStr">
        <is>
          <t>VÄRMLANDS LÄN</t>
        </is>
      </c>
      <c r="G621" t="inlineStr">
        <is>
          <t>HAGFORS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17815-2026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46122</v>
      </c>
      <c r="E622" s="1" t="n">
        <v>46219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27319-2025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45812</v>
      </c>
      <c r="E623" s="1" t="n">
        <v>46219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27229-2025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45812</v>
      </c>
      <c r="E624" s="1" t="n">
        <v>46219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17843-2026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46122</v>
      </c>
      <c r="E625" s="1" t="n">
        <v>46219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27119-2025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45811</v>
      </c>
      <c r="E626" s="1" t="n">
        <v>46219</v>
      </c>
      <c r="F626" t="inlineStr">
        <is>
          <t>VÄRMLANDS LÄN</t>
        </is>
      </c>
      <c r="G626" t="inlineStr">
        <is>
          <t>HAGFORS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27181-2025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45812</v>
      </c>
      <c r="E627" s="1" t="n">
        <v>46219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27195-2025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45812</v>
      </c>
      <c r="E628" s="1" t="n">
        <v>46219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27263-2025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45812</v>
      </c>
      <c r="E629" s="1" t="n">
        <v>46219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14850-2025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45743</v>
      </c>
      <c r="E630" s="1" t="n">
        <v>46219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17778-2026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46122</v>
      </c>
      <c r="E631" s="1" t="n">
        <v>46219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8304-2022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44610</v>
      </c>
      <c r="E632" s="1" t="n">
        <v>46219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55447-2022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44887</v>
      </c>
      <c r="E633" s="1" t="n">
        <v>46219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18217-2026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46126</v>
      </c>
      <c r="E634" s="1" t="n">
        <v>46219</v>
      </c>
      <c r="F634" t="inlineStr">
        <is>
          <t>VÄRMLANDS LÄN</t>
        </is>
      </c>
      <c r="G634" t="inlineStr">
        <is>
          <t>HAGFORS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18528-2026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46127</v>
      </c>
      <c r="E635" s="1" t="n">
        <v>46219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50922-2023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45211</v>
      </c>
      <c r="E636" s="1" t="n">
        <v>46219</v>
      </c>
      <c r="F636" t="inlineStr">
        <is>
          <t>VÄRMLANDS LÄN</t>
        </is>
      </c>
      <c r="G636" t="inlineStr">
        <is>
          <t>HAGFORS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4260-2023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44953</v>
      </c>
      <c r="E637" s="1" t="n">
        <v>46219</v>
      </c>
      <c r="F637" t="inlineStr">
        <is>
          <t>VÄRMLANDS LÄN</t>
        </is>
      </c>
      <c r="G637" t="inlineStr">
        <is>
          <t>HAGFORS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18797-2026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46128</v>
      </c>
      <c r="E638" s="1" t="n">
        <v>46219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19056-2026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46219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6.5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44951</v>
      </c>
      <c r="E640" s="1" t="n">
        <v>46219</v>
      </c>
      <c r="F640" t="inlineStr">
        <is>
          <t>VÄRMLANDS LÄN</t>
        </is>
      </c>
      <c r="G640" t="inlineStr">
        <is>
          <t>HAGFORS</t>
        </is>
      </c>
      <c r="H640" t="inlineStr">
        <is>
          <t>Kommuner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18901-2026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46129</v>
      </c>
      <c r="E641" s="1" t="n">
        <v>46219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13850-2022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44649</v>
      </c>
      <c r="E642" s="1" t="n">
        <v>46219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18854-2026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46129</v>
      </c>
      <c r="E643" s="1" t="n">
        <v>46219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18895-2026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46129</v>
      </c>
      <c r="E644" s="1" t="n">
        <v>46219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61902-2021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44502</v>
      </c>
      <c r="E645" s="1" t="n">
        <v>46219</v>
      </c>
      <c r="F645" t="inlineStr">
        <is>
          <t>VÄRMLANDS LÄN</t>
        </is>
      </c>
      <c r="G645" t="inlineStr">
        <is>
          <t>HAGFORS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28309-2025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45818</v>
      </c>
      <c r="E646" s="1" t="n">
        <v>46219</v>
      </c>
      <c r="F646" t="inlineStr">
        <is>
          <t>VÄRMLANDS LÄN</t>
        </is>
      </c>
      <c r="G646" t="inlineStr">
        <is>
          <t>HAGFORS</t>
        </is>
      </c>
      <c r="H646" t="inlineStr">
        <is>
          <t>Kyrkan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18951-2026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46129</v>
      </c>
      <c r="E647" s="1" t="n">
        <v>46219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7.4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19339-2026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46133</v>
      </c>
      <c r="E648" s="1" t="n">
        <v>46219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19548-2026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46219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19459-2026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46133</v>
      </c>
      <c r="E650" s="1" t="n">
        <v>46219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19307-2026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46133</v>
      </c>
      <c r="E651" s="1" t="n">
        <v>46219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58307-2023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45250</v>
      </c>
      <c r="E652" s="1" t="n">
        <v>46219</v>
      </c>
      <c r="F652" t="inlineStr">
        <is>
          <t>VÄRMLANDS LÄN</t>
        </is>
      </c>
      <c r="G652" t="inlineStr">
        <is>
          <t>HAGFORS</t>
        </is>
      </c>
      <c r="H652" t="inlineStr">
        <is>
          <t>Kommuner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11104-2022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44628</v>
      </c>
      <c r="E653" s="1" t="n">
        <v>46219</v>
      </c>
      <c r="F653" t="inlineStr">
        <is>
          <t>VÄRMLANDS LÄN</t>
        </is>
      </c>
      <c r="G653" t="inlineStr">
        <is>
          <t>HAGFORS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39396-2023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46219</v>
      </c>
      <c r="F654" t="inlineStr">
        <is>
          <t>VÄRMLANDS LÄN</t>
        </is>
      </c>
      <c r="G654" t="inlineStr">
        <is>
          <t>HAGFORS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19350-2026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46133</v>
      </c>
      <c r="E655" s="1" t="n">
        <v>46219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19530-2026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46134</v>
      </c>
      <c r="E656" s="1" t="n">
        <v>46219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19421-2026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46133</v>
      </c>
      <c r="E657" s="1" t="n">
        <v>46219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28437-2025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45819</v>
      </c>
      <c r="E658" s="1" t="n">
        <v>46219</v>
      </c>
      <c r="F658" t="inlineStr">
        <is>
          <t>VÄRMLANDS LÄN</t>
        </is>
      </c>
      <c r="G658" t="inlineStr">
        <is>
          <t>HAGFORS</t>
        </is>
      </c>
      <c r="H658" t="inlineStr">
        <is>
          <t>Kyrkan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19363-2026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46133</v>
      </c>
      <c r="E659" s="1" t="n">
        <v>46219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29149-2025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45821</v>
      </c>
      <c r="E660" s="1" t="n">
        <v>46219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29115-2025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45821</v>
      </c>
      <c r="E661" s="1" t="n">
        <v>46219</v>
      </c>
      <c r="F661" t="inlineStr">
        <is>
          <t>VÄRMLANDS LÄN</t>
        </is>
      </c>
      <c r="G661" t="inlineStr">
        <is>
          <t>HAGFORS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25560-2026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46177</v>
      </c>
      <c r="E662" s="1" t="n">
        <v>46219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60664-2023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45259</v>
      </c>
      <c r="E663" s="1" t="n">
        <v>46219</v>
      </c>
      <c r="F663" t="inlineStr">
        <is>
          <t>VÄRMLANDS LÄN</t>
        </is>
      </c>
      <c r="G663" t="inlineStr">
        <is>
          <t>HAGFORS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29949-2025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45826</v>
      </c>
      <c r="E664" s="1" t="n">
        <v>46219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29958-2025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45826</v>
      </c>
      <c r="E665" s="1" t="n">
        <v>46219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28571-2025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45819</v>
      </c>
      <c r="E666" s="1" t="n">
        <v>46219</v>
      </c>
      <c r="F666" t="inlineStr">
        <is>
          <t>VÄRMLANDS LÄN</t>
        </is>
      </c>
      <c r="G666" t="inlineStr">
        <is>
          <t>HAGFORS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30124-2025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45826</v>
      </c>
      <c r="E667" s="1" t="n">
        <v>46219</v>
      </c>
      <c r="F667" t="inlineStr">
        <is>
          <t>VÄRMLANDS LÄN</t>
        </is>
      </c>
      <c r="G667" t="inlineStr">
        <is>
          <t>HAGFORS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8820-2024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45356</v>
      </c>
      <c r="E668" s="1" t="n">
        <v>46219</v>
      </c>
      <c r="F668" t="inlineStr">
        <is>
          <t>VÄRMLANDS LÄN</t>
        </is>
      </c>
      <c r="G668" t="inlineStr">
        <is>
          <t>HAGFORS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25890-2026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46178</v>
      </c>
      <c r="E669" s="1" t="n">
        <v>46219</v>
      </c>
      <c r="F669" t="inlineStr">
        <is>
          <t>VÄRMLANDS LÄN</t>
        </is>
      </c>
      <c r="G669" t="inlineStr">
        <is>
          <t>HAGFORS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25589-2026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46219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30778-2025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45831</v>
      </c>
      <c r="E671" s="1" t="n">
        <v>46219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658-2022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44566</v>
      </c>
      <c r="E672" s="1" t="n">
        <v>46219</v>
      </c>
      <c r="F672" t="inlineStr">
        <is>
          <t>VÄRMLANDS LÄN</t>
        </is>
      </c>
      <c r="G672" t="inlineStr">
        <is>
          <t>HAGFORS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25583-2026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46219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59048-2022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44903</v>
      </c>
      <c r="E674" s="1" t="n">
        <v>46219</v>
      </c>
      <c r="F674" t="inlineStr">
        <is>
          <t>VÄRMLANDS LÄN</t>
        </is>
      </c>
      <c r="G674" t="inlineStr">
        <is>
          <t>HAGFORS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29372-2023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45106</v>
      </c>
      <c r="E675" s="1" t="n">
        <v>46219</v>
      </c>
      <c r="F675" t="inlineStr">
        <is>
          <t>VÄRMLANDS LÄN</t>
        </is>
      </c>
      <c r="G675" t="inlineStr">
        <is>
          <t>HAGFORS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60221-2023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45258</v>
      </c>
      <c r="E676" s="1" t="n">
        <v>46219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34541-2024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45525</v>
      </c>
      <c r="E677" s="1" t="n">
        <v>46219</v>
      </c>
      <c r="F677" t="inlineStr">
        <is>
          <t>VÄRMLANDS LÄN</t>
        </is>
      </c>
      <c r="G677" t="inlineStr">
        <is>
          <t>HAGFORS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32688-2025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45838</v>
      </c>
      <c r="E678" s="1" t="n">
        <v>46219</v>
      </c>
      <c r="F678" t="inlineStr">
        <is>
          <t>VÄRMLANDS LÄN</t>
        </is>
      </c>
      <c r="G678" t="inlineStr">
        <is>
          <t>HAGFORS</t>
        </is>
      </c>
      <c r="H678" t="inlineStr">
        <is>
          <t>Kyrkan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35668-2023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45147</v>
      </c>
      <c r="E679" s="1" t="n">
        <v>46219</v>
      </c>
      <c r="F679" t="inlineStr">
        <is>
          <t>VÄRMLANDS LÄN</t>
        </is>
      </c>
      <c r="G679" t="inlineStr">
        <is>
          <t>HAGFORS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4028-2025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45684</v>
      </c>
      <c r="E680" s="1" t="n">
        <v>46219</v>
      </c>
      <c r="F680" t="inlineStr">
        <is>
          <t>VÄRMLANDS LÄN</t>
        </is>
      </c>
      <c r="G680" t="inlineStr">
        <is>
          <t>HAGFORS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46190-2024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45581</v>
      </c>
      <c r="E681" s="1" t="n">
        <v>46219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27410-2023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45097</v>
      </c>
      <c r="E682" s="1" t="n">
        <v>46219</v>
      </c>
      <c r="F682" t="inlineStr">
        <is>
          <t>VÄRMLANDS LÄN</t>
        </is>
      </c>
      <c r="G682" t="inlineStr">
        <is>
          <t>HAGFORS</t>
        </is>
      </c>
      <c r="H682" t="inlineStr">
        <is>
          <t>Kyrkan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32235-2025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45835</v>
      </c>
      <c r="E683" s="1" t="n">
        <v>46219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2971-2025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45678</v>
      </c>
      <c r="E684" s="1" t="n">
        <v>46219</v>
      </c>
      <c r="F684" t="inlineStr">
        <is>
          <t>VÄRMLANDS LÄN</t>
        </is>
      </c>
      <c r="G684" t="inlineStr">
        <is>
          <t>HAGFORS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31618-2025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45833</v>
      </c>
      <c r="E685" s="1" t="n">
        <v>46219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32174-2025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46219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26859-2024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45470</v>
      </c>
      <c r="E687" s="1" t="n">
        <v>46219</v>
      </c>
      <c r="F687" t="inlineStr">
        <is>
          <t>VÄRMLANDS LÄN</t>
        </is>
      </c>
      <c r="G687" t="inlineStr">
        <is>
          <t>HAGFORS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21724-2025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45783</v>
      </c>
      <c r="E688" s="1" t="n">
        <v>46219</v>
      </c>
      <c r="F688" t="inlineStr">
        <is>
          <t>VÄRMLANDS LÄN</t>
        </is>
      </c>
      <c r="G688" t="inlineStr">
        <is>
          <t>HAGFORS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19993-2026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46136</v>
      </c>
      <c r="E689" s="1" t="n">
        <v>46219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8.4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11367-2025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45726</v>
      </c>
      <c r="E690" s="1" t="n">
        <v>46219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26012-2026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46181</v>
      </c>
      <c r="E691" s="1" t="n">
        <v>46219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46208-2023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45196</v>
      </c>
      <c r="E692" s="1" t="n">
        <v>46219</v>
      </c>
      <c r="F692" t="inlineStr">
        <is>
          <t>VÄRMLANDS LÄN</t>
        </is>
      </c>
      <c r="G692" t="inlineStr">
        <is>
          <t>HAGFORS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22346-2025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45786</v>
      </c>
      <c r="E693" s="1" t="n">
        <v>46219</v>
      </c>
      <c r="F693" t="inlineStr">
        <is>
          <t>VÄRMLANDS LÄN</t>
        </is>
      </c>
      <c r="G693" t="inlineStr">
        <is>
          <t>HAGFORS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33187-2025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45840</v>
      </c>
      <c r="E694" s="1" t="n">
        <v>46219</v>
      </c>
      <c r="F694" t="inlineStr">
        <is>
          <t>VÄRMLANDS LÄN</t>
        </is>
      </c>
      <c r="G694" t="inlineStr">
        <is>
          <t>HAGFORS</t>
        </is>
      </c>
      <c r="I694" t="n">
        <v>18.2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26342-2026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46182</v>
      </c>
      <c r="E695" s="1" t="n">
        <v>46219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23047-2024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45450</v>
      </c>
      <c r="E696" s="1" t="n">
        <v>46219</v>
      </c>
      <c r="F696" t="inlineStr">
        <is>
          <t>VÄRMLANDS LÄN</t>
        </is>
      </c>
      <c r="G696" t="inlineStr">
        <is>
          <t>HAGFORS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26350-2026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46182</v>
      </c>
      <c r="E697" s="1" t="n">
        <v>46219</v>
      </c>
      <c r="F697" t="inlineStr">
        <is>
          <t>VÄRMLANDS LÄN</t>
        </is>
      </c>
      <c r="G697" t="inlineStr">
        <is>
          <t>HAGFORS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29373-2023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45106</v>
      </c>
      <c r="E698" s="1" t="n">
        <v>46219</v>
      </c>
      <c r="F698" t="inlineStr">
        <is>
          <t>VÄRMLANDS LÄN</t>
        </is>
      </c>
      <c r="G698" t="inlineStr">
        <is>
          <t>HAGFORS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4279-2024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45324</v>
      </c>
      <c r="E699" s="1" t="n">
        <v>46219</v>
      </c>
      <c r="F699" t="inlineStr">
        <is>
          <t>VÄRMLANDS LÄN</t>
        </is>
      </c>
      <c r="G699" t="inlineStr">
        <is>
          <t>HAGFORS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52378-2021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44465</v>
      </c>
      <c r="E700" s="1" t="n">
        <v>46219</v>
      </c>
      <c r="F700" t="inlineStr">
        <is>
          <t>VÄRMLANDS LÄN</t>
        </is>
      </c>
      <c r="G700" t="inlineStr">
        <is>
          <t>HAGFORS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26019-2026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46219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34572-2025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45847</v>
      </c>
      <c r="E702" s="1" t="n">
        <v>46219</v>
      </c>
      <c r="F702" t="inlineStr">
        <is>
          <t>VÄRMLANDS LÄN</t>
        </is>
      </c>
      <c r="G702" t="inlineStr">
        <is>
          <t>HAGFORS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33364-2025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45841</v>
      </c>
      <c r="E703" s="1" t="n">
        <v>46219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63868-2025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46020</v>
      </c>
      <c r="E704" s="1" t="n">
        <v>46219</v>
      </c>
      <c r="F704" t="inlineStr">
        <is>
          <t>VÄRMLANDS LÄN</t>
        </is>
      </c>
      <c r="G704" t="inlineStr">
        <is>
          <t>HAGFORS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26265-2026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46182</v>
      </c>
      <c r="E705" s="1" t="n">
        <v>46219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33440-2025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45841</v>
      </c>
      <c r="E706" s="1" t="n">
        <v>46219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29492-2024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45484</v>
      </c>
      <c r="E707" s="1" t="n">
        <v>46219</v>
      </c>
      <c r="F707" t="inlineStr">
        <is>
          <t>VÄRMLANDS LÄN</t>
        </is>
      </c>
      <c r="G707" t="inlineStr">
        <is>
          <t>HAGFORS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3426-2023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46219</v>
      </c>
      <c r="F708" t="inlineStr">
        <is>
          <t>VÄRMLANDS LÄN</t>
        </is>
      </c>
      <c r="G708" t="inlineStr">
        <is>
          <t>HAGFORS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42223-2022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44830</v>
      </c>
      <c r="E709" s="1" t="n">
        <v>46219</v>
      </c>
      <c r="F709" t="inlineStr">
        <is>
          <t>VÄRMLANDS LÄN</t>
        </is>
      </c>
      <c r="G709" t="inlineStr">
        <is>
          <t>HAGFORS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33611-2025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45841</v>
      </c>
      <c r="E710" s="1" t="n">
        <v>46219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17584-2023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45036</v>
      </c>
      <c r="E711" s="1" t="n">
        <v>46219</v>
      </c>
      <c r="F711" t="inlineStr">
        <is>
          <t>VÄRMLANDS LÄN</t>
        </is>
      </c>
      <c r="G711" t="inlineStr">
        <is>
          <t>HAGFORS</t>
        </is>
      </c>
      <c r="H711" t="inlineStr">
        <is>
          <t>Kommuner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20260-2026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46139</v>
      </c>
      <c r="E712" s="1" t="n">
        <v>46219</v>
      </c>
      <c r="F712" t="inlineStr">
        <is>
          <t>VÄRMLANDS LÄN</t>
        </is>
      </c>
      <c r="G712" t="inlineStr">
        <is>
          <t>HAGFORS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32690-2025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45839</v>
      </c>
      <c r="E713" s="1" t="n">
        <v>46219</v>
      </c>
      <c r="F713" t="inlineStr">
        <is>
          <t>VÄRMLANDS LÄN</t>
        </is>
      </c>
      <c r="G713" t="inlineStr">
        <is>
          <t>HAGFORS</t>
        </is>
      </c>
      <c r="H713" t="inlineStr">
        <is>
          <t>Kyrkan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23179-2025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45791</v>
      </c>
      <c r="E714" s="1" t="n">
        <v>46219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36764-2025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45873</v>
      </c>
      <c r="E715" s="1" t="n">
        <v>46219</v>
      </c>
      <c r="F715" t="inlineStr">
        <is>
          <t>VÄRMLANDS LÄN</t>
        </is>
      </c>
      <c r="G715" t="inlineStr">
        <is>
          <t>HAGFORS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33454-2025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45841</v>
      </c>
      <c r="E716" s="1" t="n">
        <v>46219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34107-2025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45845</v>
      </c>
      <c r="E717" s="1" t="n">
        <v>46219</v>
      </c>
      <c r="F717" t="inlineStr">
        <is>
          <t>VÄRMLANDS LÄN</t>
        </is>
      </c>
      <c r="G717" t="inlineStr">
        <is>
          <t>HAGFORS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34133-2025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45845</v>
      </c>
      <c r="E718" s="1" t="n">
        <v>46219</v>
      </c>
      <c r="F718" t="inlineStr">
        <is>
          <t>VÄRMLANDS LÄN</t>
        </is>
      </c>
      <c r="G718" t="inlineStr">
        <is>
          <t>HAGFORS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34149-2025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45845</v>
      </c>
      <c r="E719" s="1" t="n">
        <v>46219</v>
      </c>
      <c r="F719" t="inlineStr">
        <is>
          <t>VÄRMLANDS LÄN</t>
        </is>
      </c>
      <c r="G719" t="inlineStr">
        <is>
          <t>HAGFORS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21954-2025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45784</v>
      </c>
      <c r="E720" s="1" t="n">
        <v>46219</v>
      </c>
      <c r="F720" t="inlineStr">
        <is>
          <t>VÄRMLANDS LÄN</t>
        </is>
      </c>
      <c r="G720" t="inlineStr">
        <is>
          <t>HAGFORS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19515-2025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45770</v>
      </c>
      <c r="E721" s="1" t="n">
        <v>46219</v>
      </c>
      <c r="F721" t="inlineStr">
        <is>
          <t>VÄRMLANDS LÄN</t>
        </is>
      </c>
      <c r="G721" t="inlineStr">
        <is>
          <t>HAGFORS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20564-2026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46140</v>
      </c>
      <c r="E722" s="1" t="n">
        <v>46219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20594-2026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46219</v>
      </c>
      <c r="F723" t="inlineStr">
        <is>
          <t>VÄRMLANDS LÄN</t>
        </is>
      </c>
      <c r="G723" t="inlineStr">
        <is>
          <t>HAGFORS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42801-2024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45565</v>
      </c>
      <c r="E724" s="1" t="n">
        <v>46219</v>
      </c>
      <c r="F724" t="inlineStr">
        <is>
          <t>VÄRMLANDS LÄN</t>
        </is>
      </c>
      <c r="G724" t="inlineStr">
        <is>
          <t>HAGFORS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24000-2025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45796</v>
      </c>
      <c r="E725" s="1" t="n">
        <v>46219</v>
      </c>
      <c r="F725" t="inlineStr">
        <is>
          <t>VÄRMLANDS LÄN</t>
        </is>
      </c>
      <c r="G725" t="inlineStr">
        <is>
          <t>HAGFORS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20494-2026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46140</v>
      </c>
      <c r="E726" s="1" t="n">
        <v>46219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26357-2026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46182</v>
      </c>
      <c r="E727" s="1" t="n">
        <v>46219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33.4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35289-2025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45854</v>
      </c>
      <c r="E728" s="1" t="n">
        <v>46219</v>
      </c>
      <c r="F728" t="inlineStr">
        <is>
          <t>VÄRMLANDS LÄN</t>
        </is>
      </c>
      <c r="G728" t="inlineStr">
        <is>
          <t>HAGFORS</t>
        </is>
      </c>
      <c r="H728" t="inlineStr">
        <is>
          <t>Kyrkan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35312-2025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45854</v>
      </c>
      <c r="E729" s="1" t="n">
        <v>46219</v>
      </c>
      <c r="F729" t="inlineStr">
        <is>
          <t>VÄRMLANDS LÄN</t>
        </is>
      </c>
      <c r="G729" t="inlineStr">
        <is>
          <t>HAGFORS</t>
        </is>
      </c>
      <c r="H729" t="inlineStr">
        <is>
          <t>Kyrkan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35212-2025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45853</v>
      </c>
      <c r="E730" s="1" t="n">
        <v>46219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26615-2024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45469</v>
      </c>
      <c r="E731" s="1" t="n">
        <v>46219</v>
      </c>
      <c r="F731" t="inlineStr">
        <is>
          <t>VÄRMLANDS LÄN</t>
        </is>
      </c>
      <c r="G731" t="inlineStr">
        <is>
          <t>HAGFORS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26628-2024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45469</v>
      </c>
      <c r="E732" s="1" t="n">
        <v>46219</v>
      </c>
      <c r="F732" t="inlineStr">
        <is>
          <t>VÄRMLANDS LÄN</t>
        </is>
      </c>
      <c r="G732" t="inlineStr">
        <is>
          <t>HAGFORS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12778-2025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45733</v>
      </c>
      <c r="E733" s="1" t="n">
        <v>46219</v>
      </c>
      <c r="F733" t="inlineStr">
        <is>
          <t>VÄRMLANDS LÄN</t>
        </is>
      </c>
      <c r="G733" t="inlineStr">
        <is>
          <t>HAGFORS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23813-2025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45793</v>
      </c>
      <c r="E734" s="1" t="n">
        <v>46219</v>
      </c>
      <c r="F734" t="inlineStr">
        <is>
          <t>VÄRMLANDS LÄN</t>
        </is>
      </c>
      <c r="G734" t="inlineStr">
        <is>
          <t>HAGFORS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34281-2025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45846</v>
      </c>
      <c r="E735" s="1" t="n">
        <v>46219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20756-2026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46141</v>
      </c>
      <c r="E736" s="1" t="n">
        <v>46219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20759-2026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46141</v>
      </c>
      <c r="E737" s="1" t="n">
        <v>46219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61265-2022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44915</v>
      </c>
      <c r="E738" s="1" t="n">
        <v>46219</v>
      </c>
      <c r="F738" t="inlineStr">
        <is>
          <t>VÄRMLANDS LÄN</t>
        </is>
      </c>
      <c r="G738" t="inlineStr">
        <is>
          <t>HAGFORS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68252-2021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44526</v>
      </c>
      <c r="E739" s="1" t="n">
        <v>46219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5.8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20752-2026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46141</v>
      </c>
      <c r="E740" s="1" t="n">
        <v>46219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20729-2026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46141</v>
      </c>
      <c r="E741" s="1" t="n">
        <v>46219</v>
      </c>
      <c r="F741" t="inlineStr">
        <is>
          <t>VÄRMLANDS LÄN</t>
        </is>
      </c>
      <c r="G741" t="inlineStr">
        <is>
          <t>HAGFORS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36039-2025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45865</v>
      </c>
      <c r="E742" s="1" t="n">
        <v>46219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20880-2026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46142</v>
      </c>
      <c r="E743" s="1" t="n">
        <v>46219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26612-2026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46184</v>
      </c>
      <c r="E744" s="1" t="n">
        <v>46219</v>
      </c>
      <c r="F744" t="inlineStr">
        <is>
          <t>VÄRMLANDS LÄN</t>
        </is>
      </c>
      <c r="G744" t="inlineStr">
        <is>
          <t>HAGFORS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20798-2026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46141</v>
      </c>
      <c r="E745" s="1" t="n">
        <v>46219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32604-2025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45838</v>
      </c>
      <c r="E746" s="1" t="n">
        <v>46219</v>
      </c>
      <c r="F746" t="inlineStr">
        <is>
          <t>VÄRMLANDS LÄN</t>
        </is>
      </c>
      <c r="G746" t="inlineStr">
        <is>
          <t>HAGFORS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19391-2025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45769</v>
      </c>
      <c r="E747" s="1" t="n">
        <v>46219</v>
      </c>
      <c r="F747" t="inlineStr">
        <is>
          <t>VÄRMLANDS LÄN</t>
        </is>
      </c>
      <c r="G747" t="inlineStr">
        <is>
          <t>HAGFORS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7087-2026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46058</v>
      </c>
      <c r="E748" s="1" t="n">
        <v>46219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26660-2026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46184</v>
      </c>
      <c r="E749" s="1" t="n">
        <v>46219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40601-2021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44420</v>
      </c>
      <c r="E750" s="1" t="n">
        <v>46219</v>
      </c>
      <c r="F750" t="inlineStr">
        <is>
          <t>VÄRMLANDS LÄN</t>
        </is>
      </c>
      <c r="G750" t="inlineStr">
        <is>
          <t>HAGFORS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20911-2026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46142</v>
      </c>
      <c r="E751" s="1" t="n">
        <v>46219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20870-2026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46142</v>
      </c>
      <c r="E752" s="1" t="n">
        <v>46219</v>
      </c>
      <c r="F752" t="inlineStr">
        <is>
          <t>VÄRMLANDS LÄN</t>
        </is>
      </c>
      <c r="G752" t="inlineStr">
        <is>
          <t>HAGFORS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29269-2025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45824</v>
      </c>
      <c r="E753" s="1" t="n">
        <v>46219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20706-2026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46141</v>
      </c>
      <c r="E754" s="1" t="n">
        <v>46219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37027-2025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45874</v>
      </c>
      <c r="E755" s="1" t="n">
        <v>46219</v>
      </c>
      <c r="F755" t="inlineStr">
        <is>
          <t>VÄRMLANDS LÄN</t>
        </is>
      </c>
      <c r="G755" t="inlineStr">
        <is>
          <t>HAGFORS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26846-2026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46219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18.2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8830-2024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46219</v>
      </c>
      <c r="F757" t="inlineStr">
        <is>
          <t>VÄRMLANDS LÄN</t>
        </is>
      </c>
      <c r="G757" t="inlineStr">
        <is>
          <t>HAGFORS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43558-2024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45569</v>
      </c>
      <c r="E758" s="1" t="n">
        <v>46219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27306-2026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46188</v>
      </c>
      <c r="E759" s="1" t="n">
        <v>46219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21203-2026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46146</v>
      </c>
      <c r="E760" s="1" t="n">
        <v>46219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27280-2026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46219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26864-2026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46219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16153-2025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45750</v>
      </c>
      <c r="E763" s="1" t="n">
        <v>46219</v>
      </c>
      <c r="F763" t="inlineStr">
        <is>
          <t>VÄRMLANDS LÄN</t>
        </is>
      </c>
      <c r="G763" t="inlineStr">
        <is>
          <t>HAGFORS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27210-2026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46188</v>
      </c>
      <c r="E764" s="1" t="n">
        <v>46219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17.2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26858-2026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46219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20.5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26859-2026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46219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27268-2026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46219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27185-2025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45812</v>
      </c>
      <c r="E768" s="1" t="n">
        <v>46219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27394-2026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46189</v>
      </c>
      <c r="E769" s="1" t="n">
        <v>46219</v>
      </c>
      <c r="F769" t="inlineStr">
        <is>
          <t>VÄRMLANDS LÄN</t>
        </is>
      </c>
      <c r="G769" t="inlineStr">
        <is>
          <t>HAGFORS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27472-2026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46189</v>
      </c>
      <c r="E770" s="1" t="n">
        <v>46219</v>
      </c>
      <c r="F770" t="inlineStr">
        <is>
          <t>VÄRMLANDS LÄN</t>
        </is>
      </c>
      <c r="G770" t="inlineStr">
        <is>
          <t>HAGFORS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21879-2026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46150</v>
      </c>
      <c r="E771" s="1" t="n">
        <v>46219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21776-2026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46150</v>
      </c>
      <c r="E772" s="1" t="n">
        <v>46219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27929-2026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46191</v>
      </c>
      <c r="E773" s="1" t="n">
        <v>46219</v>
      </c>
      <c r="F773" t="inlineStr">
        <is>
          <t>VÄRMLANDS LÄN</t>
        </is>
      </c>
      <c r="G773" t="inlineStr">
        <is>
          <t>HAGFORS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21728-2026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46149</v>
      </c>
      <c r="E774" s="1" t="n">
        <v>46219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21762-2026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46150</v>
      </c>
      <c r="E775" s="1" t="n">
        <v>46219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27799-2026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46191</v>
      </c>
      <c r="E776" s="1" t="n">
        <v>46219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27855-2026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46191</v>
      </c>
      <c r="E777" s="1" t="n">
        <v>46219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28185-2026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46195</v>
      </c>
      <c r="E778" s="1" t="n">
        <v>46219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9.6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8129-2024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45351</v>
      </c>
      <c r="E779" s="1" t="n">
        <v>46219</v>
      </c>
      <c r="F779" t="inlineStr">
        <is>
          <t>VÄRMLANDS LÄN</t>
        </is>
      </c>
      <c r="G779" t="inlineStr">
        <is>
          <t>HAGFORS</t>
        </is>
      </c>
      <c r="H779" t="inlineStr">
        <is>
          <t>Kyrkan</t>
        </is>
      </c>
      <c r="I779" t="n">
        <v>10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28788-2026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46219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9.699999999999999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22667-2026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46155</v>
      </c>
      <c r="E781" s="1" t="n">
        <v>46219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5.9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22572-2026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46219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22516-2026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46219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14.9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28625-2026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46219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28748-2026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46219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28720-2026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46219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22588-2026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46155</v>
      </c>
      <c r="E787" s="1" t="n">
        <v>46219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6.7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22648-2026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46219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22556-2026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46155</v>
      </c>
      <c r="E789" s="1" t="n">
        <v>46219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22917-2026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46160</v>
      </c>
      <c r="E790" s="1" t="n">
        <v>46219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29103-2026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46200</v>
      </c>
      <c r="E791" s="1" t="n">
        <v>46219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29102-2026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46200</v>
      </c>
      <c r="E792" s="1" t="n">
        <v>46219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22911-2026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46160</v>
      </c>
      <c r="E793" s="1" t="n">
        <v>46219</v>
      </c>
      <c r="F793" t="inlineStr">
        <is>
          <t>VÄRMLANDS LÄN</t>
        </is>
      </c>
      <c r="G793" t="inlineStr">
        <is>
          <t>HAGFORS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22925-2026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46160</v>
      </c>
      <c r="E794" s="1" t="n">
        <v>46219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26740-2026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46184</v>
      </c>
      <c r="E795" s="1" t="n">
        <v>46219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46219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46219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937-2022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46219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931-2022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46219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262-2022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44578</v>
      </c>
      <c r="E800" s="1" t="n">
        <v>46219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78.90000000000001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907-2022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46219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43.5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913-2022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46219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898-2022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46219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900-2022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46219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914-2022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46219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4419-2023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46219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4420-2023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46219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4426-2023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46219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9.699999999999999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5512-2022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44834</v>
      </c>
      <c r="E809" s="1" t="n">
        <v>46219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4415-2023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46219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6970-2022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46219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4408-2023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46219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6968-2022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46219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4423-2023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46219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4418-2023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46219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651-2024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45356</v>
      </c>
      <c r="E816" s="1" t="n">
        <v>46219</v>
      </c>
      <c r="F816" t="inlineStr">
        <is>
          <t>VÄRMLANDS LÄN</t>
        </is>
      </c>
      <c r="G816" t="inlineStr">
        <is>
          <t>HAGFORS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4145-2023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46219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6967-2022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46219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27.1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89-2025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45316</v>
      </c>
      <c r="E819" s="1" t="n">
        <v>46219</v>
      </c>
      <c r="F819" t="inlineStr">
        <is>
          <t>VÄRMLANDS LÄN</t>
        </is>
      </c>
      <c r="G819" t="inlineStr">
        <is>
          <t>HAGFORS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6969-2022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46219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45680</v>
      </c>
      <c r="E821" s="1" t="n">
        <v>46219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4150-2023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46219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4410-2023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46219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46219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46219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46219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46219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46219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46219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46219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46219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46219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46219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46219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46219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46219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2026-07-16T01:24:24Z</dcterms:created>
  <dcterms:modified xmlns:dcterms="http://purl.org/dc/terms/" xmlns:xsi="http://www.w3.org/2001/XMLSchema-instance" xsi:type="dcterms:W3CDTF">2026-07-16T01:24:25Z</dcterms:modified>
</cp:coreProperties>
</file>