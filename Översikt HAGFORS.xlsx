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46315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46315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46315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46315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46315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46315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46315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46315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46315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46315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46315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46315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46315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46315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46315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46315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46315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46315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46315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46315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46315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46315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Tallticka</t>
        </is>
      </c>
      <c r="W33">
        <f>HYPERLINK("https://klasma.github.io/Logging_1783/artfynd/A 38267-2024 artfynd.xlsx", "A 38267-2024")</f>
        <v/>
      </c>
      <c r="X33">
        <f>HYPERLINK("https://klasma.github.io/Logging_1783/kartor/A 38267-2024 karta.png", "A 38267-2024")</f>
        <v/>
      </c>
      <c r="Y33">
        <f>HYPERLINK("https://klasma.github.io/Logging_1783/kartor_geotiff/A 38267-2024 georefererad karta.tif", "A 38267-2024")</f>
        <v/>
      </c>
      <c r="AA33">
        <f>HYPERLINK("https://klasma.github.io/Logging_1783/klagomål/A 38267-2024 FSC-klagomål.docx", "A 38267-2024")</f>
        <v/>
      </c>
      <c r="AB33">
        <f>HYPERLINK("https://klasma.github.io/Logging_1783/klagomålsmail/A 38267-2024 FSC-klagomål mail.docx", "A 38267-2024")</f>
        <v/>
      </c>
      <c r="AC33">
        <f>HYPERLINK("https://klasma.github.io/Logging_1783/tillsyn/A 38267-2024 tillsynsbegäran.docx", "A 38267-2024")</f>
        <v/>
      </c>
      <c r="AD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46315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Hökuggla</t>
        </is>
      </c>
      <c r="W34">
        <f>HYPERLINK("https://klasma.github.io/Logging_1783/artfynd/A 37152-2023 artfynd.xlsx", "A 37152-2023")</f>
        <v/>
      </c>
      <c r="X34">
        <f>HYPERLINK("https://klasma.github.io/Logging_1783/kartor/A 37152-2023 karta.png", "A 37152-2023")</f>
        <v/>
      </c>
      <c r="Y34">
        <f>HYPERLINK("https://klasma.github.io/Logging_1783/kartor_geotiff/A 37152-2023 georefererad karta.tif", "A 37152-2023")</f>
        <v/>
      </c>
      <c r="AA34">
        <f>HYPERLINK("https://klasma.github.io/Logging_1783/klagomål/A 37152-2023 FSC-klagomål.docx", "A 37152-2023")</f>
        <v/>
      </c>
      <c r="AB34">
        <f>HYPERLINK("https://klasma.github.io/Logging_1783/klagomålsmail/A 37152-2023 FSC-klagomål mail.docx", "A 37152-2023")</f>
        <v/>
      </c>
      <c r="AC34">
        <f>HYPERLINK("https://klasma.github.io/Logging_1783/tillsyn/A 37152-2023 tillsynsbegäran.docx", "A 37152-2023")</f>
        <v/>
      </c>
      <c r="AD34">
        <f>HYPERLINK("https://klasma.github.io/Logging_1783/tillsynsmail/A 37152-2023 tillsynsbegäran mail.docx", "A 37152-2023")</f>
        <v/>
      </c>
      <c r="AE34">
        <f>HYPERLINK("https://klasma.github.io/Logging_1783/fåglar/A 37152-2023 prioriterade fågelarter.docx", "A 37152-2023")</f>
        <v/>
      </c>
    </row>
    <row r="35" ht="15" customHeight="1">
      <c r="A35" t="inlineStr">
        <is>
          <t>A 34158-2025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45845</v>
      </c>
      <c r="E35" s="1" t="n">
        <v>46315</v>
      </c>
      <c r="F35" t="inlineStr">
        <is>
          <t>VÄRMLANDS LÄN</t>
        </is>
      </c>
      <c r="G35" t="inlineStr">
        <is>
          <t>HAGFORS</t>
        </is>
      </c>
      <c r="I35" t="n">
        <v>5.8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Korallblylav</t>
        </is>
      </c>
      <c r="W35">
        <f>HYPERLINK("https://klasma.github.io/Logging_1783/artfynd/A 34158-2025 artfynd.xlsx", "A 34158-2025")</f>
        <v/>
      </c>
      <c r="X35">
        <f>HYPERLINK("https://klasma.github.io/Logging_1783/kartor/A 34158-2025 karta.png", "A 34158-2025")</f>
        <v/>
      </c>
      <c r="Y35">
        <f>HYPERLINK("https://klasma.github.io/Logging_1783/kartor_geotiff/A 34158-2025 georefererad karta.tif", "A 34158-2025")</f>
        <v/>
      </c>
      <c r="AA35">
        <f>HYPERLINK("https://klasma.github.io/Logging_1783/klagomål/A 34158-2025 FSC-klagomål.docx", "A 34158-2025")</f>
        <v/>
      </c>
      <c r="AB35">
        <f>HYPERLINK("https://klasma.github.io/Logging_1783/klagomålsmail/A 34158-2025 FSC-klagomål mail.docx", "A 34158-2025")</f>
        <v/>
      </c>
      <c r="AC35">
        <f>HYPERLINK("https://klasma.github.io/Logging_1783/tillsyn/A 34158-2025 tillsynsbegäran.docx", "A 34158-2025")</f>
        <v/>
      </c>
      <c r="AD35">
        <f>HYPERLINK("https://klasma.github.io/Logging_1783/tillsynsmail/A 34158-2025 tillsynsbegäran mail.docx", "A 34158-2025")</f>
        <v/>
      </c>
    </row>
    <row r="36" ht="15" customHeight="1">
      <c r="A36" t="inlineStr">
        <is>
          <t>A 16319-2023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45028</v>
      </c>
      <c r="E36" s="1" t="n">
        <v>46315</v>
      </c>
      <c r="F36" t="inlineStr">
        <is>
          <t>VÄRMLANDS LÄN</t>
        </is>
      </c>
      <c r="G36" t="inlineStr">
        <is>
          <t>HAGFORS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HYPERLINK("https://klasma.github.io/Logging_1783/artfynd/A 16319-2023 artfynd.xlsx", "A 16319-2023")</f>
        <v/>
      </c>
      <c r="X36">
        <f>HYPERLINK("https://klasma.github.io/Logging_1783/kartor/A 16319-2023 karta.png", "A 16319-2023")</f>
        <v/>
      </c>
      <c r="Y36">
        <f>HYPERLINK("https://klasma.github.io/Logging_1783/kartor_geotiff/A 16319-2023 georefererad karta.tif", "A 16319-2023")</f>
        <v/>
      </c>
      <c r="AA36">
        <f>HYPERLINK("https://klasma.github.io/Logging_1783/klagomål/A 16319-2023 FSC-klagomål.docx", "A 16319-2023")</f>
        <v/>
      </c>
      <c r="AB36">
        <f>HYPERLINK("https://klasma.github.io/Logging_1783/klagomålsmail/A 16319-2023 FSC-klagomål mail.docx", "A 16319-2023")</f>
        <v/>
      </c>
      <c r="AC36">
        <f>HYPERLINK("https://klasma.github.io/Logging_1783/tillsyn/A 16319-2023 tillsynsbegäran.docx", "A 16319-2023")</f>
        <v/>
      </c>
      <c r="AD36">
        <f>HYPERLINK("https://klasma.github.io/Logging_1783/tillsynsmail/A 16319-2023 tillsynsbegäran mail.docx", "A 16319-2023")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46315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46315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55484-2025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46315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HYPERLINK("https://klasma.github.io/Logging_1783/artfynd/A 55484-2025 artfynd.xlsx", "A 55484-2025")</f>
        <v/>
      </c>
      <c r="X39">
        <f>HYPERLINK("https://klasma.github.io/Logging_1783/kartor/A 55484-2025 karta.png", "A 55484-2025")</f>
        <v/>
      </c>
      <c r="Y39">
        <f>HYPERLINK("https://klasma.github.io/Logging_1783/kartor_geotiff/A 55484-2025 georefererad karta.tif", "A 55484-2025")</f>
        <v/>
      </c>
      <c r="AA39">
        <f>HYPERLINK("https://klasma.github.io/Logging_1783/klagomål/A 55484-2025 FSC-klagomål.docx", "A 55484-2025")</f>
        <v/>
      </c>
      <c r="AB39">
        <f>HYPERLINK("https://klasma.github.io/Logging_1783/klagomålsmail/A 55484-2025 FSC-klagomål mail.docx", "A 55484-2025")</f>
        <v/>
      </c>
      <c r="AC39">
        <f>HYPERLINK("https://klasma.github.io/Logging_1783/tillsyn/A 55484-2025 tillsynsbegäran.docx", "A 55484-2025")</f>
        <v/>
      </c>
      <c r="AD39">
        <f>HYPERLINK("https://klasma.github.io/Logging_1783/tillsynsmail/A 55484-2025 tillsynsbegäran mail.docx", "A 55484-2025")</f>
        <v/>
      </c>
    </row>
    <row r="40" ht="15" customHeight="1">
      <c r="A40" t="inlineStr">
        <is>
          <t>A 6986-2022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44603</v>
      </c>
      <c r="E40" s="1" t="n">
        <v>46315</v>
      </c>
      <c r="F40" t="inlineStr">
        <is>
          <t>VÄRMLANDS LÄN</t>
        </is>
      </c>
      <c r="G40" t="inlineStr">
        <is>
          <t>HAGFORS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Vedticka</t>
        </is>
      </c>
      <c r="W40">
        <f>HYPERLINK("https://klasma.github.io/Logging_1783/artfynd/A 6986-2022 artfynd.xlsx", "A 6986-2022")</f>
        <v/>
      </c>
      <c r="X40">
        <f>HYPERLINK("https://klasma.github.io/Logging_1783/kartor/A 6986-2022 karta.png", "A 6986-2022")</f>
        <v/>
      </c>
      <c r="Y40">
        <f>HYPERLINK("https://klasma.github.io/Logging_1783/kartor_geotiff/A 6986-2022 georefererad karta.tif", "A 6986-2022")</f>
        <v/>
      </c>
      <c r="AA40">
        <f>HYPERLINK("https://klasma.github.io/Logging_1783/klagomål/A 6986-2022 FSC-klagomål.docx", "A 6986-2022")</f>
        <v/>
      </c>
      <c r="AB40">
        <f>HYPERLINK("https://klasma.github.io/Logging_1783/klagomålsmail/A 6986-2022 FSC-klagomål mail.docx", "A 6986-2022")</f>
        <v/>
      </c>
      <c r="AC40">
        <f>HYPERLINK("https://klasma.github.io/Logging_1783/tillsyn/A 6986-2022 tillsynsbegäran.docx", "A 6986-2022")</f>
        <v/>
      </c>
      <c r="AD40">
        <f>HYPERLINK("https://klasma.github.io/Logging_1783/tillsynsmail/A 6986-2022 tillsynsbegäran mail.docx", "A 6986-2022")</f>
        <v/>
      </c>
    </row>
    <row r="41" ht="15" customHeight="1">
      <c r="A41" t="inlineStr">
        <is>
          <t>A 24659-2026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46315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Garnlav</t>
        </is>
      </c>
      <c r="W41">
        <f>HYPERLINK("https://klasma.github.io/Logging_1783/artfynd/A 24659-2026 artfynd.xlsx", "A 24659-2026")</f>
        <v/>
      </c>
      <c r="X41">
        <f>HYPERLINK("https://klasma.github.io/Logging_1783/kartor/A 24659-2026 karta.png", "A 24659-2026")</f>
        <v/>
      </c>
      <c r="Y41">
        <f>HYPERLINK("https://klasma.github.io/Logging_1783/kartor_geotiff/A 24659-2026 georefererad karta.tif", "A 24659-2026")</f>
        <v/>
      </c>
      <c r="AA41">
        <f>HYPERLINK("https://klasma.github.io/Logging_1783/klagomål/A 24659-2026 FSC-klagomål.docx", "A 24659-2026")</f>
        <v/>
      </c>
      <c r="AB41">
        <f>HYPERLINK("https://klasma.github.io/Logging_1783/klagomålsmail/A 24659-2026 FSC-klagomål mail.docx", "A 24659-2026")</f>
        <v/>
      </c>
      <c r="AC41">
        <f>HYPERLINK("https://klasma.github.io/Logging_1783/tillsyn/A 24659-2026 tillsynsbegäran.docx", "A 24659-2026")</f>
        <v/>
      </c>
      <c r="AD41">
        <f>HYPERLINK("https://klasma.github.io/Logging_1783/tillsynsmail/A 24659-2026 tillsynsbegäran mail.docx", "A 24659-2026")</f>
        <v/>
      </c>
    </row>
    <row r="42" ht="15" customHeight="1">
      <c r="A42" t="inlineStr">
        <is>
          <t>A 24716-2026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46315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24716-2026 artfynd.xlsx", "A 24716-2026")</f>
        <v/>
      </c>
      <c r="X42">
        <f>HYPERLINK("https://klasma.github.io/Logging_1783/kartor/A 24716-2026 karta.png", "A 24716-2026")</f>
        <v/>
      </c>
      <c r="Y42">
        <f>HYPERLINK("https://klasma.github.io/Logging_1783/kartor_geotiff/A 24716-2026 georefererad karta.tif", "A 24716-2026")</f>
        <v/>
      </c>
      <c r="AA42">
        <f>HYPERLINK("https://klasma.github.io/Logging_1783/klagomål/A 24716-2026 FSC-klagomål.docx", "A 24716-2026")</f>
        <v/>
      </c>
      <c r="AB42">
        <f>HYPERLINK("https://klasma.github.io/Logging_1783/klagomålsmail/A 24716-2026 FSC-klagomål mail.docx", "A 24716-2026")</f>
        <v/>
      </c>
      <c r="AC42">
        <f>HYPERLINK("https://klasma.github.io/Logging_1783/tillsyn/A 24716-2026 tillsynsbegäran.docx", "A 24716-2026")</f>
        <v/>
      </c>
      <c r="AD42">
        <f>HYPERLINK("https://klasma.github.io/Logging_1783/tillsynsmail/A 24716-2026 tillsynsbegäran mail.docx", "A 24716-2026")</f>
        <v/>
      </c>
    </row>
    <row r="43" ht="15" customHeight="1">
      <c r="A43" t="inlineStr">
        <is>
          <t>A 62954-2025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46315</v>
      </c>
      <c r="F43" t="inlineStr">
        <is>
          <t>VÄRMLANDS LÄN</t>
        </is>
      </c>
      <c r="G43" t="inlineStr">
        <is>
          <t>HAGFORS</t>
        </is>
      </c>
      <c r="I43" t="n">
        <v>9.1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HYPERLINK("https://klasma.github.io/Logging_1783/artfynd/A 62954-2025 artfynd.xlsx", "A 62954-2025")</f>
        <v/>
      </c>
      <c r="X43">
        <f>HYPERLINK("https://klasma.github.io/Logging_1783/kartor/A 62954-2025 karta.png", "A 62954-2025")</f>
        <v/>
      </c>
      <c r="Y43">
        <f>HYPERLINK("https://klasma.github.io/Logging_1783/kartor_geotiff/A 62954-2025 georefererad karta.tif", "A 62954-2025")</f>
        <v/>
      </c>
      <c r="AA43">
        <f>HYPERLINK("https://klasma.github.io/Logging_1783/klagomål/A 62954-2025 FSC-klagomål.docx", "A 62954-2025")</f>
        <v/>
      </c>
      <c r="AB43">
        <f>HYPERLINK("https://klasma.github.io/Logging_1783/klagomålsmail/A 62954-2025 FSC-klagomål mail.docx", "A 62954-2025")</f>
        <v/>
      </c>
      <c r="AC43">
        <f>HYPERLINK("https://klasma.github.io/Logging_1783/tillsyn/A 62954-2025 tillsynsbegäran.docx", "A 62954-2025")</f>
        <v/>
      </c>
      <c r="AD43">
        <f>HYPERLINK("https://klasma.github.io/Logging_1783/tillsynsmail/A 62954-2025 tillsynsbegäran mail.docx", "A 62954-2025")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46315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Kolflarnlav</t>
        </is>
      </c>
      <c r="W44">
        <f>HYPERLINK("https://klasma.github.io/Logging_1783/artfynd/A 30524-2022 artfynd.xlsx", "A 30524-2022")</f>
        <v/>
      </c>
      <c r="X44">
        <f>HYPERLINK("https://klasma.github.io/Logging_1783/kartor/A 30524-2022 karta.png", "A 30524-2022")</f>
        <v/>
      </c>
      <c r="Y44">
        <f>HYPERLINK("https://klasma.github.io/Logging_1783/kartor_geotiff/A 30524-2022 georefererad karta.tif", "A 30524-2022")</f>
        <v/>
      </c>
      <c r="AA44">
        <f>HYPERLINK("https://klasma.github.io/Logging_1783/klagomål/A 30524-2022 FSC-klagomål.docx", "A 30524-2022")</f>
        <v/>
      </c>
      <c r="AB44">
        <f>HYPERLINK("https://klasma.github.io/Logging_1783/klagomålsmail/A 30524-2022 FSC-klagomål mail.docx", "A 30524-2022")</f>
        <v/>
      </c>
      <c r="AC44">
        <f>HYPERLINK("https://klasma.github.io/Logging_1783/tillsyn/A 30524-2022 tillsynsbegäran.docx", "A 30524-2022")</f>
        <v/>
      </c>
      <c r="AD44">
        <f>HYPERLINK("https://klasma.github.io/Logging_1783/tillsynsmail/A 30524-2022 tillsynsbegäran mail.docx", "A 30524-2022")</f>
        <v/>
      </c>
    </row>
    <row r="45" ht="15" customHeight="1">
      <c r="A45" t="inlineStr">
        <is>
          <t>A 44095-2023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46315</v>
      </c>
      <c r="F45" t="inlineStr">
        <is>
          <t>VÄRMLANDS LÄN</t>
        </is>
      </c>
      <c r="G45" t="inlineStr">
        <is>
          <t>HAGFORS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44095-2023 artfynd.xlsx", "A 44095-2023")</f>
        <v/>
      </c>
      <c r="X45">
        <f>HYPERLINK("https://klasma.github.io/Logging_1783/kartor/A 44095-2023 karta.png", "A 44095-2023")</f>
        <v/>
      </c>
      <c r="Y45">
        <f>HYPERLINK("https://klasma.github.io/Logging_1783/kartor_geotiff/A 44095-2023 georefererad karta.tif", "A 44095-2023")</f>
        <v/>
      </c>
      <c r="AA45">
        <f>HYPERLINK("https://klasma.github.io/Logging_1783/klagomål/A 44095-2023 FSC-klagomål.docx", "A 44095-2023")</f>
        <v/>
      </c>
      <c r="AB45">
        <f>HYPERLINK("https://klasma.github.io/Logging_1783/klagomålsmail/A 44095-2023 FSC-klagomål mail.docx", "A 44095-2023")</f>
        <v/>
      </c>
      <c r="AC45">
        <f>HYPERLINK("https://klasma.github.io/Logging_1783/tillsyn/A 44095-2023 tillsynsbegäran.docx", "A 44095-2023")</f>
        <v/>
      </c>
      <c r="AD45">
        <f>HYPERLINK("https://klasma.github.io/Logging_1783/tillsynsmail/A 44095-2023 tillsynsbegäran mail.docx", "A 44095-2023")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46315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8254-2026 artfynd.xlsx", "A 8254-2026")</f>
        <v/>
      </c>
      <c r="X46">
        <f>HYPERLINK("https://klasma.github.io/Logging_1783/kartor/A 8254-2026 karta.png", "A 8254-2026")</f>
        <v/>
      </c>
      <c r="Y46">
        <f>HYPERLINK("https://klasma.github.io/Logging_1783/kartor_geotiff/A 8254-2026 georefererad karta.tif", "A 8254-2026")</f>
        <v/>
      </c>
      <c r="AA46">
        <f>HYPERLINK("https://klasma.github.io/Logging_1783/klagomål/A 8254-2026 FSC-klagomål.docx", "A 8254-2026")</f>
        <v/>
      </c>
      <c r="AB46">
        <f>HYPERLINK("https://klasma.github.io/Logging_1783/klagomålsmail/A 8254-2026 FSC-klagomål mail.docx", "A 8254-2026")</f>
        <v/>
      </c>
      <c r="AC46">
        <f>HYPERLINK("https://klasma.github.io/Logging_1783/tillsyn/A 8254-2026 tillsynsbegäran.docx", "A 8254-2026")</f>
        <v/>
      </c>
      <c r="AD46">
        <f>HYPERLINK("https://klasma.github.io/Logging_1783/tillsynsmail/A 8254-2026 tillsynsbegäran mail.docx", "A 8254-2026")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46315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46315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51194-2022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46315</v>
      </c>
      <c r="F49" t="inlineStr">
        <is>
          <t>VÄRMLANDS LÄN</t>
        </is>
      </c>
      <c r="G49" t="inlineStr">
        <is>
          <t>HAGFORS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HYPERLINK("https://klasma.github.io/Logging_1783/artfynd/A 51194-2022 artfynd.xlsx", "A 51194-2022")</f>
        <v/>
      </c>
      <c r="X49">
        <f>HYPERLINK("https://klasma.github.io/Logging_1783/kartor/A 51194-2022 karta.png", "A 51194-2022")</f>
        <v/>
      </c>
      <c r="Y49">
        <f>HYPERLINK("https://klasma.github.io/Logging_1783/kartor_geotiff/A 51194-2022 georefererad karta.tif", "A 51194-2022")</f>
        <v/>
      </c>
      <c r="AA49">
        <f>HYPERLINK("https://klasma.github.io/Logging_1783/klagomål/A 51194-2022 FSC-klagomål.docx", "A 51194-2022")</f>
        <v/>
      </c>
      <c r="AB49">
        <f>HYPERLINK("https://klasma.github.io/Logging_1783/klagomålsmail/A 51194-2022 FSC-klagomål mail.docx", "A 51194-2022")</f>
        <v/>
      </c>
      <c r="AC49">
        <f>HYPERLINK("https://klasma.github.io/Logging_1783/tillsyn/A 51194-2022 tillsynsbegäran.docx", "A 51194-2022")</f>
        <v/>
      </c>
      <c r="AD49">
        <f>HYPERLINK("https://klasma.github.io/Logging_1783/tillsynsmail/A 51194-2022 tillsynsbegäran mail.docx", "A 51194-2022")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46315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29432-2026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46203</v>
      </c>
      <c r="E51" s="1" t="n">
        <v>46315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3.1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Vedtrappmossa</t>
        </is>
      </c>
      <c r="W51">
        <f>HYPERLINK("https://klasma.github.io/Logging_1783/artfynd/A 29432-2026 artfynd.xlsx", "A 29432-2026")</f>
        <v/>
      </c>
      <c r="X51">
        <f>HYPERLINK("https://klasma.github.io/Logging_1783/kartor/A 29432-2026 karta.png", "A 29432-2026")</f>
        <v/>
      </c>
      <c r="Y51">
        <f>HYPERLINK("https://klasma.github.io/Logging_1783/kartor_geotiff/A 29432-2026 georefererad karta.tif", "A 29432-2026")</f>
        <v/>
      </c>
      <c r="AA51">
        <f>HYPERLINK("https://klasma.github.io/Logging_1783/klagomål/A 29432-2026 FSC-klagomål.docx", "A 29432-2026")</f>
        <v/>
      </c>
      <c r="AB51">
        <f>HYPERLINK("https://klasma.github.io/Logging_1783/klagomålsmail/A 29432-2026 FSC-klagomål mail.docx", "A 29432-2026")</f>
        <v/>
      </c>
      <c r="AC51">
        <f>HYPERLINK("https://klasma.github.io/Logging_1783/tillsyn/A 29432-2026 tillsynsbegäran.docx", "A 29432-2026")</f>
        <v/>
      </c>
      <c r="AD51">
        <f>HYPERLINK("https://klasma.github.io/Logging_1783/tillsynsmail/A 29432-2026 tillsynsbegäran mail.docx", "A 29432-2026")</f>
        <v/>
      </c>
    </row>
    <row r="52" ht="15" customHeight="1">
      <c r="A52" t="inlineStr">
        <is>
          <t>A 14850-2025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45743</v>
      </c>
      <c r="E52" s="1" t="n">
        <v>46315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HYPERLINK("https://klasma.github.io/Logging_1783/artfynd/A 14850-2025 artfynd.xlsx", "A 14850-2025")</f>
        <v/>
      </c>
      <c r="X52">
        <f>HYPERLINK("https://klasma.github.io/Logging_1783/kartor/A 14850-2025 karta.png", "A 14850-2025")</f>
        <v/>
      </c>
      <c r="Y52">
        <f>HYPERLINK("https://klasma.github.io/Logging_1783/kartor_geotiff/A 14850-2025 georefererad karta.tif", "A 14850-2025")</f>
        <v/>
      </c>
      <c r="AA52">
        <f>HYPERLINK("https://klasma.github.io/Logging_1783/klagomål/A 14850-2025 FSC-klagomål.docx", "A 14850-2025")</f>
        <v/>
      </c>
      <c r="AB52">
        <f>HYPERLINK("https://klasma.github.io/Logging_1783/klagomålsmail/A 14850-2025 FSC-klagomål mail.docx", "A 14850-2025")</f>
        <v/>
      </c>
      <c r="AC52">
        <f>HYPERLINK("https://klasma.github.io/Logging_1783/tillsyn/A 14850-2025 tillsynsbegäran.docx", "A 14850-2025")</f>
        <v/>
      </c>
      <c r="AD52">
        <f>HYPERLINK("https://klasma.github.io/Logging_1783/tillsynsmail/A 14850-2025 tillsynsbegäran mail.docx", "A 14850-2025")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46315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32592-2026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46240</v>
      </c>
      <c r="E54" s="1" t="n">
        <v>46315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HYPERLINK("https://klasma.github.io/Logging_1783/artfynd/A 32592-2026 artfynd.xlsx", "A 32592-2026")</f>
        <v/>
      </c>
      <c r="X54">
        <f>HYPERLINK("https://klasma.github.io/Logging_1783/kartor/A 32592-2026 karta.png", "A 32592-2026")</f>
        <v/>
      </c>
      <c r="Y54">
        <f>HYPERLINK("https://klasma.github.io/Logging_1783/kartor_geotiff/A 32592-2026 georefererad karta.tif", "A 32592-2026")</f>
        <v/>
      </c>
      <c r="AA54">
        <f>HYPERLINK("https://klasma.github.io/Logging_1783/klagomål/A 32592-2026 FSC-klagomål.docx", "A 32592-2026")</f>
        <v/>
      </c>
      <c r="AB54">
        <f>HYPERLINK("https://klasma.github.io/Logging_1783/klagomålsmail/A 32592-2026 FSC-klagomål mail.docx", "A 32592-2026")</f>
        <v/>
      </c>
      <c r="AC54">
        <f>HYPERLINK("https://klasma.github.io/Logging_1783/tillsyn/A 32592-2026 tillsynsbegäran.docx", "A 32592-2026")</f>
        <v/>
      </c>
      <c r="AD54">
        <f>HYPERLINK("https://klasma.github.io/Logging_1783/tillsynsmail/A 32592-2026 tillsynsbegäran mail.docx", "A 32592-2026")</f>
        <v/>
      </c>
    </row>
    <row r="55" ht="15" customHeight="1">
      <c r="A55" t="inlineStr">
        <is>
          <t>A 21309-2023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45062</v>
      </c>
      <c r="E55" s="1" t="n">
        <v>46315</v>
      </c>
      <c r="F55" t="inlineStr">
        <is>
          <t>VÄRMLANDS LÄN</t>
        </is>
      </c>
      <c r="G55" t="inlineStr">
        <is>
          <t>HAGFORS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Kattfot</t>
        </is>
      </c>
      <c r="W55">
        <f>HYPERLINK("https://klasma.github.io/Logging_1783/artfynd/A 21309-2023 artfynd.xlsx", "A 21309-2023")</f>
        <v/>
      </c>
      <c r="X55">
        <f>HYPERLINK("https://klasma.github.io/Logging_1783/kartor/A 21309-2023 karta.png", "A 21309-2023")</f>
        <v/>
      </c>
      <c r="Y55">
        <f>HYPERLINK("https://klasma.github.io/Logging_1783/kartor_geotiff/A 21309-2023 georefererad karta.tif", "A 21309-2023")</f>
        <v/>
      </c>
      <c r="AA55">
        <f>HYPERLINK("https://klasma.github.io/Logging_1783/klagomål/A 21309-2023 FSC-klagomål.docx", "A 21309-2023")</f>
        <v/>
      </c>
      <c r="AB55">
        <f>HYPERLINK("https://klasma.github.io/Logging_1783/klagomålsmail/A 21309-2023 FSC-klagomål mail.docx", "A 21309-2023")</f>
        <v/>
      </c>
      <c r="AC55">
        <f>HYPERLINK("https://klasma.github.io/Logging_1783/tillsyn/A 21309-2023 tillsynsbegäran.docx", "A 21309-2023")</f>
        <v/>
      </c>
      <c r="AD55">
        <f>HYPERLINK("https://klasma.github.io/Logging_1783/tillsynsmail/A 21309-2023 tillsynsbegäran mail.docx", "A 21309-2023")</f>
        <v/>
      </c>
    </row>
    <row r="56" ht="15" customHeight="1">
      <c r="A56" t="inlineStr">
        <is>
          <t>A 40211-2026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46290</v>
      </c>
      <c r="E56" s="1" t="n">
        <v>46315</v>
      </c>
      <c r="F56" t="inlineStr">
        <is>
          <t>VÄRMLANDS LÄN</t>
        </is>
      </c>
      <c r="G56" t="inlineStr">
        <is>
          <t>HAGFORS</t>
        </is>
      </c>
      <c r="I56" t="n">
        <v>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HYPERLINK("https://klasma.github.io/Logging_1783/artfynd/A 40211-2026 artfynd.xlsx", "A 40211-2026")</f>
        <v/>
      </c>
      <c r="X56">
        <f>HYPERLINK("https://klasma.github.io/Logging_1783/kartor/A 40211-2026 karta.png", "A 40211-2026")</f>
        <v/>
      </c>
      <c r="Y56">
        <f>HYPERLINK("https://klasma.github.io/Logging_1783/kartor_geotiff/A 40211-2026 georefererad karta.tif", "A 40211-2026")</f>
        <v/>
      </c>
      <c r="AA56">
        <f>HYPERLINK("https://klasma.github.io/Logging_1783/klagomål/A 40211-2026 FSC-klagomål.docx", "A 40211-2026")</f>
        <v/>
      </c>
      <c r="AB56">
        <f>HYPERLINK("https://klasma.github.io/Logging_1783/klagomålsmail/A 40211-2026 FSC-klagomål mail.docx", "A 40211-2026")</f>
        <v/>
      </c>
      <c r="AC56">
        <f>HYPERLINK("https://klasma.github.io/Logging_1783/tillsyn/A 40211-2026 tillsynsbegäran.docx", "A 40211-2026")</f>
        <v/>
      </c>
      <c r="AD56">
        <f>HYPERLINK("https://klasma.github.io/Logging_1783/tillsynsmail/A 40211-2026 tillsynsbegäran mail.docx", "A 40211-2026")</f>
        <v/>
      </c>
    </row>
    <row r="57" ht="15" customHeight="1">
      <c r="A57" t="inlineStr">
        <is>
          <t>A 22484-2025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46315</v>
      </c>
      <c r="F57" t="inlineStr">
        <is>
          <t>VÄRMLANDS LÄN</t>
        </is>
      </c>
      <c r="G57" t="inlineStr">
        <is>
          <t>HAGFORS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HYPERLINK("https://klasma.github.io/Logging_1783/artfynd/A 22484-2025 artfynd.xlsx", "A 22484-2025")</f>
        <v/>
      </c>
      <c r="X57">
        <f>HYPERLINK("https://klasma.github.io/Logging_1783/kartor/A 22484-2025 karta.png", "A 22484-2025")</f>
        <v/>
      </c>
      <c r="Y57">
        <f>HYPERLINK("https://klasma.github.io/Logging_1783/kartor_geotiff/A 22484-2025 georefererad karta.tif", "A 22484-2025")</f>
        <v/>
      </c>
      <c r="AA57">
        <f>HYPERLINK("https://klasma.github.io/Logging_1783/klagomål/A 22484-2025 FSC-klagomål.docx", "A 22484-2025")</f>
        <v/>
      </c>
      <c r="AB57">
        <f>HYPERLINK("https://klasma.github.io/Logging_1783/klagomålsmail/A 22484-2025 FSC-klagomål mail.docx", "A 22484-2025")</f>
        <v/>
      </c>
      <c r="AC57">
        <f>HYPERLINK("https://klasma.github.io/Logging_1783/tillsyn/A 22484-2025 tillsynsbegäran.docx", "A 22484-2025")</f>
        <v/>
      </c>
      <c r="AD57">
        <f>HYPERLINK("https://klasma.github.io/Logging_1783/tillsynsmail/A 22484-2025 tillsynsbegäran mail.docx", "A 22484-2025")</f>
        <v/>
      </c>
    </row>
    <row r="58" ht="15" customHeight="1">
      <c r="A58" t="inlineStr">
        <is>
          <t>A 24885-2025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46315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Mörk husmossa</t>
        </is>
      </c>
      <c r="W58">
        <f>HYPERLINK("https://klasma.github.io/Logging_1783/artfynd/A 24885-2025 artfynd.xlsx", "A 24885-2025")</f>
        <v/>
      </c>
      <c r="X58">
        <f>HYPERLINK("https://klasma.github.io/Logging_1783/kartor/A 24885-2025 karta.png", "A 24885-2025")</f>
        <v/>
      </c>
      <c r="Y58">
        <f>HYPERLINK("https://klasma.github.io/Logging_1783/kartor_geotiff/A 24885-2025 georefererad karta.tif", "A 24885-2025")</f>
        <v/>
      </c>
      <c r="AA58">
        <f>HYPERLINK("https://klasma.github.io/Logging_1783/klagomål/A 24885-2025 FSC-klagomål.docx", "A 24885-2025")</f>
        <v/>
      </c>
      <c r="AB58">
        <f>HYPERLINK("https://klasma.github.io/Logging_1783/klagomålsmail/A 24885-2025 FSC-klagomål mail.docx", "A 24885-2025")</f>
        <v/>
      </c>
      <c r="AC58">
        <f>HYPERLINK("https://klasma.github.io/Logging_1783/tillsyn/A 24885-2025 tillsynsbegäran.docx", "A 24885-2025")</f>
        <v/>
      </c>
      <c r="AD58">
        <f>HYPERLINK("https://klasma.github.io/Logging_1783/tillsynsmail/A 24885-2025 tillsynsbegäran mail.docx", "A 24885-2025")</f>
        <v/>
      </c>
    </row>
    <row r="59" ht="15" customHeight="1">
      <c r="A59" t="inlineStr">
        <is>
          <t>A 26624-2025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45810</v>
      </c>
      <c r="E59" s="1" t="n">
        <v>46315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HYPERLINK("https://klasma.github.io/Logging_1783/artfynd/A 26624-2025 artfynd.xlsx", "A 26624-2025")</f>
        <v/>
      </c>
      <c r="X59">
        <f>HYPERLINK("https://klasma.github.io/Logging_1783/kartor/A 26624-2025 karta.png", "A 26624-2025")</f>
        <v/>
      </c>
      <c r="Y59">
        <f>HYPERLINK("https://klasma.github.io/Logging_1783/kartor_geotiff/A 26624-2025 georefererad karta.tif", "A 26624-2025")</f>
        <v/>
      </c>
      <c r="AA59">
        <f>HYPERLINK("https://klasma.github.io/Logging_1783/klagomål/A 26624-2025 FSC-klagomål.docx", "A 26624-2025")</f>
        <v/>
      </c>
      <c r="AB59">
        <f>HYPERLINK("https://klasma.github.io/Logging_1783/klagomålsmail/A 26624-2025 FSC-klagomål mail.docx", "A 26624-2025")</f>
        <v/>
      </c>
      <c r="AC59">
        <f>HYPERLINK("https://klasma.github.io/Logging_1783/tillsyn/A 26624-2025 tillsynsbegäran.docx", "A 26624-2025")</f>
        <v/>
      </c>
      <c r="AD59">
        <f>HYPERLINK("https://klasma.github.io/Logging_1783/tillsynsmail/A 26624-2025 tillsynsbegäran mail.docx", "A 26624-2025")</f>
        <v/>
      </c>
    </row>
    <row r="60" ht="15" customHeight="1">
      <c r="A60" t="inlineStr">
        <is>
          <t>A 35679-2026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46265</v>
      </c>
      <c r="E60" s="1" t="n">
        <v>46315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HYPERLINK("https://klasma.github.io/Logging_1783/artfynd/A 35679-2026 artfynd.xlsx", "A 35679-2026")</f>
        <v/>
      </c>
      <c r="X60">
        <f>HYPERLINK("https://klasma.github.io/Logging_1783/kartor/A 35679-2026 karta.png", "A 35679-2026")</f>
        <v/>
      </c>
      <c r="Y60">
        <f>HYPERLINK("https://klasma.github.io/Logging_1783/kartor_geotiff/A 35679-2026 georefererad karta.tif", "A 35679-2026")</f>
        <v/>
      </c>
      <c r="AA60">
        <f>HYPERLINK("https://klasma.github.io/Logging_1783/klagomål/A 35679-2026 FSC-klagomål.docx", "A 35679-2026")</f>
        <v/>
      </c>
      <c r="AB60">
        <f>HYPERLINK("https://klasma.github.io/Logging_1783/klagomålsmail/A 35679-2026 FSC-klagomål mail.docx", "A 35679-2026")</f>
        <v/>
      </c>
      <c r="AC60">
        <f>HYPERLINK("https://klasma.github.io/Logging_1783/tillsyn/A 35679-2026 tillsynsbegäran.docx", "A 35679-2026")</f>
        <v/>
      </c>
      <c r="AD60">
        <f>HYPERLINK("https://klasma.github.io/Logging_1783/tillsynsmail/A 35679-2026 tillsynsbegäran mail.docx", "A 35679-2026")</f>
        <v/>
      </c>
      <c r="AE60">
        <f>HYPERLINK("https://klasma.github.io/Logging_1783/fåglar/A 35679-2026 prioriterade fågelarter.docx", "A 35679-2026")</f>
        <v/>
      </c>
    </row>
    <row r="61" ht="15" customHeight="1">
      <c r="A61" t="inlineStr">
        <is>
          <t>A 3199-2022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46315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Tofsmes</t>
        </is>
      </c>
      <c r="W61">
        <f>HYPERLINK("https://klasma.github.io/Logging_1783/artfynd/A 3199-2022 artfynd.xlsx", "A 3199-2022")</f>
        <v/>
      </c>
      <c r="X61">
        <f>HYPERLINK("https://klasma.github.io/Logging_1783/kartor/A 3199-2022 karta.png", "A 3199-2022")</f>
        <v/>
      </c>
      <c r="Y61">
        <f>HYPERLINK("https://klasma.github.io/Logging_1783/kartor_geotiff/A 3199-2022 georefererad karta.tif", "A 3199-2022")</f>
        <v/>
      </c>
      <c r="AA61">
        <f>HYPERLINK("https://klasma.github.io/Logging_1783/klagomål/A 3199-2022 FSC-klagomål.docx", "A 3199-2022")</f>
        <v/>
      </c>
      <c r="AB61">
        <f>HYPERLINK("https://klasma.github.io/Logging_1783/klagomålsmail/A 3199-2022 FSC-klagomål mail.docx", "A 3199-2022")</f>
        <v/>
      </c>
      <c r="AC61">
        <f>HYPERLINK("https://klasma.github.io/Logging_1783/tillsyn/A 3199-2022 tillsynsbegäran.docx", "A 3199-2022")</f>
        <v/>
      </c>
      <c r="AD61">
        <f>HYPERLINK("https://klasma.github.io/Logging_1783/tillsynsmail/A 3199-2022 tillsynsbegäran mail.docx", "A 3199-2022")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46315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46315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46315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A 20119-2025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46315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HYPERLINK("https://klasma.github.io/Logging_1783/artfynd/A 20119-2025 artfynd.xlsx", "A 20119-2025")</f>
        <v/>
      </c>
      <c r="X65">
        <f>HYPERLINK("https://klasma.github.io/Logging_1783/kartor/A 20119-2025 karta.png", "A 20119-2025")</f>
        <v/>
      </c>
      <c r="Y65">
        <f>HYPERLINK("https://klasma.github.io/Logging_1783/kartor_geotiff/A 20119-2025 georefererad karta.tif", "A 20119-2025")</f>
        <v/>
      </c>
      <c r="AA65">
        <f>HYPERLINK("https://klasma.github.io/Logging_1783/klagomål/A 20119-2025 FSC-klagomål.docx", "A 20119-2025")</f>
        <v/>
      </c>
      <c r="AB65">
        <f>HYPERLINK("https://klasma.github.io/Logging_1783/klagomålsmail/A 20119-2025 FSC-klagomål mail.docx", "A 20119-2025")</f>
        <v/>
      </c>
      <c r="AC65">
        <f>HYPERLINK("https://klasma.github.io/Logging_1783/tillsyn/A 20119-2025 tillsynsbegäran.docx", "A 20119-2025")</f>
        <v/>
      </c>
      <c r="AD65">
        <f>HYPERLINK("https://klasma.github.io/Logging_1783/tillsynsmail/A 20119-2025 tillsynsbegäran mail.docx", "A 20119-2025")</f>
        <v/>
      </c>
      <c r="AE65">
        <f>HYPERLINK("https://klasma.github.io/Logging_1783/fåglar/A 20119-2025 prioriterade fågelarter.docx", "A 20119-2025")</f>
        <v/>
      </c>
    </row>
    <row r="66" ht="15" customHeight="1">
      <c r="A66" t="inlineStr">
        <is>
          <t>A 33905-2025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45842</v>
      </c>
      <c r="E66" s="1" t="n">
        <v>46315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7.8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Utter</t>
        </is>
      </c>
      <c r="W66">
        <f>HYPERLINK("https://klasma.github.io/Logging_1783/artfynd/A 33905-2025 artfynd.xlsx", "A 33905-2025")</f>
        <v/>
      </c>
      <c r="X66">
        <f>HYPERLINK("https://klasma.github.io/Logging_1783/kartor/A 33905-2025 karta.png", "A 33905-2025")</f>
        <v/>
      </c>
      <c r="Y66">
        <f>HYPERLINK("https://klasma.github.io/Logging_1783/kartor_geotiff/A 33905-2025 georefererad karta.tif", "A 33905-2025")</f>
        <v/>
      </c>
      <c r="AA66">
        <f>HYPERLINK("https://klasma.github.io/Logging_1783/klagomål/A 33905-2025 FSC-klagomål.docx", "A 33905-2025")</f>
        <v/>
      </c>
      <c r="AB66">
        <f>HYPERLINK("https://klasma.github.io/Logging_1783/klagomålsmail/A 33905-2025 FSC-klagomål mail.docx", "A 33905-2025")</f>
        <v/>
      </c>
      <c r="AC66">
        <f>HYPERLINK("https://klasma.github.io/Logging_1783/tillsyn/A 33905-2025 tillsynsbegäran.docx", "A 33905-2025")</f>
        <v/>
      </c>
      <c r="AD66">
        <f>HYPERLINK("https://klasma.github.io/Logging_1783/tillsynsmail/A 33905-2025 tillsynsbegäran mail.docx", "A 33905-2025")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46315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46315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46315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46315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46315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46315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46315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46315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46315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46315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46315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46315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46315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46315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46315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46315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46315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46315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46315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46315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46315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46315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46315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46315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46315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46315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46315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46315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46315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46315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46315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46315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46315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46315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46315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46315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46315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46315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46315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46315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46315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46315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46315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46315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46315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46315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45681</v>
      </c>
      <c r="E113" s="1" t="n">
        <v>46315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46315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46315</v>
      </c>
      <c r="F115" t="inlineStr">
        <is>
          <t>VÄRMLANDS LÄN</t>
        </is>
      </c>
      <c r="G115" t="inlineStr">
        <is>
          <t>HAGFORS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46315</v>
      </c>
      <c r="F116" t="inlineStr">
        <is>
          <t>VÄRMLANDS LÄN</t>
        </is>
      </c>
      <c r="G116" t="inlineStr">
        <is>
          <t>HAGFORS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46315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46315</v>
      </c>
      <c r="F118" t="inlineStr">
        <is>
          <t>VÄRMLANDS LÄN</t>
        </is>
      </c>
      <c r="G118" t="inlineStr">
        <is>
          <t>HAGFORS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46315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44770</v>
      </c>
      <c r="E120" s="1" t="n">
        <v>46315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15538-2024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45401</v>
      </c>
      <c r="E121" s="1" t="n">
        <v>46315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45338</v>
      </c>
      <c r="E122" s="1" t="n">
        <v>46315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45203</v>
      </c>
      <c r="E123" s="1" t="n">
        <v>46315</v>
      </c>
      <c r="F123" t="inlineStr">
        <is>
          <t>VÄRMLANDS LÄN</t>
        </is>
      </c>
      <c r="G123" t="inlineStr">
        <is>
          <t>HAGFORS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46315</v>
      </c>
      <c r="F124" t="inlineStr">
        <is>
          <t>VÄRMLANDS LÄN</t>
        </is>
      </c>
      <c r="G124" t="inlineStr">
        <is>
          <t>HAGFORS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45441</v>
      </c>
      <c r="E125" s="1" t="n">
        <v>46315</v>
      </c>
      <c r="F125" t="inlineStr">
        <is>
          <t>VÄRMLANDS LÄN</t>
        </is>
      </c>
      <c r="G125" t="inlineStr">
        <is>
          <t>HAGFORS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46315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46315</v>
      </c>
      <c r="F127" t="inlineStr">
        <is>
          <t>VÄRMLANDS LÄN</t>
        </is>
      </c>
      <c r="G127" t="inlineStr">
        <is>
          <t>HAGFORS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46315</v>
      </c>
      <c r="F128" t="inlineStr">
        <is>
          <t>VÄRMLANDS LÄN</t>
        </is>
      </c>
      <c r="G128" t="inlineStr">
        <is>
          <t>HAGFORS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46315</v>
      </c>
      <c r="F129" t="inlineStr">
        <is>
          <t>VÄRMLANDS LÄN</t>
        </is>
      </c>
      <c r="G129" t="inlineStr">
        <is>
          <t>HAGFORS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46315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46315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46315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46315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46315</v>
      </c>
      <c r="F134" t="inlineStr">
        <is>
          <t>VÄRMLANDS LÄN</t>
        </is>
      </c>
      <c r="G134" t="inlineStr">
        <is>
          <t>HAGFORS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45527</v>
      </c>
      <c r="E135" s="1" t="n">
        <v>46315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46315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46315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46315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46315</v>
      </c>
      <c r="F139" t="inlineStr">
        <is>
          <t>VÄRMLANDS LÄN</t>
        </is>
      </c>
      <c r="G139" t="inlineStr">
        <is>
          <t>HAGFORS</t>
        </is>
      </c>
      <c r="I139" t="n">
        <v>11.5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46315</v>
      </c>
      <c r="F140" t="inlineStr">
        <is>
          <t>VÄRMLANDS LÄN</t>
        </is>
      </c>
      <c r="G140" t="inlineStr">
        <is>
          <t>HAGFORS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46315</v>
      </c>
      <c r="F141" t="inlineStr">
        <is>
          <t>VÄRMLANDS LÄN</t>
        </is>
      </c>
      <c r="G141" t="inlineStr">
        <is>
          <t>HAGFORS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46315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46315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46315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45258</v>
      </c>
      <c r="E145" s="1" t="n">
        <v>46315</v>
      </c>
      <c r="F145" t="inlineStr">
        <is>
          <t>VÄRMLANDS LÄN</t>
        </is>
      </c>
      <c r="G145" t="inlineStr">
        <is>
          <t>HAGFORS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46315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46315</v>
      </c>
      <c r="F147" t="inlineStr">
        <is>
          <t>VÄRMLANDS LÄN</t>
        </is>
      </c>
      <c r="G147" t="inlineStr">
        <is>
          <t>HAGFORS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58808-2022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46315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61169-2024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45645</v>
      </c>
      <c r="E149" s="1" t="n">
        <v>46315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45366</v>
      </c>
      <c r="E150" s="1" t="n">
        <v>46315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46315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45632</v>
      </c>
      <c r="E152" s="1" t="n">
        <v>46315</v>
      </c>
      <c r="F152" t="inlineStr">
        <is>
          <t>VÄRMLANDS LÄN</t>
        </is>
      </c>
      <c r="G152" t="inlineStr">
        <is>
          <t>HAGFORS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46315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71447-2021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46315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46315</v>
      </c>
      <c r="F155" t="inlineStr">
        <is>
          <t>VÄRMLANDS LÄN</t>
        </is>
      </c>
      <c r="G155" t="inlineStr">
        <is>
          <t>HAGFORS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46315</v>
      </c>
      <c r="F156" t="inlineStr">
        <is>
          <t>VÄRMLANDS LÄN</t>
        </is>
      </c>
      <c r="G156" t="inlineStr">
        <is>
          <t>HAGFORS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44582</v>
      </c>
      <c r="E157" s="1" t="n">
        <v>46315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45050</v>
      </c>
      <c r="E158" s="1" t="n">
        <v>46315</v>
      </c>
      <c r="F158" t="inlineStr">
        <is>
          <t>VÄRMLANDS LÄN</t>
        </is>
      </c>
      <c r="G158" t="inlineStr">
        <is>
          <t>HAGFORS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46315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46315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46315</v>
      </c>
      <c r="F161" t="inlineStr">
        <is>
          <t>VÄRMLANDS LÄN</t>
        </is>
      </c>
      <c r="G161" t="inlineStr">
        <is>
          <t>HAGFORS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46315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46315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46315</v>
      </c>
      <c r="F164" t="inlineStr">
        <is>
          <t>VÄRMLANDS LÄN</t>
        </is>
      </c>
      <c r="G164" t="inlineStr">
        <is>
          <t>HAGFORS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16824-2023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45033</v>
      </c>
      <c r="E165" s="1" t="n">
        <v>46315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46315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45492</v>
      </c>
      <c r="E167" s="1" t="n">
        <v>46315</v>
      </c>
      <c r="F167" t="inlineStr">
        <is>
          <t>VÄRMLANDS LÄN</t>
        </is>
      </c>
      <c r="G167" t="inlineStr">
        <is>
          <t>HAGFORS</t>
        </is>
      </c>
      <c r="H167" t="inlineStr">
        <is>
          <t>Kyrkan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12426-2024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45379</v>
      </c>
      <c r="E168" s="1" t="n">
        <v>46315</v>
      </c>
      <c r="F168" t="inlineStr">
        <is>
          <t>VÄRMLANDS LÄN</t>
        </is>
      </c>
      <c r="G168" t="inlineStr">
        <is>
          <t>HAGFORS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46315</v>
      </c>
      <c r="F169" t="inlineStr">
        <is>
          <t>VÄRMLANDS LÄN</t>
        </is>
      </c>
      <c r="G169" t="inlineStr">
        <is>
          <t>HAGFORS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45420</v>
      </c>
      <c r="E170" s="1" t="n">
        <v>46315</v>
      </c>
      <c r="F170" t="inlineStr">
        <is>
          <t>VÄRMLANDS LÄN</t>
        </is>
      </c>
      <c r="G170" t="inlineStr">
        <is>
          <t>HAGFORS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46315</v>
      </c>
      <c r="F171" t="inlineStr">
        <is>
          <t>VÄRMLANDS LÄN</t>
        </is>
      </c>
      <c r="G171" t="inlineStr">
        <is>
          <t>HAGFORS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46315</v>
      </c>
      <c r="F172" t="inlineStr">
        <is>
          <t>VÄRMLANDS LÄN</t>
        </is>
      </c>
      <c r="G172" t="inlineStr">
        <is>
          <t>HAGFORS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46315</v>
      </c>
      <c r="F173" t="inlineStr">
        <is>
          <t>VÄRMLANDS LÄN</t>
        </is>
      </c>
      <c r="G173" t="inlineStr">
        <is>
          <t>HAGFORS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64936-2023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45282</v>
      </c>
      <c r="E174" s="1" t="n">
        <v>46315</v>
      </c>
      <c r="F174" t="inlineStr">
        <is>
          <t>VÄRMLANDS LÄN</t>
        </is>
      </c>
      <c r="G174" t="inlineStr">
        <is>
          <t>HAGFORS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45446</v>
      </c>
      <c r="E175" s="1" t="n">
        <v>46315</v>
      </c>
      <c r="F175" t="inlineStr">
        <is>
          <t>VÄRMLANDS LÄN</t>
        </is>
      </c>
      <c r="G175" t="inlineStr">
        <is>
          <t>HAGFORS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46315</v>
      </c>
      <c r="F176" t="inlineStr">
        <is>
          <t>VÄRMLANDS LÄN</t>
        </is>
      </c>
      <c r="G176" t="inlineStr">
        <is>
          <t>HAGFORS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46315</v>
      </c>
      <c r="F177" t="inlineStr">
        <is>
          <t>VÄRMLANDS LÄN</t>
        </is>
      </c>
      <c r="G177" t="inlineStr">
        <is>
          <t>HAGFORS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45765</v>
      </c>
      <c r="E178" s="1" t="n">
        <v>46315</v>
      </c>
      <c r="F178" t="inlineStr">
        <is>
          <t>VÄRMLANDS LÄN</t>
        </is>
      </c>
      <c r="G178" t="inlineStr">
        <is>
          <t>HAGFORS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46315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46315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45609</v>
      </c>
      <c r="E181" s="1" t="n">
        <v>46315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46315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46315</v>
      </c>
      <c r="F183" t="inlineStr">
        <is>
          <t>VÄRMLANDS LÄN</t>
        </is>
      </c>
      <c r="G183" t="inlineStr">
        <is>
          <t>HAGFORS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45671</v>
      </c>
      <c r="E184" s="1" t="n">
        <v>46315</v>
      </c>
      <c r="F184" t="inlineStr">
        <is>
          <t>VÄRMLANDS LÄN</t>
        </is>
      </c>
      <c r="G184" t="inlineStr">
        <is>
          <t>HAGFORS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45132</v>
      </c>
      <c r="E185" s="1" t="n">
        <v>46315</v>
      </c>
      <c r="F185" t="inlineStr">
        <is>
          <t>VÄRMLANDS LÄN</t>
        </is>
      </c>
      <c r="G185" t="inlineStr">
        <is>
          <t>HAGFORS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46315</v>
      </c>
      <c r="F186" t="inlineStr">
        <is>
          <t>VÄRMLANDS LÄN</t>
        </is>
      </c>
      <c r="G186" t="inlineStr">
        <is>
          <t>HAGFORS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45051</v>
      </c>
      <c r="E187" s="1" t="n">
        <v>46315</v>
      </c>
      <c r="F187" t="inlineStr">
        <is>
          <t>VÄRMLANDS LÄN</t>
        </is>
      </c>
      <c r="G187" t="inlineStr">
        <is>
          <t>HAGFORS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46315</v>
      </c>
      <c r="F188" t="inlineStr">
        <is>
          <t>VÄRMLANDS LÄN</t>
        </is>
      </c>
      <c r="G188" t="inlineStr">
        <is>
          <t>HAGFORS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46315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46315</v>
      </c>
      <c r="F190" t="inlineStr">
        <is>
          <t>VÄRMLANDS LÄN</t>
        </is>
      </c>
      <c r="G190" t="inlineStr">
        <is>
          <t>HAGFORS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45786</v>
      </c>
      <c r="E191" s="1" t="n">
        <v>46315</v>
      </c>
      <c r="F191" t="inlineStr">
        <is>
          <t>VÄRMLANDS LÄN</t>
        </is>
      </c>
      <c r="G191" t="inlineStr">
        <is>
          <t>HAGFORS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46315</v>
      </c>
      <c r="F192" t="inlineStr">
        <is>
          <t>VÄRMLANDS LÄN</t>
        </is>
      </c>
      <c r="G192" t="inlineStr">
        <is>
          <t>HAGFORS</t>
        </is>
      </c>
      <c r="I192" t="n">
        <v>18.2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46315</v>
      </c>
      <c r="F193" t="inlineStr">
        <is>
          <t>VÄRMLANDS LÄN</t>
        </is>
      </c>
      <c r="G193" t="inlineStr">
        <is>
          <t>HAGFORS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45450</v>
      </c>
      <c r="E194" s="1" t="n">
        <v>46315</v>
      </c>
      <c r="F194" t="inlineStr">
        <is>
          <t>VÄRMLANDS LÄN</t>
        </is>
      </c>
      <c r="G194" t="inlineStr">
        <is>
          <t>HAGFORS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46315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46315</v>
      </c>
      <c r="F196" t="inlineStr">
        <is>
          <t>VÄRMLANDS LÄN</t>
        </is>
      </c>
      <c r="G196" t="inlineStr">
        <is>
          <t>HAGFORS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45847</v>
      </c>
      <c r="E197" s="1" t="n">
        <v>46315</v>
      </c>
      <c r="F197" t="inlineStr">
        <is>
          <t>VÄRMLANDS LÄN</t>
        </is>
      </c>
      <c r="G197" t="inlineStr">
        <is>
          <t>HAGFORS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63868-2025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46020</v>
      </c>
      <c r="E198" s="1" t="n">
        <v>46315</v>
      </c>
      <c r="F198" t="inlineStr">
        <is>
          <t>VÄRMLANDS LÄN</t>
        </is>
      </c>
      <c r="G198" t="inlineStr">
        <is>
          <t>HAGFORS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45484</v>
      </c>
      <c r="E199" s="1" t="n">
        <v>46315</v>
      </c>
      <c r="F199" t="inlineStr">
        <is>
          <t>VÄRMLANDS LÄN</t>
        </is>
      </c>
      <c r="G199" t="inlineStr">
        <is>
          <t>HAGFORS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46315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46315</v>
      </c>
      <c r="F201" t="inlineStr">
        <is>
          <t>VÄRMLANDS LÄN</t>
        </is>
      </c>
      <c r="G201" t="inlineStr">
        <is>
          <t>HAGFORS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44757</v>
      </c>
      <c r="E202" s="1" t="n">
        <v>46315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44694</v>
      </c>
      <c r="E203" s="1" t="n">
        <v>46315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46315</v>
      </c>
      <c r="F204" t="inlineStr">
        <is>
          <t>VÄRMLANDS LÄN</t>
        </is>
      </c>
      <c r="G204" t="inlineStr">
        <is>
          <t>HAGFORS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46315</v>
      </c>
      <c r="F205" t="inlineStr">
        <is>
          <t>VÄRMLANDS LÄN</t>
        </is>
      </c>
      <c r="G205" t="inlineStr">
        <is>
          <t>HAGFORS</t>
        </is>
      </c>
      <c r="H205" t="inlineStr">
        <is>
          <t>Kyrkan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44770</v>
      </c>
      <c r="E206" s="1" t="n">
        <v>46315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46315</v>
      </c>
      <c r="F207" t="inlineStr">
        <is>
          <t>VÄRMLANDS LÄN</t>
        </is>
      </c>
      <c r="G207" t="inlineStr">
        <is>
          <t>HAGFORS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46315</v>
      </c>
      <c r="F208" t="inlineStr">
        <is>
          <t>VÄRMLANDS LÄN</t>
        </is>
      </c>
      <c r="G208" t="inlineStr">
        <is>
          <t>HAGFORS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46315</v>
      </c>
      <c r="F209" t="inlineStr">
        <is>
          <t>VÄRMLANDS LÄN</t>
        </is>
      </c>
      <c r="G209" t="inlineStr">
        <is>
          <t>HAGFORS</t>
        </is>
      </c>
      <c r="H209" t="inlineStr">
        <is>
          <t>Kyrkan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46315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46315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46315</v>
      </c>
      <c r="F212" t="inlineStr">
        <is>
          <t>VÄRMLANDS LÄN</t>
        </is>
      </c>
      <c r="G212" t="inlineStr">
        <is>
          <t>HAGFORS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45729</v>
      </c>
      <c r="E213" s="1" t="n">
        <v>46315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46315</v>
      </c>
      <c r="F214" t="inlineStr">
        <is>
          <t>VÄRMLANDS LÄN</t>
        </is>
      </c>
      <c r="G214" t="inlineStr">
        <is>
          <t>HAGFORS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57379-2022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44896</v>
      </c>
      <c r="E215" s="1" t="n">
        <v>46315</v>
      </c>
      <c r="F215" t="inlineStr">
        <is>
          <t>VÄRMLANDS LÄN</t>
        </is>
      </c>
      <c r="G215" t="inlineStr">
        <is>
          <t>HAGFORS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45739</v>
      </c>
      <c r="E216" s="1" t="n">
        <v>46315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46315</v>
      </c>
      <c r="F217" t="inlineStr">
        <is>
          <t>VÄRMLANDS LÄN</t>
        </is>
      </c>
      <c r="G217" t="inlineStr">
        <is>
          <t>HAGFORS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46315</v>
      </c>
      <c r="F218" t="inlineStr">
        <is>
          <t>VÄRMLANDS LÄN</t>
        </is>
      </c>
      <c r="G218" t="inlineStr">
        <is>
          <t>HAGFORS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46315</v>
      </c>
      <c r="F219" t="inlineStr">
        <is>
          <t>VÄRMLANDS LÄN</t>
        </is>
      </c>
      <c r="G219" t="inlineStr">
        <is>
          <t>HAGFORS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46315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46315</v>
      </c>
      <c r="F221" t="inlineStr">
        <is>
          <t>VÄRMLANDS LÄN</t>
        </is>
      </c>
      <c r="G221" t="inlineStr">
        <is>
          <t>HAGFORS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41739-2025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45902</v>
      </c>
      <c r="E222" s="1" t="n">
        <v>46315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45029</v>
      </c>
      <c r="E223" s="1" t="n">
        <v>46315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46315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45653</v>
      </c>
      <c r="E225" s="1" t="n">
        <v>46315</v>
      </c>
      <c r="F225" t="inlineStr">
        <is>
          <t>VÄRMLANDS LÄN</t>
        </is>
      </c>
      <c r="G225" t="inlineStr">
        <is>
          <t>HAGFORS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46315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46315</v>
      </c>
      <c r="F227" t="inlineStr">
        <is>
          <t>VÄRMLANDS LÄN</t>
        </is>
      </c>
      <c r="G227" t="inlineStr">
        <is>
          <t>HAGFORS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21155-2023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45057</v>
      </c>
      <c r="E228" s="1" t="n">
        <v>46315</v>
      </c>
      <c r="F228" t="inlineStr">
        <is>
          <t>VÄRMLANDS LÄN</t>
        </is>
      </c>
      <c r="G228" t="inlineStr">
        <is>
          <t>HAGFORS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46315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46315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20652-2022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44700</v>
      </c>
      <c r="E231" s="1" t="n">
        <v>46315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46315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46315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46315</v>
      </c>
      <c r="F234" t="inlineStr">
        <is>
          <t>VÄRMLANDS LÄN</t>
        </is>
      </c>
      <c r="G234" t="inlineStr">
        <is>
          <t>HAGFORS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46315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46315</v>
      </c>
      <c r="F236" t="inlineStr">
        <is>
          <t>VÄRMLANDS LÄN</t>
        </is>
      </c>
      <c r="G236" t="inlineStr">
        <is>
          <t>HAGFORS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46315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26615-2024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46315</v>
      </c>
      <c r="F238" t="inlineStr">
        <is>
          <t>VÄRMLANDS LÄN</t>
        </is>
      </c>
      <c r="G238" t="inlineStr">
        <is>
          <t>HAGFORS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46315</v>
      </c>
      <c r="F239" t="inlineStr">
        <is>
          <t>VÄRMLANDS LÄN</t>
        </is>
      </c>
      <c r="G239" t="inlineStr">
        <is>
          <t>HAGFORS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12778-2025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45733</v>
      </c>
      <c r="E240" s="1" t="n">
        <v>46315</v>
      </c>
      <c r="F240" t="inlineStr">
        <is>
          <t>VÄRMLANDS LÄN</t>
        </is>
      </c>
      <c r="G240" t="inlineStr">
        <is>
          <t>HAGFORS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45223</v>
      </c>
      <c r="E241" s="1" t="n">
        <v>46315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46315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46315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46315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45918</v>
      </c>
      <c r="E245" s="1" t="n">
        <v>46315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46315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46315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61265-2022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44915</v>
      </c>
      <c r="E248" s="1" t="n">
        <v>46315</v>
      </c>
      <c r="F248" t="inlineStr">
        <is>
          <t>VÄRMLANDS LÄN</t>
        </is>
      </c>
      <c r="G248" t="inlineStr">
        <is>
          <t>HAGFORS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68252-2021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44526</v>
      </c>
      <c r="E249" s="1" t="n">
        <v>46315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46315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20752-2026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46141</v>
      </c>
      <c r="E251" s="1" t="n">
        <v>46315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46315</v>
      </c>
      <c r="F252" t="inlineStr">
        <is>
          <t>VÄRMLANDS LÄN</t>
        </is>
      </c>
      <c r="G252" t="inlineStr">
        <is>
          <t>HAGFORS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46315</v>
      </c>
      <c r="F253" t="inlineStr">
        <is>
          <t>VÄRMLANDS LÄN</t>
        </is>
      </c>
      <c r="G253" t="inlineStr">
        <is>
          <t>HAGFORS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44809</v>
      </c>
      <c r="E254" s="1" t="n">
        <v>46315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46315</v>
      </c>
      <c r="F255" t="inlineStr">
        <is>
          <t>VÄRMLANDS LÄN</t>
        </is>
      </c>
      <c r="G255" t="inlineStr">
        <is>
          <t>HAGFORS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46315</v>
      </c>
      <c r="F256" t="inlineStr">
        <is>
          <t>VÄRMLANDS LÄN</t>
        </is>
      </c>
      <c r="G256" t="inlineStr">
        <is>
          <t>HAGFORS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20880-2026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46142</v>
      </c>
      <c r="E257" s="1" t="n">
        <v>46315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46792-2022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46315</v>
      </c>
      <c r="F258" t="inlineStr">
        <is>
          <t>VÄRMLANDS LÄN</t>
        </is>
      </c>
      <c r="G258" t="inlineStr">
        <is>
          <t>HAGFORS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45525</v>
      </c>
      <c r="E259" s="1" t="n">
        <v>46315</v>
      </c>
      <c r="F259" t="inlineStr">
        <is>
          <t>VÄRMLANDS LÄN</t>
        </is>
      </c>
      <c r="G259" t="inlineStr">
        <is>
          <t>HAGFORS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46315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46315</v>
      </c>
      <c r="F261" t="inlineStr">
        <is>
          <t>VÄRMLANDS LÄN</t>
        </is>
      </c>
      <c r="G261" t="inlineStr">
        <is>
          <t>HAGFORS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7087-2026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46315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46315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33969-2022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44790</v>
      </c>
      <c r="E264" s="1" t="n">
        <v>46315</v>
      </c>
      <c r="F264" t="inlineStr">
        <is>
          <t>VÄRMLANDS LÄN</t>
        </is>
      </c>
      <c r="G264" t="inlineStr">
        <is>
          <t>HAGFORS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46315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46315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45927</v>
      </c>
      <c r="E267" s="1" t="n">
        <v>46315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45461</v>
      </c>
      <c r="E268" s="1" t="n">
        <v>46315</v>
      </c>
      <c r="F268" t="inlineStr">
        <is>
          <t>VÄRMLANDS LÄN</t>
        </is>
      </c>
      <c r="G268" t="inlineStr">
        <is>
          <t>HAGFORS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46315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45927</v>
      </c>
      <c r="E270" s="1" t="n">
        <v>46315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45928</v>
      </c>
      <c r="E271" s="1" t="n">
        <v>46315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46315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46315</v>
      </c>
      <c r="F273" t="inlineStr">
        <is>
          <t>VÄRMLANDS LÄN</t>
        </is>
      </c>
      <c r="G273" t="inlineStr">
        <is>
          <t>HAGFORS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46315</v>
      </c>
      <c r="F274" t="inlineStr">
        <is>
          <t>VÄRMLANDS LÄN</t>
        </is>
      </c>
      <c r="G274" t="inlineStr">
        <is>
          <t>HAGFORS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20911-2026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46315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46315</v>
      </c>
      <c r="F276" t="inlineStr">
        <is>
          <t>VÄRMLANDS LÄN</t>
        </is>
      </c>
      <c r="G276" t="inlineStr">
        <is>
          <t>HAGFORS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70712-2021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44537</v>
      </c>
      <c r="E277" s="1" t="n">
        <v>46315</v>
      </c>
      <c r="F277" t="inlineStr">
        <is>
          <t>VÄRMLANDS LÄN</t>
        </is>
      </c>
      <c r="G277" t="inlineStr">
        <is>
          <t>HAGFORS</t>
        </is>
      </c>
      <c r="H277" t="inlineStr">
        <is>
          <t>Kommuner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46315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45054</v>
      </c>
      <c r="E279" s="1" t="n">
        <v>46315</v>
      </c>
      <c r="F279" t="inlineStr">
        <is>
          <t>VÄRMLANDS LÄN</t>
        </is>
      </c>
      <c r="G279" t="inlineStr">
        <is>
          <t>HAGFORS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46315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46315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44571</v>
      </c>
      <c r="E282" s="1" t="n">
        <v>46315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46315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46315</v>
      </c>
      <c r="F284" t="inlineStr">
        <is>
          <t>VÄRMLANDS LÄN</t>
        </is>
      </c>
      <c r="G284" t="inlineStr">
        <is>
          <t>HAGFORS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46315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46315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44924</v>
      </c>
      <c r="E287" s="1" t="n">
        <v>46315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61140-2023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45261</v>
      </c>
      <c r="E288" s="1" t="n">
        <v>46315</v>
      </c>
      <c r="F288" t="inlineStr">
        <is>
          <t>VÄRMLANDS LÄN</t>
        </is>
      </c>
      <c r="G288" t="inlineStr">
        <is>
          <t>HAGFORS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46315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46315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46315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46315</v>
      </c>
      <c r="F292" t="inlineStr">
        <is>
          <t>VÄRMLANDS LÄN</t>
        </is>
      </c>
      <c r="G292" t="inlineStr">
        <is>
          <t>HAGFORS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57359-2022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46315</v>
      </c>
      <c r="F293" t="inlineStr">
        <is>
          <t>VÄRMLANDS LÄN</t>
        </is>
      </c>
      <c r="G293" t="inlineStr">
        <is>
          <t>HAGFORS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46315</v>
      </c>
      <c r="F294" t="inlineStr">
        <is>
          <t>VÄRMLANDS LÄN</t>
        </is>
      </c>
      <c r="G294" t="inlineStr">
        <is>
          <t>HAGFORS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46315</v>
      </c>
      <c r="F295" t="inlineStr">
        <is>
          <t>VÄRMLANDS LÄN</t>
        </is>
      </c>
      <c r="G295" t="inlineStr">
        <is>
          <t>HAGFORS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46315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44246-2022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44839</v>
      </c>
      <c r="E297" s="1" t="n">
        <v>46315</v>
      </c>
      <c r="F297" t="inlineStr">
        <is>
          <t>VÄRMLANDS LÄN</t>
        </is>
      </c>
      <c r="G297" t="inlineStr">
        <is>
          <t>HAGFORS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46315</v>
      </c>
      <c r="F298" t="inlineStr">
        <is>
          <t>VÄRMLANDS LÄN</t>
        </is>
      </c>
      <c r="G298" t="inlineStr">
        <is>
          <t>HAGFORS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49967-2025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45941</v>
      </c>
      <c r="E299" s="1" t="n">
        <v>46315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46315</v>
      </c>
      <c r="F300" t="inlineStr">
        <is>
          <t>VÄRMLANDS LÄN</t>
        </is>
      </c>
      <c r="G300" t="inlineStr">
        <is>
          <t>HAGFORS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45266</v>
      </c>
      <c r="E301" s="1" t="n">
        <v>46315</v>
      </c>
      <c r="F301" t="inlineStr">
        <is>
          <t>VÄRMLANDS LÄN</t>
        </is>
      </c>
      <c r="G301" t="inlineStr">
        <is>
          <t>HAGFORS</t>
        </is>
      </c>
      <c r="I301" t="n">
        <v>8.6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46315</v>
      </c>
      <c r="F302" t="inlineStr">
        <is>
          <t>VÄRMLANDS LÄN</t>
        </is>
      </c>
      <c r="G302" t="inlineStr">
        <is>
          <t>HAGFORS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54751-2022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44883</v>
      </c>
      <c r="E303" s="1" t="n">
        <v>46315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45947</v>
      </c>
      <c r="E304" s="1" t="n">
        <v>46315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46315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45949</v>
      </c>
      <c r="E306" s="1" t="n">
        <v>46315</v>
      </c>
      <c r="F306" t="inlineStr">
        <is>
          <t>VÄRMLANDS LÄN</t>
        </is>
      </c>
      <c r="G306" t="inlineStr">
        <is>
          <t>HAGFORS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45772</v>
      </c>
      <c r="E307" s="1" t="n">
        <v>46315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46315</v>
      </c>
      <c r="F308" t="inlineStr">
        <is>
          <t>VÄRMLANDS LÄN</t>
        </is>
      </c>
      <c r="G308" t="inlineStr">
        <is>
          <t>HAGFORS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46315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19554-2024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45429</v>
      </c>
      <c r="E310" s="1" t="n">
        <v>46315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52479-2025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46315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46315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46315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46315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46315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46315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46315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22503-2024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45447</v>
      </c>
      <c r="E318" s="1" t="n">
        <v>46315</v>
      </c>
      <c r="F318" t="inlineStr">
        <is>
          <t>VÄRMLANDS LÄN</t>
        </is>
      </c>
      <c r="G318" t="inlineStr">
        <is>
          <t>HAGFORS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21762-2026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46150</v>
      </c>
      <c r="E319" s="1" t="n">
        <v>46315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42168-2024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45562</v>
      </c>
      <c r="E320" s="1" t="n">
        <v>46315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53620-2025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46315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46315</v>
      </c>
      <c r="F322" t="inlineStr">
        <is>
          <t>VÄRMLANDS LÄN</t>
        </is>
      </c>
      <c r="G322" t="inlineStr">
        <is>
          <t>HAGFORS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46315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46315</v>
      </c>
      <c r="F324" t="inlineStr">
        <is>
          <t>VÄRMLANDS LÄN</t>
        </is>
      </c>
      <c r="G324" t="inlineStr">
        <is>
          <t>HAGFORS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45190</v>
      </c>
      <c r="E325" s="1" t="n">
        <v>46315</v>
      </c>
      <c r="F325" t="inlineStr">
        <is>
          <t>VÄRMLANDS LÄN</t>
        </is>
      </c>
      <c r="G325" t="inlineStr">
        <is>
          <t>HAGFORS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46315</v>
      </c>
      <c r="F326" t="inlineStr">
        <is>
          <t>VÄRMLANDS LÄN</t>
        </is>
      </c>
      <c r="G326" t="inlineStr">
        <is>
          <t>HAGFORS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46315</v>
      </c>
      <c r="F327" t="inlineStr">
        <is>
          <t>VÄRMLANDS LÄN</t>
        </is>
      </c>
      <c r="G327" t="inlineStr">
        <is>
          <t>HAGFORS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8129-2024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45351</v>
      </c>
      <c r="E328" s="1" t="n">
        <v>46315</v>
      </c>
      <c r="F328" t="inlineStr">
        <is>
          <t>VÄRMLANDS LÄN</t>
        </is>
      </c>
      <c r="G328" t="inlineStr">
        <is>
          <t>HAGFORS</t>
        </is>
      </c>
      <c r="H328" t="inlineStr">
        <is>
          <t>Kyrkan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46155</v>
      </c>
      <c r="E329" s="1" t="n">
        <v>46315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46315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46315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45961</v>
      </c>
      <c r="E332" s="1" t="n">
        <v>46315</v>
      </c>
      <c r="F332" t="inlineStr">
        <is>
          <t>VÄRMLANDS LÄN</t>
        </is>
      </c>
      <c r="G332" t="inlineStr">
        <is>
          <t>HAGFORS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22588-2026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46155</v>
      </c>
      <c r="E333" s="1" t="n">
        <v>46315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22648-2026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46315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46155</v>
      </c>
      <c r="E335" s="1" t="n">
        <v>46315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46315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54645-2025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45966</v>
      </c>
      <c r="E337" s="1" t="n">
        <v>46315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65065-2023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45287</v>
      </c>
      <c r="E338" s="1" t="n">
        <v>46315</v>
      </c>
      <c r="F338" t="inlineStr">
        <is>
          <t>VÄRMLANDS LÄN</t>
        </is>
      </c>
      <c r="G338" t="inlineStr">
        <is>
          <t>HAGFORS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46315</v>
      </c>
      <c r="F339" t="inlineStr">
        <is>
          <t>VÄRMLANDS LÄN</t>
        </is>
      </c>
      <c r="G339" t="inlineStr">
        <is>
          <t>HAGFORS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58210-2022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44901</v>
      </c>
      <c r="E340" s="1" t="n">
        <v>46315</v>
      </c>
      <c r="F340" t="inlineStr">
        <is>
          <t>VÄRMLANDS LÄN</t>
        </is>
      </c>
      <c r="G340" t="inlineStr">
        <is>
          <t>HAGFORS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45967</v>
      </c>
      <c r="E341" s="1" t="n">
        <v>46315</v>
      </c>
      <c r="F341" t="inlineStr">
        <is>
          <t>VÄRMLANDS LÄN</t>
        </is>
      </c>
      <c r="G341" t="inlineStr">
        <is>
          <t>HAGFORS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46160</v>
      </c>
      <c r="E342" s="1" t="n">
        <v>46315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55480-2025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46315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25258-2023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45079</v>
      </c>
      <c r="E344" s="1" t="n">
        <v>46315</v>
      </c>
      <c r="F344" t="inlineStr">
        <is>
          <t>VÄRMLANDS LÄN</t>
        </is>
      </c>
      <c r="G344" t="inlineStr">
        <is>
          <t>HAGFORS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46315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46315</v>
      </c>
      <c r="F346" t="inlineStr">
        <is>
          <t>VÄRMLANDS LÄN</t>
        </is>
      </c>
      <c r="G346" t="inlineStr">
        <is>
          <t>HAGFORS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33399-2024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45519</v>
      </c>
      <c r="E347" s="1" t="n">
        <v>46315</v>
      </c>
      <c r="F347" t="inlineStr">
        <is>
          <t>VÄRMLANDS LÄN</t>
        </is>
      </c>
      <c r="G347" t="inlineStr">
        <is>
          <t>HAGFORS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46315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46315</v>
      </c>
      <c r="F349" t="inlineStr">
        <is>
          <t>VÄRMLANDS LÄN</t>
        </is>
      </c>
      <c r="G349" t="inlineStr">
        <is>
          <t>HAGFORS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46315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45489</v>
      </c>
      <c r="E351" s="1" t="n">
        <v>46315</v>
      </c>
      <c r="F351" t="inlineStr">
        <is>
          <t>VÄRMLANDS LÄN</t>
        </is>
      </c>
      <c r="G351" t="inlineStr">
        <is>
          <t>HAGFORS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46315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46315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46315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45162</v>
      </c>
      <c r="E355" s="1" t="n">
        <v>46315</v>
      </c>
      <c r="F355" t="inlineStr">
        <is>
          <t>VÄRMLANDS LÄN</t>
        </is>
      </c>
      <c r="G355" t="inlineStr">
        <is>
          <t>HAGFORS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46315</v>
      </c>
      <c r="F356" t="inlineStr">
        <is>
          <t>VÄRMLANDS LÄN</t>
        </is>
      </c>
      <c r="G356" t="inlineStr">
        <is>
          <t>HAGFORS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46315</v>
      </c>
      <c r="F357" t="inlineStr">
        <is>
          <t>VÄRMLANDS LÄN</t>
        </is>
      </c>
      <c r="G357" t="inlineStr">
        <is>
          <t>HAGFORS</t>
        </is>
      </c>
      <c r="H357" t="inlineStr">
        <is>
          <t>Kyrkan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57198-2025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45979</v>
      </c>
      <c r="E358" s="1" t="n">
        <v>46315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46315</v>
      </c>
      <c r="F359" t="inlineStr">
        <is>
          <t>VÄRMLANDS LÄN</t>
        </is>
      </c>
      <c r="G359" t="inlineStr">
        <is>
          <t>HAGFORS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46315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46315</v>
      </c>
      <c r="F361" t="inlineStr">
        <is>
          <t>VÄRMLANDS LÄN</t>
        </is>
      </c>
      <c r="G361" t="inlineStr">
        <is>
          <t>HAGFORS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45084</v>
      </c>
      <c r="E362" s="1" t="n">
        <v>46315</v>
      </c>
      <c r="F362" t="inlineStr">
        <is>
          <t>VÄRMLANDS LÄN</t>
        </is>
      </c>
      <c r="G362" t="inlineStr">
        <is>
          <t>HAGFORS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44951</v>
      </c>
      <c r="E363" s="1" t="n">
        <v>46315</v>
      </c>
      <c r="F363" t="inlineStr">
        <is>
          <t>VÄRMLANDS LÄN</t>
        </is>
      </c>
      <c r="G363" t="inlineStr">
        <is>
          <t>HAGFORS</t>
        </is>
      </c>
      <c r="H363" t="inlineStr">
        <is>
          <t>Kyrkan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46315</v>
      </c>
      <c r="F364" t="inlineStr">
        <is>
          <t>VÄRMLANDS LÄN</t>
        </is>
      </c>
      <c r="G364" t="inlineStr">
        <is>
          <t>HAGFORS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46315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44938</v>
      </c>
      <c r="E366" s="1" t="n">
        <v>46315</v>
      </c>
      <c r="F366" t="inlineStr">
        <is>
          <t>VÄRMLANDS LÄN</t>
        </is>
      </c>
      <c r="G366" t="inlineStr">
        <is>
          <t>HAGFORS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46315</v>
      </c>
      <c r="F367" t="inlineStr">
        <is>
          <t>VÄRMLANDS LÄN</t>
        </is>
      </c>
      <c r="G367" t="inlineStr">
        <is>
          <t>HAGFORS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59047-2025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45988</v>
      </c>
      <c r="E368" s="1" t="n">
        <v>46315</v>
      </c>
      <c r="F368" t="inlineStr">
        <is>
          <t>VÄRMLANDS LÄN</t>
        </is>
      </c>
      <c r="G368" t="inlineStr">
        <is>
          <t>HAGFORS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46315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45475</v>
      </c>
      <c r="E370" s="1" t="n">
        <v>46315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27827-2024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46315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19125-2024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45428</v>
      </c>
      <c r="E372" s="1" t="n">
        <v>46315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45335</v>
      </c>
      <c r="E373" s="1" t="n">
        <v>46315</v>
      </c>
      <c r="F373" t="inlineStr">
        <is>
          <t>VÄRMLANDS LÄN</t>
        </is>
      </c>
      <c r="G373" t="inlineStr">
        <is>
          <t>HAGFORS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17305-2023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45035</v>
      </c>
      <c r="E374" s="1" t="n">
        <v>46315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44567</v>
      </c>
      <c r="E375" s="1" t="n">
        <v>46315</v>
      </c>
      <c r="F375" t="inlineStr">
        <is>
          <t>VÄRMLANDS LÄN</t>
        </is>
      </c>
      <c r="G375" t="inlineStr">
        <is>
          <t>HAGFORS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46315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10236-2022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44622</v>
      </c>
      <c r="E377" s="1" t="n">
        <v>46315</v>
      </c>
      <c r="F377" t="inlineStr">
        <is>
          <t>VÄRMLANDS LÄN</t>
        </is>
      </c>
      <c r="G377" t="inlineStr">
        <is>
          <t>HAGFORS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46315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23728-2026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46164</v>
      </c>
      <c r="E379" s="1" t="n">
        <v>46315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45720</v>
      </c>
      <c r="E380" s="1" t="n">
        <v>46315</v>
      </c>
      <c r="F380" t="inlineStr">
        <is>
          <t>VÄRMLANDS LÄN</t>
        </is>
      </c>
      <c r="G380" t="inlineStr">
        <is>
          <t>HAGFORS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45502</v>
      </c>
      <c r="E381" s="1" t="n">
        <v>46315</v>
      </c>
      <c r="F381" t="inlineStr">
        <is>
          <t>VÄRMLANDS LÄN</t>
        </is>
      </c>
      <c r="G381" t="inlineStr">
        <is>
          <t>HAGFORS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45996</v>
      </c>
      <c r="E382" s="1" t="n">
        <v>46315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60648-2025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45996</v>
      </c>
      <c r="E383" s="1" t="n">
        <v>46315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41603-2023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46315</v>
      </c>
      <c r="F384" t="inlineStr">
        <is>
          <t>VÄRMLANDS LÄN</t>
        </is>
      </c>
      <c r="G384" t="inlineStr">
        <is>
          <t>HAGFORS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46315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32147-2023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45107</v>
      </c>
      <c r="E386" s="1" t="n">
        <v>46315</v>
      </c>
      <c r="F386" t="inlineStr">
        <is>
          <t>VÄRMLANDS LÄN</t>
        </is>
      </c>
      <c r="G386" t="inlineStr">
        <is>
          <t>HAGFORS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45999</v>
      </c>
      <c r="E387" s="1" t="n">
        <v>46315</v>
      </c>
      <c r="F387" t="inlineStr">
        <is>
          <t>VÄRMLANDS LÄN</t>
        </is>
      </c>
      <c r="G387" t="inlineStr">
        <is>
          <t>HAGFORS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45947</v>
      </c>
      <c r="E388" s="1" t="n">
        <v>46315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36494-2025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45869</v>
      </c>
      <c r="E389" s="1" t="n">
        <v>46315</v>
      </c>
      <c r="F389" t="inlineStr">
        <is>
          <t>VÄRMLANDS LÄN</t>
        </is>
      </c>
      <c r="G389" t="inlineStr">
        <is>
          <t>HAGFORS</t>
        </is>
      </c>
      <c r="H389" t="inlineStr">
        <is>
          <t>Kyrkan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46315</v>
      </c>
      <c r="F390" t="inlineStr">
        <is>
          <t>VÄRMLANDS LÄN</t>
        </is>
      </c>
      <c r="G390" t="inlineStr">
        <is>
          <t>HAGFORS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46315</v>
      </c>
      <c r="F391" t="inlineStr">
        <is>
          <t>VÄRMLANDS LÄN</t>
        </is>
      </c>
      <c r="G391" t="inlineStr">
        <is>
          <t>HAGFORS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46002</v>
      </c>
      <c r="E392" s="1" t="n">
        <v>46315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61718-2025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46002</v>
      </c>
      <c r="E393" s="1" t="n">
        <v>46315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61910-2025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46003</v>
      </c>
      <c r="E394" s="1" t="n">
        <v>46315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46315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46315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46315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62168-2025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46006</v>
      </c>
      <c r="E398" s="1" t="n">
        <v>46315</v>
      </c>
      <c r="F398" t="inlineStr">
        <is>
          <t>VÄRMLANDS LÄN</t>
        </is>
      </c>
      <c r="G398" t="inlineStr">
        <is>
          <t>HAGFORS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46006</v>
      </c>
      <c r="E399" s="1" t="n">
        <v>46315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61843-2025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46003</v>
      </c>
      <c r="E400" s="1" t="n">
        <v>46315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46006</v>
      </c>
      <c r="E401" s="1" t="n">
        <v>46315</v>
      </c>
      <c r="F401" t="inlineStr">
        <is>
          <t>VÄRMLANDS LÄN</t>
        </is>
      </c>
      <c r="G401" t="inlineStr">
        <is>
          <t>HAGFORS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46315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46315</v>
      </c>
      <c r="F403" t="inlineStr">
        <is>
          <t>VÄRMLANDS LÄN</t>
        </is>
      </c>
      <c r="G403" t="inlineStr">
        <is>
          <t>HAGFORS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46315</v>
      </c>
      <c r="F404" t="inlineStr">
        <is>
          <t>VÄRMLANDS LÄN</t>
        </is>
      </c>
      <c r="G404" t="inlineStr">
        <is>
          <t>HAGFORS</t>
        </is>
      </c>
      <c r="I404" t="n">
        <v>13.5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46315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46315</v>
      </c>
      <c r="F406" t="inlineStr">
        <is>
          <t>VÄRMLANDS LÄN</t>
        </is>
      </c>
      <c r="G406" t="inlineStr">
        <is>
          <t>HAGFORS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45526</v>
      </c>
      <c r="E407" s="1" t="n">
        <v>46315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46315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57162-2024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46315</v>
      </c>
      <c r="F409" t="inlineStr">
        <is>
          <t>VÄRMLANDS LÄN</t>
        </is>
      </c>
      <c r="G409" t="inlineStr">
        <is>
          <t>HAGFORS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46315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45638</v>
      </c>
      <c r="E411" s="1" t="n">
        <v>46315</v>
      </c>
      <c r="F411" t="inlineStr">
        <is>
          <t>VÄRMLANDS LÄN</t>
        </is>
      </c>
      <c r="G411" t="inlineStr">
        <is>
          <t>HAGFORS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63301-2025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46315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63361-2025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46315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46315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46315</v>
      </c>
      <c r="F415" t="inlineStr">
        <is>
          <t>VÄRMLANDS LÄN</t>
        </is>
      </c>
      <c r="G415" t="inlineStr">
        <is>
          <t>HAGFORS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24625-2026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46171</v>
      </c>
      <c r="E416" s="1" t="n">
        <v>46315</v>
      </c>
      <c r="F416" t="inlineStr">
        <is>
          <t>VÄRMLANDS LÄN</t>
        </is>
      </c>
      <c r="G416" t="inlineStr">
        <is>
          <t>HAGFORS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24699-2026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46315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24713-2026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46171</v>
      </c>
      <c r="E418" s="1" t="n">
        <v>46315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24778-2026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46171</v>
      </c>
      <c r="E419" s="1" t="n">
        <v>46315</v>
      </c>
      <c r="F419" t="inlineStr">
        <is>
          <t>VÄRMLANDS LÄN</t>
        </is>
      </c>
      <c r="G419" t="inlineStr">
        <is>
          <t>HAGFORS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24761-2026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46171</v>
      </c>
      <c r="E420" s="1" t="n">
        <v>46315</v>
      </c>
      <c r="F420" t="inlineStr">
        <is>
          <t>VÄRMLANDS LÄN</t>
        </is>
      </c>
      <c r="G420" t="inlineStr">
        <is>
          <t>HAGFORS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40692-2022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44824</v>
      </c>
      <c r="E421" s="1" t="n">
        <v>46315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24628-2026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46171</v>
      </c>
      <c r="E422" s="1" t="n">
        <v>46315</v>
      </c>
      <c r="F422" t="inlineStr">
        <is>
          <t>VÄRMLANDS LÄN</t>
        </is>
      </c>
      <c r="G422" t="inlineStr">
        <is>
          <t>HAGFORS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24626-2026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46171</v>
      </c>
      <c r="E423" s="1" t="n">
        <v>46315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63831-2025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46020</v>
      </c>
      <c r="E424" s="1" t="n">
        <v>46315</v>
      </c>
      <c r="F424" t="inlineStr">
        <is>
          <t>VÄRMLANDS LÄN</t>
        </is>
      </c>
      <c r="G424" t="inlineStr">
        <is>
          <t>HAGFORS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63764-2025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46018</v>
      </c>
      <c r="E425" s="1" t="n">
        <v>46315</v>
      </c>
      <c r="F425" t="inlineStr">
        <is>
          <t>VÄRMLANDS LÄN</t>
        </is>
      </c>
      <c r="G425" t="inlineStr">
        <is>
          <t>HAGFORS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46018</v>
      </c>
      <c r="E426" s="1" t="n">
        <v>46315</v>
      </c>
      <c r="F426" t="inlineStr">
        <is>
          <t>VÄRMLANDS LÄN</t>
        </is>
      </c>
      <c r="G426" t="inlineStr">
        <is>
          <t>HAGFORS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24677-2026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46171</v>
      </c>
      <c r="E427" s="1" t="n">
        <v>46315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46020</v>
      </c>
      <c r="E428" s="1" t="n">
        <v>46315</v>
      </c>
      <c r="F428" t="inlineStr">
        <is>
          <t>VÄRMLANDS LÄN</t>
        </is>
      </c>
      <c r="G428" t="inlineStr">
        <is>
          <t>HAGFORS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46020</v>
      </c>
      <c r="E429" s="1" t="n">
        <v>46315</v>
      </c>
      <c r="F429" t="inlineStr">
        <is>
          <t>VÄRMLANDS LÄN</t>
        </is>
      </c>
      <c r="G429" t="inlineStr">
        <is>
          <t>HAGFORS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52083-2024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45608</v>
      </c>
      <c r="E430" s="1" t="n">
        <v>46315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45582</v>
      </c>
      <c r="E431" s="1" t="n">
        <v>46315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45572</v>
      </c>
      <c r="E432" s="1" t="n">
        <v>46315</v>
      </c>
      <c r="F432" t="inlineStr">
        <is>
          <t>VÄRMLANDS LÄN</t>
        </is>
      </c>
      <c r="G432" t="inlineStr">
        <is>
          <t>HAGFORS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59552-2024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45638</v>
      </c>
      <c r="E433" s="1" t="n">
        <v>46315</v>
      </c>
      <c r="F433" t="inlineStr">
        <is>
          <t>VÄRMLANDS LÄN</t>
        </is>
      </c>
      <c r="G433" t="inlineStr">
        <is>
          <t>HAGFORS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6980-2022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44603</v>
      </c>
      <c r="E434" s="1" t="n">
        <v>46315</v>
      </c>
      <c r="F434" t="inlineStr">
        <is>
          <t>VÄRMLANDS LÄN</t>
        </is>
      </c>
      <c r="G434" t="inlineStr">
        <is>
          <t>HAGFORS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44596</v>
      </c>
      <c r="E435" s="1" t="n">
        <v>46315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48807-2025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45937</v>
      </c>
      <c r="E436" s="1" t="n">
        <v>46315</v>
      </c>
      <c r="F436" t="inlineStr">
        <is>
          <t>VÄRMLANDS LÄN</t>
        </is>
      </c>
      <c r="G436" t="inlineStr">
        <is>
          <t>HAGFORS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975-2026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46030</v>
      </c>
      <c r="E437" s="1" t="n">
        <v>46315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46315</v>
      </c>
      <c r="F438" t="inlineStr">
        <is>
          <t>VÄRMLANDS LÄN</t>
        </is>
      </c>
      <c r="G438" t="inlineStr">
        <is>
          <t>HAGFORS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46315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9.699999999999999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41092-2024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45559</v>
      </c>
      <c r="E440" s="1" t="n">
        <v>46315</v>
      </c>
      <c r="F440" t="inlineStr">
        <is>
          <t>VÄRMLANDS LÄN</t>
        </is>
      </c>
      <c r="G440" t="inlineStr">
        <is>
          <t>HAGFORS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45618</v>
      </c>
      <c r="E441" s="1" t="n">
        <v>46315</v>
      </c>
      <c r="F441" t="inlineStr">
        <is>
          <t>VÄRMLANDS LÄN</t>
        </is>
      </c>
      <c r="G441" t="inlineStr">
        <is>
          <t>HAGFORS</t>
        </is>
      </c>
      <c r="H441" t="inlineStr">
        <is>
          <t>Kyrkan</t>
        </is>
      </c>
      <c r="I441" t="n">
        <v>8.800000000000001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22031-2023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45069</v>
      </c>
      <c r="E442" s="1" t="n">
        <v>46315</v>
      </c>
      <c r="F442" t="inlineStr">
        <is>
          <t>VÄRMLANDS LÄN</t>
        </is>
      </c>
      <c r="G442" t="inlineStr">
        <is>
          <t>HAGFORS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46315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46315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60582-2024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46315</v>
      </c>
      <c r="F445" t="inlineStr">
        <is>
          <t>VÄRMLANDS LÄN</t>
        </is>
      </c>
      <c r="G445" t="inlineStr">
        <is>
          <t>HAGFORS</t>
        </is>
      </c>
      <c r="H445" t="inlineStr">
        <is>
          <t>Kyrkan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45506</v>
      </c>
      <c r="E446" s="1" t="n">
        <v>46315</v>
      </c>
      <c r="F446" t="inlineStr">
        <is>
          <t>VÄRMLANDS LÄN</t>
        </is>
      </c>
      <c r="G446" t="inlineStr">
        <is>
          <t>HAGFORS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46315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46315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60991-2024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46315</v>
      </c>
      <c r="F449" t="inlineStr">
        <is>
          <t>VÄRMLANDS LÄN</t>
        </is>
      </c>
      <c r="G449" t="inlineStr">
        <is>
          <t>HAGFORS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15886-2022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44664</v>
      </c>
      <c r="E450" s="1" t="n">
        <v>46315</v>
      </c>
      <c r="F450" t="inlineStr">
        <is>
          <t>VÄRMLANDS LÄN</t>
        </is>
      </c>
      <c r="G450" t="inlineStr">
        <is>
          <t>HAGFORS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46315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46315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45659</v>
      </c>
      <c r="E453" s="1" t="n">
        <v>46315</v>
      </c>
      <c r="F453" t="inlineStr">
        <is>
          <t>VÄRMLANDS LÄN</t>
        </is>
      </c>
      <c r="G453" t="inlineStr">
        <is>
          <t>HAGFORS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44906-2024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45575</v>
      </c>
      <c r="E454" s="1" t="n">
        <v>46315</v>
      </c>
      <c r="F454" t="inlineStr">
        <is>
          <t>VÄRMLANDS LÄN</t>
        </is>
      </c>
      <c r="G454" t="inlineStr">
        <is>
          <t>HAGFORS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46315</v>
      </c>
      <c r="F455" t="inlineStr">
        <is>
          <t>VÄRMLANDS LÄN</t>
        </is>
      </c>
      <c r="G455" t="inlineStr">
        <is>
          <t>HAGFORS</t>
        </is>
      </c>
      <c r="I455" t="n">
        <v>13.1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45055</v>
      </c>
      <c r="E456" s="1" t="n">
        <v>46315</v>
      </c>
      <c r="F456" t="inlineStr">
        <is>
          <t>VÄRMLANDS LÄN</t>
        </is>
      </c>
      <c r="G456" t="inlineStr">
        <is>
          <t>HAGFORS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46315</v>
      </c>
      <c r="F457" t="inlineStr">
        <is>
          <t>VÄRMLANDS LÄN</t>
        </is>
      </c>
      <c r="G457" t="inlineStr">
        <is>
          <t>HAGFORS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46315</v>
      </c>
      <c r="F458" t="inlineStr">
        <is>
          <t>VÄRMLANDS LÄN</t>
        </is>
      </c>
      <c r="G458" t="inlineStr">
        <is>
          <t>HAGFORS</t>
        </is>
      </c>
      <c r="H458" t="inlineStr">
        <is>
          <t>Kyrkan</t>
        </is>
      </c>
      <c r="I458" t="n">
        <v>7.9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46315</v>
      </c>
      <c r="F459" t="inlineStr">
        <is>
          <t>VÄRMLANDS LÄN</t>
        </is>
      </c>
      <c r="G459" t="inlineStr">
        <is>
          <t>HAGFORS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46315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46315</v>
      </c>
      <c r="F461" t="inlineStr">
        <is>
          <t>VÄRMLANDS LÄN</t>
        </is>
      </c>
      <c r="G461" t="inlineStr">
        <is>
          <t>HAGFORS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46315</v>
      </c>
      <c r="F462" t="inlineStr">
        <is>
          <t>VÄRMLANDS LÄN</t>
        </is>
      </c>
      <c r="G462" t="inlineStr">
        <is>
          <t>HAGFORS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46315</v>
      </c>
      <c r="F463" t="inlineStr">
        <is>
          <t>VÄRMLANDS LÄN</t>
        </is>
      </c>
      <c r="G463" t="inlineStr">
        <is>
          <t>HAGFORS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26019-2026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46315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45232</v>
      </c>
      <c r="E465" s="1" t="n">
        <v>46315</v>
      </c>
      <c r="F465" t="inlineStr">
        <is>
          <t>VÄRMLANDS LÄN</t>
        </is>
      </c>
      <c r="G465" t="inlineStr">
        <is>
          <t>HAGFORS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46315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45121</v>
      </c>
      <c r="E467" s="1" t="n">
        <v>46315</v>
      </c>
      <c r="F467" t="inlineStr">
        <is>
          <t>VÄRMLANDS LÄN</t>
        </is>
      </c>
      <c r="G467" t="inlineStr">
        <is>
          <t>HAGFORS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46315</v>
      </c>
      <c r="F468" t="inlineStr">
        <is>
          <t>VÄRMLANDS LÄN</t>
        </is>
      </c>
      <c r="G468" t="inlineStr">
        <is>
          <t>HAGFORS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45716</v>
      </c>
      <c r="E469" s="1" t="n">
        <v>46315</v>
      </c>
      <c r="F469" t="inlineStr">
        <is>
          <t>VÄRMLANDS LÄN</t>
        </is>
      </c>
      <c r="G469" t="inlineStr">
        <is>
          <t>HAGFORS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45226</v>
      </c>
      <c r="E470" s="1" t="n">
        <v>46315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45385</v>
      </c>
      <c r="E471" s="1" t="n">
        <v>46315</v>
      </c>
      <c r="F471" t="inlineStr">
        <is>
          <t>VÄRMLANDS LÄN</t>
        </is>
      </c>
      <c r="G471" t="inlineStr">
        <is>
          <t>HAGFORS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44613</v>
      </c>
      <c r="E472" s="1" t="n">
        <v>46315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45679</v>
      </c>
      <c r="E473" s="1" t="n">
        <v>46315</v>
      </c>
      <c r="F473" t="inlineStr">
        <is>
          <t>VÄRMLANDS LÄN</t>
        </is>
      </c>
      <c r="G473" t="inlineStr">
        <is>
          <t>HAGFORS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46178</v>
      </c>
      <c r="E474" s="1" t="n">
        <v>46315</v>
      </c>
      <c r="F474" t="inlineStr">
        <is>
          <t>VÄRMLANDS LÄN</t>
        </is>
      </c>
      <c r="G474" t="inlineStr">
        <is>
          <t>HAGFORS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46052</v>
      </c>
      <c r="E475" s="1" t="n">
        <v>46315</v>
      </c>
      <c r="F475" t="inlineStr">
        <is>
          <t>VÄRMLANDS LÄN</t>
        </is>
      </c>
      <c r="G475" t="inlineStr">
        <is>
          <t>HAGFORS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45692</v>
      </c>
      <c r="E476" s="1" t="n">
        <v>46315</v>
      </c>
      <c r="F476" t="inlineStr">
        <is>
          <t>VÄRMLANDS LÄN</t>
        </is>
      </c>
      <c r="G476" t="inlineStr">
        <is>
          <t>HAGFORS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26012-2026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46315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12434-2022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44638</v>
      </c>
      <c r="E478" s="1" t="n">
        <v>46315</v>
      </c>
      <c r="F478" t="inlineStr">
        <is>
          <t>VÄRMLANDS LÄN</t>
        </is>
      </c>
      <c r="G478" t="inlineStr">
        <is>
          <t>HAGFORS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46315</v>
      </c>
      <c r="F479" t="inlineStr">
        <is>
          <t>VÄRMLANDS LÄN</t>
        </is>
      </c>
      <c r="G479" t="inlineStr">
        <is>
          <t>HAGFORS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36030-2023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45149</v>
      </c>
      <c r="E480" s="1" t="n">
        <v>46315</v>
      </c>
      <c r="F480" t="inlineStr">
        <is>
          <t>VÄRMLANDS LÄN</t>
        </is>
      </c>
      <c r="G480" t="inlineStr">
        <is>
          <t>HAGFORS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45703</v>
      </c>
      <c r="E481" s="1" t="n">
        <v>46315</v>
      </c>
      <c r="F481" t="inlineStr">
        <is>
          <t>VÄRMLANDS LÄN</t>
        </is>
      </c>
      <c r="G481" t="inlineStr">
        <is>
          <t>HAGFORS</t>
        </is>
      </c>
      <c r="H481" t="inlineStr">
        <is>
          <t>Kyrkan</t>
        </is>
      </c>
      <c r="I481" t="n">
        <v>15.9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45148</v>
      </c>
      <c r="E482" s="1" t="n">
        <v>46315</v>
      </c>
      <c r="F482" t="inlineStr">
        <is>
          <t>VÄRMLANDS LÄN</t>
        </is>
      </c>
      <c r="G482" t="inlineStr">
        <is>
          <t>HAGFORS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45107</v>
      </c>
      <c r="E483" s="1" t="n">
        <v>46315</v>
      </c>
      <c r="F483" t="inlineStr">
        <is>
          <t>VÄRMLANDS LÄN</t>
        </is>
      </c>
      <c r="G483" t="inlineStr">
        <is>
          <t>HAGFORS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18699-2022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44687</v>
      </c>
      <c r="E484" s="1" t="n">
        <v>46315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46315</v>
      </c>
      <c r="F485" t="inlineStr">
        <is>
          <t>VÄRMLANDS LÄN</t>
        </is>
      </c>
      <c r="G485" t="inlineStr">
        <is>
          <t>HAGFORS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46315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33.4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46315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56808-2023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46315</v>
      </c>
      <c r="F488" t="inlineStr">
        <is>
          <t>VÄRMLANDS LÄN</t>
        </is>
      </c>
      <c r="G488" t="inlineStr">
        <is>
          <t>HAGFORS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46315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45684</v>
      </c>
      <c r="E490" s="1" t="n">
        <v>46315</v>
      </c>
      <c r="F490" t="inlineStr">
        <is>
          <t>VÄRMLANDS LÄN</t>
        </is>
      </c>
      <c r="G490" t="inlineStr">
        <is>
          <t>HAGFORS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26859-2026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46315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46315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46315</v>
      </c>
      <c r="F493" t="inlineStr">
        <is>
          <t>VÄRMLANDS LÄN</t>
        </is>
      </c>
      <c r="G493" t="inlineStr">
        <is>
          <t>HAGFORS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46315</v>
      </c>
      <c r="F494" t="inlineStr">
        <is>
          <t>VÄRMLANDS LÄN</t>
        </is>
      </c>
      <c r="G494" t="inlineStr">
        <is>
          <t>HAGFORS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45172</v>
      </c>
      <c r="E495" s="1" t="n">
        <v>46315</v>
      </c>
      <c r="F495" t="inlineStr">
        <is>
          <t>VÄRMLANDS LÄN</t>
        </is>
      </c>
      <c r="G495" t="inlineStr">
        <is>
          <t>HAGFORS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52224-2023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45224</v>
      </c>
      <c r="E496" s="1" t="n">
        <v>46315</v>
      </c>
      <c r="F496" t="inlineStr">
        <is>
          <t>VÄRMLANDS LÄN</t>
        </is>
      </c>
      <c r="G496" t="inlineStr">
        <is>
          <t>HAGFORS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46315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9.5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46315</v>
      </c>
      <c r="F498" t="inlineStr">
        <is>
          <t>VÄRMLANDS LÄN</t>
        </is>
      </c>
      <c r="G498" t="inlineStr">
        <is>
          <t>HAGFORS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46315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46315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46315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46184</v>
      </c>
      <c r="E502" s="1" t="n">
        <v>46315</v>
      </c>
      <c r="F502" t="inlineStr">
        <is>
          <t>VÄRMLANDS LÄN</t>
        </is>
      </c>
      <c r="G502" t="inlineStr">
        <is>
          <t>HAGFORS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46315</v>
      </c>
      <c r="F503" t="inlineStr">
        <is>
          <t>VÄRMLANDS LÄN</t>
        </is>
      </c>
      <c r="G503" t="inlineStr">
        <is>
          <t>HAGFORS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45764</v>
      </c>
      <c r="E504" s="1" t="n">
        <v>46315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46315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45110</v>
      </c>
      <c r="E506" s="1" t="n">
        <v>46315</v>
      </c>
      <c r="F506" t="inlineStr">
        <is>
          <t>VÄRMLANDS LÄN</t>
        </is>
      </c>
      <c r="G506" t="inlineStr">
        <is>
          <t>HAGFORS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27210-2026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46315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12295-2026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46087</v>
      </c>
      <c r="E508" s="1" t="n">
        <v>46315</v>
      </c>
      <c r="F508" t="inlineStr">
        <is>
          <t>VÄRMLANDS LÄN</t>
        </is>
      </c>
      <c r="G508" t="inlineStr">
        <is>
          <t>HAGFORS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27268-2026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46315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27394-2026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46189</v>
      </c>
      <c r="E510" s="1" t="n">
        <v>46315</v>
      </c>
      <c r="F510" t="inlineStr">
        <is>
          <t>VÄRMLANDS LÄN</t>
        </is>
      </c>
      <c r="G510" t="inlineStr">
        <is>
          <t>HAGFORS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46315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46091</v>
      </c>
      <c r="E512" s="1" t="n">
        <v>46315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46315</v>
      </c>
      <c r="F513" t="inlineStr">
        <is>
          <t>VÄRMLANDS LÄN</t>
        </is>
      </c>
      <c r="G513" t="inlineStr">
        <is>
          <t>HAGFORS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46315</v>
      </c>
      <c r="F514" t="inlineStr">
        <is>
          <t>VÄRMLANDS LÄN</t>
        </is>
      </c>
      <c r="G514" t="inlineStr">
        <is>
          <t>HAGFORS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61232-2024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45645</v>
      </c>
      <c r="E515" s="1" t="n">
        <v>46315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46191</v>
      </c>
      <c r="E516" s="1" t="n">
        <v>46315</v>
      </c>
      <c r="F516" t="inlineStr">
        <is>
          <t>VÄRMLANDS LÄN</t>
        </is>
      </c>
      <c r="G516" t="inlineStr">
        <is>
          <t>HAGFORS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64155-2023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45279</v>
      </c>
      <c r="E517" s="1" t="n">
        <v>46315</v>
      </c>
      <c r="F517" t="inlineStr">
        <is>
          <t>VÄRMLANDS LÄN</t>
        </is>
      </c>
      <c r="G517" t="inlineStr">
        <is>
          <t>HAGFORS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46315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13419-2026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46315</v>
      </c>
      <c r="F519" t="inlineStr">
        <is>
          <t>VÄRMLANDS LÄN</t>
        </is>
      </c>
      <c r="G519" t="inlineStr">
        <is>
          <t>HAGFORS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46315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46315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13360-2026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46315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13466-2026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46315</v>
      </c>
      <c r="F523" t="inlineStr">
        <is>
          <t>VÄRMLANDS LÄN</t>
        </is>
      </c>
      <c r="G523" t="inlineStr">
        <is>
          <t>HAGFORS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45741</v>
      </c>
      <c r="E524" s="1" t="n">
        <v>46315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13926-2026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46098</v>
      </c>
      <c r="E525" s="1" t="n">
        <v>46315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28185-2026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46315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9.6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46315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46315</v>
      </c>
      <c r="F528" t="inlineStr">
        <is>
          <t>VÄRMLANDS LÄN</t>
        </is>
      </c>
      <c r="G528" t="inlineStr">
        <is>
          <t>HAGFORS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46098</v>
      </c>
      <c r="E529" s="1" t="n">
        <v>46315</v>
      </c>
      <c r="F529" t="inlineStr">
        <is>
          <t>VÄRMLANDS LÄN</t>
        </is>
      </c>
      <c r="G529" t="inlineStr">
        <is>
          <t>HAGFORS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46315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46101</v>
      </c>
      <c r="E531" s="1" t="n">
        <v>46315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14832-2026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46104</v>
      </c>
      <c r="E532" s="1" t="n">
        <v>46315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17.2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58437-2023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45250</v>
      </c>
      <c r="E533" s="1" t="n">
        <v>46315</v>
      </c>
      <c r="F533" t="inlineStr">
        <is>
          <t>VÄRMLANDS LÄN</t>
        </is>
      </c>
      <c r="G533" t="inlineStr">
        <is>
          <t>HAGFORS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11160-2025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45723</v>
      </c>
      <c r="E534" s="1" t="n">
        <v>46315</v>
      </c>
      <c r="F534" t="inlineStr">
        <is>
          <t>VÄRMLANDS LÄN</t>
        </is>
      </c>
      <c r="G534" t="inlineStr">
        <is>
          <t>HAGFORS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45725</v>
      </c>
      <c r="E535" s="1" t="n">
        <v>46315</v>
      </c>
      <c r="F535" t="inlineStr">
        <is>
          <t>VÄRMLANDS LÄN</t>
        </is>
      </c>
      <c r="G535" t="inlineStr">
        <is>
          <t>HAGFORS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15213-2026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46315</v>
      </c>
      <c r="F536" t="inlineStr">
        <is>
          <t>VÄRMLANDS LÄN</t>
        </is>
      </c>
      <c r="G536" t="inlineStr">
        <is>
          <t>HAGFORS</t>
        </is>
      </c>
      <c r="H536" t="inlineStr">
        <is>
          <t>Kyrkan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46315</v>
      </c>
      <c r="F537" t="inlineStr">
        <is>
          <t>VÄRMLANDS LÄN</t>
        </is>
      </c>
      <c r="G537" t="inlineStr">
        <is>
          <t>HAGFORS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46315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46315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30710-2022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44763</v>
      </c>
      <c r="E540" s="1" t="n">
        <v>46315</v>
      </c>
      <c r="F540" t="inlineStr">
        <is>
          <t>VÄRMLANDS LÄN</t>
        </is>
      </c>
      <c r="G540" t="inlineStr">
        <is>
          <t>HAGFORS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46315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15577-2026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46315</v>
      </c>
      <c r="F542" t="inlineStr">
        <is>
          <t>VÄRMLANDS LÄN</t>
        </is>
      </c>
      <c r="G542" t="inlineStr">
        <is>
          <t>HAGFORS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15504-2026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46315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15491-2026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46315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46315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2315-2024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45310</v>
      </c>
      <c r="E546" s="1" t="n">
        <v>46315</v>
      </c>
      <c r="F546" t="inlineStr">
        <is>
          <t>VÄRMLANDS LÄN</t>
        </is>
      </c>
      <c r="G546" t="inlineStr">
        <is>
          <t>HAGFORS</t>
        </is>
      </c>
      <c r="H546" t="inlineStr">
        <is>
          <t>Kyrkan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16157-2026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46315</v>
      </c>
      <c r="F547" t="inlineStr">
        <is>
          <t>VÄRMLANDS LÄN</t>
        </is>
      </c>
      <c r="G547" t="inlineStr">
        <is>
          <t>HAGFORS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46108</v>
      </c>
      <c r="E548" s="1" t="n">
        <v>46315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46315</v>
      </c>
      <c r="F549" t="inlineStr">
        <is>
          <t>VÄRMLANDS LÄN</t>
        </is>
      </c>
      <c r="G549" t="inlineStr">
        <is>
          <t>HAGFORS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49585-2023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46315</v>
      </c>
      <c r="F550" t="inlineStr">
        <is>
          <t>VÄRMLANDS LÄN</t>
        </is>
      </c>
      <c r="G550" t="inlineStr">
        <is>
          <t>HAGFORS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45087</v>
      </c>
      <c r="E551" s="1" t="n">
        <v>46315</v>
      </c>
      <c r="F551" t="inlineStr">
        <is>
          <t>VÄRMLANDS LÄN</t>
        </is>
      </c>
      <c r="G551" t="inlineStr">
        <is>
          <t>HAGFORS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61304-2023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46315</v>
      </c>
      <c r="F552" t="inlineStr">
        <is>
          <t>VÄRMLANDS LÄN</t>
        </is>
      </c>
      <c r="G552" t="inlineStr">
        <is>
          <t>HAGFORS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5482-2022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44595</v>
      </c>
      <c r="E553" s="1" t="n">
        <v>46315</v>
      </c>
      <c r="F553" t="inlineStr">
        <is>
          <t>VÄRMLANDS LÄN</t>
        </is>
      </c>
      <c r="G553" t="inlineStr">
        <is>
          <t>HAGFORS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46315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30327-2022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44760</v>
      </c>
      <c r="E555" s="1" t="n">
        <v>46315</v>
      </c>
      <c r="F555" t="inlineStr">
        <is>
          <t>VÄRMLANDS LÄN</t>
        </is>
      </c>
      <c r="G555" t="inlineStr">
        <is>
          <t>HAGFORS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28720-2026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46315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46315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46315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45618</v>
      </c>
      <c r="E559" s="1" t="n">
        <v>46315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46315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45212</v>
      </c>
      <c r="E561" s="1" t="n">
        <v>46315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31660-2022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44776</v>
      </c>
      <c r="E562" s="1" t="n">
        <v>46315</v>
      </c>
      <c r="F562" t="inlineStr">
        <is>
          <t>VÄRMLANDS LÄN</t>
        </is>
      </c>
      <c r="G562" t="inlineStr">
        <is>
          <t>HAGFORS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18217-2026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46315</v>
      </c>
      <c r="F563" t="inlineStr">
        <is>
          <t>VÄRMLANDS LÄN</t>
        </is>
      </c>
      <c r="G563" t="inlineStr">
        <is>
          <t>HAGFORS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18528-2026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46127</v>
      </c>
      <c r="E564" s="1" t="n">
        <v>46315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46315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18797-2026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46128</v>
      </c>
      <c r="E566" s="1" t="n">
        <v>46315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45625</v>
      </c>
      <c r="E567" s="1" t="n">
        <v>46315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46315</v>
      </c>
      <c r="F568" t="inlineStr">
        <is>
          <t>VÄRMLANDS LÄN</t>
        </is>
      </c>
      <c r="G568" t="inlineStr">
        <is>
          <t>HAGFORS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18901-2026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46129</v>
      </c>
      <c r="E569" s="1" t="n">
        <v>46315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45476</v>
      </c>
      <c r="E570" s="1" t="n">
        <v>46315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46315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18895-2026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46129</v>
      </c>
      <c r="E572" s="1" t="n">
        <v>46315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46200</v>
      </c>
      <c r="E573" s="1" t="n">
        <v>46315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46200</v>
      </c>
      <c r="E574" s="1" t="n">
        <v>46315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46315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46315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19459-2026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46133</v>
      </c>
      <c r="E577" s="1" t="n">
        <v>46315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46203</v>
      </c>
      <c r="E578" s="1" t="n">
        <v>46315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46203</v>
      </c>
      <c r="E579" s="1" t="n">
        <v>46315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46315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46315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46133</v>
      </c>
      <c r="E582" s="1" t="n">
        <v>46315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46315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19421-2026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46133</v>
      </c>
      <c r="E584" s="1" t="n">
        <v>46315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46315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46315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29400-2026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46315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27855-2026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46191</v>
      </c>
      <c r="E588" s="1" t="n">
        <v>46315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46315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9.6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36206-2024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46315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31812-2024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45509</v>
      </c>
      <c r="E591" s="1" t="n">
        <v>46315</v>
      </c>
      <c r="F591" t="inlineStr">
        <is>
          <t>VÄRMLANDS LÄN</t>
        </is>
      </c>
      <c r="G591" t="inlineStr">
        <is>
          <t>HAGFORS</t>
        </is>
      </c>
      <c r="H591" t="inlineStr">
        <is>
          <t>Kommuner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46315</v>
      </c>
      <c r="F592" t="inlineStr">
        <is>
          <t>VÄRMLANDS LÄN</t>
        </is>
      </c>
      <c r="G592" t="inlineStr">
        <is>
          <t>HAGFORS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42150-2024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45562</v>
      </c>
      <c r="E593" s="1" t="n">
        <v>46315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60178-2023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45258</v>
      </c>
      <c r="E594" s="1" t="n">
        <v>46315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29580-2026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46315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15270-2024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45400</v>
      </c>
      <c r="E596" s="1" t="n">
        <v>46315</v>
      </c>
      <c r="F596" t="inlineStr">
        <is>
          <t>VÄRMLANDS LÄN</t>
        </is>
      </c>
      <c r="G596" t="inlineStr">
        <is>
          <t>HAGFORS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46315</v>
      </c>
      <c r="F597" t="inlineStr">
        <is>
          <t>VÄRMLANDS LÄN</t>
        </is>
      </c>
      <c r="G597" t="inlineStr">
        <is>
          <t>HAGFORS</t>
        </is>
      </c>
      <c r="H597" t="inlineStr">
        <is>
          <t>Kyrkan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8304-2022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44610</v>
      </c>
      <c r="E598" s="1" t="n">
        <v>46315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46315</v>
      </c>
      <c r="F599" t="inlineStr">
        <is>
          <t>VÄRMLANDS LÄN</t>
        </is>
      </c>
      <c r="G599" t="inlineStr">
        <is>
          <t>HAGFORS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55447-2022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44887</v>
      </c>
      <c r="E600" s="1" t="n">
        <v>46315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27410-2023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46315</v>
      </c>
      <c r="F601" t="inlineStr">
        <is>
          <t>VÄRMLANDS LÄN</t>
        </is>
      </c>
      <c r="G601" t="inlineStr">
        <is>
          <t>HAGFORS</t>
        </is>
      </c>
      <c r="H601" t="inlineStr">
        <is>
          <t>Kyrkan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44953</v>
      </c>
      <c r="E602" s="1" t="n">
        <v>46315</v>
      </c>
      <c r="F602" t="inlineStr">
        <is>
          <t>VÄRMLANDS LÄN</t>
        </is>
      </c>
      <c r="G602" t="inlineStr">
        <is>
          <t>HAGFORS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44951</v>
      </c>
      <c r="E603" s="1" t="n">
        <v>46315</v>
      </c>
      <c r="F603" t="inlineStr">
        <is>
          <t>VÄRMLANDS LÄN</t>
        </is>
      </c>
      <c r="G603" t="inlineStr">
        <is>
          <t>HAGFORS</t>
        </is>
      </c>
      <c r="H603" t="inlineStr">
        <is>
          <t>Kommuner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45833</v>
      </c>
      <c r="E604" s="1" t="n">
        <v>46315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46315</v>
      </c>
      <c r="F605" t="inlineStr">
        <is>
          <t>VÄRMLANDS LÄN</t>
        </is>
      </c>
      <c r="G605" t="inlineStr">
        <is>
          <t>HAGFORS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13850-2022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44649</v>
      </c>
      <c r="E606" s="1" t="n">
        <v>46315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30433-2026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46209</v>
      </c>
      <c r="E607" s="1" t="n">
        <v>46315</v>
      </c>
      <c r="F607" t="inlineStr">
        <is>
          <t>VÄRMLANDS LÄN</t>
        </is>
      </c>
      <c r="G607" t="inlineStr">
        <is>
          <t>HAGFORS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21724-2025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46315</v>
      </c>
      <c r="F608" t="inlineStr">
        <is>
          <t>VÄRMLANDS LÄN</t>
        </is>
      </c>
      <c r="G608" t="inlineStr">
        <is>
          <t>HAGFORS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46315</v>
      </c>
      <c r="F609" t="inlineStr">
        <is>
          <t>VÄRMLANDS LÄN</t>
        </is>
      </c>
      <c r="G609" t="inlineStr">
        <is>
          <t>HAGFORS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46315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61902-2021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44502</v>
      </c>
      <c r="E611" s="1" t="n">
        <v>46315</v>
      </c>
      <c r="F611" t="inlineStr">
        <is>
          <t>VÄRMLANDS LÄN</t>
        </is>
      </c>
      <c r="G611" t="inlineStr">
        <is>
          <t>HAGFORS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58307-2023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45250</v>
      </c>
      <c r="E612" s="1" t="n">
        <v>46315</v>
      </c>
      <c r="F612" t="inlineStr">
        <is>
          <t>VÄRMLANDS LÄN</t>
        </is>
      </c>
      <c r="G612" t="inlineStr">
        <is>
          <t>HAGFORS</t>
        </is>
      </c>
      <c r="H612" t="inlineStr">
        <is>
          <t>Kommuner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11104-2022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44628</v>
      </c>
      <c r="E613" s="1" t="n">
        <v>46315</v>
      </c>
      <c r="F613" t="inlineStr">
        <is>
          <t>VÄRMLANDS LÄN</t>
        </is>
      </c>
      <c r="G613" t="inlineStr">
        <is>
          <t>HAGFORS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46315</v>
      </c>
      <c r="F614" t="inlineStr">
        <is>
          <t>VÄRMLANDS LÄN</t>
        </is>
      </c>
      <c r="G614" t="inlineStr">
        <is>
          <t>HAGFORS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39396-2023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46315</v>
      </c>
      <c r="F615" t="inlineStr">
        <is>
          <t>VÄRMLANDS LÄN</t>
        </is>
      </c>
      <c r="G615" t="inlineStr">
        <is>
          <t>HAGFORS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29950-2026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46205</v>
      </c>
      <c r="E616" s="1" t="n">
        <v>46315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30436-2026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46315</v>
      </c>
      <c r="F617" t="inlineStr">
        <is>
          <t>VÄRMLANDS LÄN</t>
        </is>
      </c>
      <c r="G617" t="inlineStr">
        <is>
          <t>HAGFORS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46315</v>
      </c>
      <c r="F618" t="inlineStr">
        <is>
          <t>VÄRMLANDS LÄN</t>
        </is>
      </c>
      <c r="G618" t="inlineStr">
        <is>
          <t>HAGFORS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46315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60664-2023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45259</v>
      </c>
      <c r="E620" s="1" t="n">
        <v>46315</v>
      </c>
      <c r="F620" t="inlineStr">
        <is>
          <t>VÄRMLANDS LÄN</t>
        </is>
      </c>
      <c r="G620" t="inlineStr">
        <is>
          <t>HAGFORS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46315</v>
      </c>
      <c r="F621" t="inlineStr">
        <is>
          <t>VÄRMLANDS LÄN</t>
        </is>
      </c>
      <c r="G621" t="inlineStr">
        <is>
          <t>HAGFORS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45356</v>
      </c>
      <c r="E622" s="1" t="n">
        <v>46315</v>
      </c>
      <c r="F622" t="inlineStr">
        <is>
          <t>VÄRMLANDS LÄN</t>
        </is>
      </c>
      <c r="G622" t="inlineStr">
        <is>
          <t>HAGFORS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44566</v>
      </c>
      <c r="E623" s="1" t="n">
        <v>46315</v>
      </c>
      <c r="F623" t="inlineStr">
        <is>
          <t>VÄRMLANDS LÄN</t>
        </is>
      </c>
      <c r="G623" t="inlineStr">
        <is>
          <t>HAGFORS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59048-2022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44903</v>
      </c>
      <c r="E624" s="1" t="n">
        <v>46315</v>
      </c>
      <c r="F624" t="inlineStr">
        <is>
          <t>VÄRMLANDS LÄN</t>
        </is>
      </c>
      <c r="G624" t="inlineStr">
        <is>
          <t>HAGFORS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29372-2023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45106</v>
      </c>
      <c r="E625" s="1" t="n">
        <v>46315</v>
      </c>
      <c r="F625" t="inlineStr">
        <is>
          <t>VÄRMLANDS LÄN</t>
        </is>
      </c>
      <c r="G625" t="inlineStr">
        <is>
          <t>HAGFORS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60221-2023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45258</v>
      </c>
      <c r="E626" s="1" t="n">
        <v>46315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45525</v>
      </c>
      <c r="E627" s="1" t="n">
        <v>46315</v>
      </c>
      <c r="F627" t="inlineStr">
        <is>
          <t>VÄRMLANDS LÄN</t>
        </is>
      </c>
      <c r="G627" t="inlineStr">
        <is>
          <t>HAGFORS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45147</v>
      </c>
      <c r="E628" s="1" t="n">
        <v>46315</v>
      </c>
      <c r="F628" t="inlineStr">
        <is>
          <t>VÄRMLANDS LÄN</t>
        </is>
      </c>
      <c r="G628" t="inlineStr">
        <is>
          <t>HAGFORS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46225</v>
      </c>
      <c r="E629" s="1" t="n">
        <v>46315</v>
      </c>
      <c r="F629" t="inlineStr">
        <is>
          <t>VÄRMLANDS LÄN</t>
        </is>
      </c>
      <c r="G629" t="inlineStr">
        <is>
          <t>HAGFORS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46225</v>
      </c>
      <c r="E630" s="1" t="n">
        <v>46315</v>
      </c>
      <c r="F630" t="inlineStr">
        <is>
          <t>VÄRMLANDS LÄN</t>
        </is>
      </c>
      <c r="G630" t="inlineStr">
        <is>
          <t>HAGFORS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46190-2024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45581</v>
      </c>
      <c r="E631" s="1" t="n">
        <v>46315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31691-2026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46226</v>
      </c>
      <c r="E632" s="1" t="n">
        <v>46315</v>
      </c>
      <c r="F632" t="inlineStr">
        <is>
          <t>VÄRMLANDS LÄN</t>
        </is>
      </c>
      <c r="G632" t="inlineStr">
        <is>
          <t>HAGFORS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45678</v>
      </c>
      <c r="E633" s="1" t="n">
        <v>46315</v>
      </c>
      <c r="F633" t="inlineStr">
        <is>
          <t>VÄRMLANDS LÄN</t>
        </is>
      </c>
      <c r="G633" t="inlineStr">
        <is>
          <t>HAGFORS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45470</v>
      </c>
      <c r="E634" s="1" t="n">
        <v>46315</v>
      </c>
      <c r="F634" t="inlineStr">
        <is>
          <t>VÄRMLANDS LÄN</t>
        </is>
      </c>
      <c r="G634" t="inlineStr">
        <is>
          <t>HAGFORS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37157-2026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46274</v>
      </c>
      <c r="E635" s="1" t="n">
        <v>46315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7.1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37172-2026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46315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8.699999999999999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37269-2026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46274</v>
      </c>
      <c r="E637" s="1" t="n">
        <v>46315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45726</v>
      </c>
      <c r="E638" s="1" t="n">
        <v>46315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46208-2023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45196</v>
      </c>
      <c r="E639" s="1" t="n">
        <v>46315</v>
      </c>
      <c r="F639" t="inlineStr">
        <is>
          <t>VÄRMLANDS LÄN</t>
        </is>
      </c>
      <c r="G639" t="inlineStr">
        <is>
          <t>HAGFORS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46315</v>
      </c>
      <c r="F640" t="inlineStr">
        <is>
          <t>VÄRMLANDS LÄN</t>
        </is>
      </c>
      <c r="G640" t="inlineStr">
        <is>
          <t>HAGFORS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45324</v>
      </c>
      <c r="E641" s="1" t="n">
        <v>46315</v>
      </c>
      <c r="F641" t="inlineStr">
        <is>
          <t>VÄRMLANDS LÄN</t>
        </is>
      </c>
      <c r="G641" t="inlineStr">
        <is>
          <t>HAGFORS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46315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8.300000000000001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37399-2026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46275</v>
      </c>
      <c r="E643" s="1" t="n">
        <v>46315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46275</v>
      </c>
      <c r="E644" s="1" t="n">
        <v>46315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37497-2026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46275</v>
      </c>
      <c r="E645" s="1" t="n">
        <v>46315</v>
      </c>
      <c r="F645" t="inlineStr">
        <is>
          <t>VÄRMLANDS LÄN</t>
        </is>
      </c>
      <c r="G645" t="inlineStr">
        <is>
          <t>HAGFORS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46280</v>
      </c>
      <c r="E646" s="1" t="n">
        <v>46315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44949</v>
      </c>
      <c r="E647" s="1" t="n">
        <v>46315</v>
      </c>
      <c r="F647" t="inlineStr">
        <is>
          <t>VÄRMLANDS LÄN</t>
        </is>
      </c>
      <c r="G647" t="inlineStr">
        <is>
          <t>HAGFORS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42223-2022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44830</v>
      </c>
      <c r="E648" s="1" t="n">
        <v>46315</v>
      </c>
      <c r="F648" t="inlineStr">
        <is>
          <t>VÄRMLANDS LÄN</t>
        </is>
      </c>
      <c r="G648" t="inlineStr">
        <is>
          <t>HAGFORS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17584-2023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45036</v>
      </c>
      <c r="E649" s="1" t="n">
        <v>46315</v>
      </c>
      <c r="F649" t="inlineStr">
        <is>
          <t>VÄRMLANDS LÄN</t>
        </is>
      </c>
      <c r="G649" t="inlineStr">
        <is>
          <t>HAGFORS</t>
        </is>
      </c>
      <c r="H649" t="inlineStr">
        <is>
          <t>Kommuner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37914-2026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46280</v>
      </c>
      <c r="E650" s="1" t="n">
        <v>46315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38050-2026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46280</v>
      </c>
      <c r="E651" s="1" t="n">
        <v>46315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46280</v>
      </c>
      <c r="E652" s="1" t="n">
        <v>46315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38031-2026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46280</v>
      </c>
      <c r="E653" s="1" t="n">
        <v>46315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6.7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37842-2026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46315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46315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46280</v>
      </c>
      <c r="E656" s="1" t="n">
        <v>46315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8.5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46315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46280</v>
      </c>
      <c r="E658" s="1" t="n">
        <v>46315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38342-2026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46282</v>
      </c>
      <c r="E659" s="1" t="n">
        <v>46315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46282</v>
      </c>
      <c r="E660" s="1" t="n">
        <v>46315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16.6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32696-2023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45112</v>
      </c>
      <c r="E661" s="1" t="n">
        <v>46315</v>
      </c>
      <c r="F661" t="inlineStr">
        <is>
          <t>VÄRMLANDS LÄN</t>
        </is>
      </c>
      <c r="G661" t="inlineStr">
        <is>
          <t>HAGFORS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32490-2026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46239</v>
      </c>
      <c r="E662" s="1" t="n">
        <v>46315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19.3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46239</v>
      </c>
      <c r="E663" s="1" t="n">
        <v>46315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58799-2022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44903</v>
      </c>
      <c r="E664" s="1" t="n">
        <v>46315</v>
      </c>
      <c r="F664" t="inlineStr">
        <is>
          <t>VÄRMLANDS LÄN</t>
        </is>
      </c>
      <c r="G664" t="inlineStr">
        <is>
          <t>HAGFORS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59092-2022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44904</v>
      </c>
      <c r="E665" s="1" t="n">
        <v>46315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20466-2023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45057</v>
      </c>
      <c r="E666" s="1" t="n">
        <v>46315</v>
      </c>
      <c r="F666" t="inlineStr">
        <is>
          <t>VÄRMLANDS LÄN</t>
        </is>
      </c>
      <c r="G666" t="inlineStr">
        <is>
          <t>HAGFORS</t>
        </is>
      </c>
      <c r="H666" t="inlineStr">
        <is>
          <t>Kyrkan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38410-2026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46282</v>
      </c>
      <c r="E667" s="1" t="n">
        <v>46315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32031-2024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45510</v>
      </c>
      <c r="E668" s="1" t="n">
        <v>46315</v>
      </c>
      <c r="F668" t="inlineStr">
        <is>
          <t>VÄRMLANDS LÄN</t>
        </is>
      </c>
      <c r="G668" t="inlineStr">
        <is>
          <t>HAGFORS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38244-2026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46281</v>
      </c>
      <c r="E669" s="1" t="n">
        <v>46315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44876</v>
      </c>
      <c r="E670" s="1" t="n">
        <v>46315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38404-2026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46282</v>
      </c>
      <c r="E671" s="1" t="n">
        <v>46315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38412-2026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46282</v>
      </c>
      <c r="E672" s="1" t="n">
        <v>46315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32507-2026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46239</v>
      </c>
      <c r="E673" s="1" t="n">
        <v>46315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46282</v>
      </c>
      <c r="E674" s="1" t="n">
        <v>46315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45673</v>
      </c>
      <c r="E675" s="1" t="n">
        <v>46315</v>
      </c>
      <c r="F675" t="inlineStr">
        <is>
          <t>VÄRMLANDS LÄN</t>
        </is>
      </c>
      <c r="G675" t="inlineStr">
        <is>
          <t>HAGFORS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18014-2024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45419</v>
      </c>
      <c r="E676" s="1" t="n">
        <v>46315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32483-2026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46315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46315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38687-2026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46283</v>
      </c>
      <c r="E679" s="1" t="n">
        <v>46315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45308</v>
      </c>
      <c r="E680" s="1" t="n">
        <v>46315</v>
      </c>
      <c r="F680" t="inlineStr">
        <is>
          <t>VÄRMLANDS LÄN</t>
        </is>
      </c>
      <c r="G680" t="inlineStr">
        <is>
          <t>HAGFORS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45149</v>
      </c>
      <c r="E681" s="1" t="n">
        <v>46315</v>
      </c>
      <c r="F681" t="inlineStr">
        <is>
          <t>VÄRMLANDS LÄN</t>
        </is>
      </c>
      <c r="G681" t="inlineStr">
        <is>
          <t>HAGFORS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56895-2023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45244</v>
      </c>
      <c r="E682" s="1" t="n">
        <v>46315</v>
      </c>
      <c r="F682" t="inlineStr">
        <is>
          <t>VÄRMLANDS LÄN</t>
        </is>
      </c>
      <c r="G682" t="inlineStr">
        <is>
          <t>HAGFORS</t>
        </is>
      </c>
      <c r="I682" t="n">
        <v>0.3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46241</v>
      </c>
      <c r="E683" s="1" t="n">
        <v>46315</v>
      </c>
      <c r="F683" t="inlineStr">
        <is>
          <t>VÄRMLANDS LÄN</t>
        </is>
      </c>
      <c r="G683" t="inlineStr">
        <is>
          <t>HAGFORS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35664-2023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46315</v>
      </c>
      <c r="F684" t="inlineStr">
        <is>
          <t>VÄRMLANDS LÄN</t>
        </is>
      </c>
      <c r="G684" t="inlineStr">
        <is>
          <t>HAGFORS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38951-2026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46286</v>
      </c>
      <c r="E685" s="1" t="n">
        <v>46315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38573-2026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46283</v>
      </c>
      <c r="E686" s="1" t="n">
        <v>46315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46241</v>
      </c>
      <c r="E687" s="1" t="n">
        <v>46315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32713-2026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46315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33073-2026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46245</v>
      </c>
      <c r="E689" s="1" t="n">
        <v>46315</v>
      </c>
      <c r="F689" t="inlineStr">
        <is>
          <t>VÄRMLANDS LÄN</t>
        </is>
      </c>
      <c r="G689" t="inlineStr">
        <is>
          <t>HAGFORS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45699</v>
      </c>
      <c r="E690" s="1" t="n">
        <v>46315</v>
      </c>
      <c r="F690" t="inlineStr">
        <is>
          <t>VÄRMLANDS LÄN</t>
        </is>
      </c>
      <c r="G690" t="inlineStr">
        <is>
          <t>HAGFORS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39116-2026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46287</v>
      </c>
      <c r="E691" s="1" t="n">
        <v>46315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45328</v>
      </c>
      <c r="E692" s="1" t="n">
        <v>46315</v>
      </c>
      <c r="F692" t="inlineStr">
        <is>
          <t>VÄRMLANDS LÄN</t>
        </is>
      </c>
      <c r="G692" t="inlineStr">
        <is>
          <t>HAGFORS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39345-2026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46288</v>
      </c>
      <c r="E693" s="1" t="n">
        <v>46315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19056-2026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46315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39382-2026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46288</v>
      </c>
      <c r="E695" s="1" t="n">
        <v>46315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39347-2026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46288</v>
      </c>
      <c r="E696" s="1" t="n">
        <v>46315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39070-2026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46287</v>
      </c>
      <c r="E697" s="1" t="n">
        <v>46315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45386</v>
      </c>
      <c r="E698" s="1" t="n">
        <v>46315</v>
      </c>
      <c r="F698" t="inlineStr">
        <is>
          <t>VÄRMLANDS LÄN</t>
        </is>
      </c>
      <c r="G698" t="inlineStr">
        <is>
          <t>HAGFORS</t>
        </is>
      </c>
      <c r="H698" t="inlineStr">
        <is>
          <t>Kommuner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39186-2026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46287</v>
      </c>
      <c r="E699" s="1" t="n">
        <v>46315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48276-2024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45590</v>
      </c>
      <c r="E700" s="1" t="n">
        <v>46315</v>
      </c>
      <c r="F700" t="inlineStr">
        <is>
          <t>VÄRMLANDS LÄN</t>
        </is>
      </c>
      <c r="G700" t="inlineStr">
        <is>
          <t>HAGFORS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39532-2026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46289</v>
      </c>
      <c r="E701" s="1" t="n">
        <v>46315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46315</v>
      </c>
      <c r="F702" t="inlineStr">
        <is>
          <t>VÄRMLANDS LÄN</t>
        </is>
      </c>
      <c r="G702" t="inlineStr">
        <is>
          <t>HAGFORS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39825-2026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46315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46290</v>
      </c>
      <c r="E704" s="1" t="n">
        <v>46315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33146-2024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45518</v>
      </c>
      <c r="E705" s="1" t="n">
        <v>46315</v>
      </c>
      <c r="F705" t="inlineStr">
        <is>
          <t>VÄRMLANDS LÄN</t>
        </is>
      </c>
      <c r="G705" t="inlineStr">
        <is>
          <t>HAGFORS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51346-2022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44869</v>
      </c>
      <c r="E706" s="1" t="n">
        <v>46315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39566-2026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46289</v>
      </c>
      <c r="E707" s="1" t="n">
        <v>46315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39605-2026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46289</v>
      </c>
      <c r="E708" s="1" t="n">
        <v>46315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32033-2024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45510</v>
      </c>
      <c r="E709" s="1" t="n">
        <v>46315</v>
      </c>
      <c r="F709" t="inlineStr">
        <is>
          <t>VÄRMLANDS LÄN</t>
        </is>
      </c>
      <c r="G709" t="inlineStr">
        <is>
          <t>HAGFORS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39577-2026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46289</v>
      </c>
      <c r="E710" s="1" t="n">
        <v>46315</v>
      </c>
      <c r="F710" t="inlineStr">
        <is>
          <t>VÄRMLANDS LÄN</t>
        </is>
      </c>
      <c r="G710" t="inlineStr">
        <is>
          <t>HAGFORS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39706-2026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46315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39708-2026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46315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39727-2026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46315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40428-2026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46294</v>
      </c>
      <c r="E714" s="1" t="n">
        <v>46315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46290</v>
      </c>
      <c r="E715" s="1" t="n">
        <v>46315</v>
      </c>
      <c r="F715" t="inlineStr">
        <is>
          <t>VÄRMLANDS LÄN</t>
        </is>
      </c>
      <c r="G715" t="inlineStr">
        <is>
          <t>HAGFORS</t>
        </is>
      </c>
      <c r="I715" t="n">
        <v>6.4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40205-2026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46315</v>
      </c>
      <c r="F716" t="inlineStr">
        <is>
          <t>VÄRMLANDS LÄN</t>
        </is>
      </c>
      <c r="G716" t="inlineStr">
        <is>
          <t>HAGFORS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46248</v>
      </c>
      <c r="E717" s="1" t="n">
        <v>46315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40351-2026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46294</v>
      </c>
      <c r="E718" s="1" t="n">
        <v>46315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40436-2026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46294</v>
      </c>
      <c r="E719" s="1" t="n">
        <v>46315</v>
      </c>
      <c r="F719" t="inlineStr">
        <is>
          <t>VÄRMLANDS LÄN</t>
        </is>
      </c>
      <c r="G719" t="inlineStr">
        <is>
          <t>HAGFORS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56888-2023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45244</v>
      </c>
      <c r="E720" s="1" t="n">
        <v>46315</v>
      </c>
      <c r="F720" t="inlineStr">
        <is>
          <t>VÄRMLANDS LÄN</t>
        </is>
      </c>
      <c r="G720" t="inlineStr">
        <is>
          <t>HAGFORS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46293</v>
      </c>
      <c r="E722" s="1" t="n">
        <v>46315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46293</v>
      </c>
      <c r="E723" s="1" t="n">
        <v>46315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46294</v>
      </c>
      <c r="E724" s="1" t="n">
        <v>46315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40191-2026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46315</v>
      </c>
      <c r="F725" t="inlineStr">
        <is>
          <t>VÄRMLANDS LÄN</t>
        </is>
      </c>
      <c r="G725" t="inlineStr">
        <is>
          <t>HAGFORS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33515-2026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46248</v>
      </c>
      <c r="E726" s="1" t="n">
        <v>46315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33627-2026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46248</v>
      </c>
      <c r="E727" s="1" t="n">
        <v>46315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46293</v>
      </c>
      <c r="E728" s="1" t="n">
        <v>46315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40130-2026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46293</v>
      </c>
      <c r="E729" s="1" t="n">
        <v>46315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40157-2026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46290</v>
      </c>
      <c r="E730" s="1" t="n">
        <v>46315</v>
      </c>
      <c r="F730" t="inlineStr">
        <is>
          <t>VÄRMLANDS LÄN</t>
        </is>
      </c>
      <c r="G730" t="inlineStr">
        <is>
          <t>HAGFORS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46293</v>
      </c>
      <c r="E731" s="1" t="n">
        <v>46315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40071-2026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46293</v>
      </c>
      <c r="E732" s="1" t="n">
        <v>46315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40207-2026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46290</v>
      </c>
      <c r="E733" s="1" t="n">
        <v>46315</v>
      </c>
      <c r="F733" t="inlineStr">
        <is>
          <t>VÄRMLANDS LÄN</t>
        </is>
      </c>
      <c r="G733" t="inlineStr">
        <is>
          <t>HAGFORS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60974-2024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45645</v>
      </c>
      <c r="E734" s="1" t="n">
        <v>46315</v>
      </c>
      <c r="F734" t="inlineStr">
        <is>
          <t>VÄRMLANDS LÄN</t>
        </is>
      </c>
      <c r="G734" t="inlineStr">
        <is>
          <t>HAGFORS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40188-2026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46293</v>
      </c>
      <c r="E735" s="1" t="n">
        <v>46315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40440-2026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46294</v>
      </c>
      <c r="E736" s="1" t="n">
        <v>46315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35775-2024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45532</v>
      </c>
      <c r="E737" s="1" t="n">
        <v>46315</v>
      </c>
      <c r="F737" t="inlineStr">
        <is>
          <t>VÄRMLANDS LÄN</t>
        </is>
      </c>
      <c r="G737" t="inlineStr">
        <is>
          <t>HAGFORS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45238-2024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45575</v>
      </c>
      <c r="E738" s="1" t="n">
        <v>46315</v>
      </c>
      <c r="F738" t="inlineStr">
        <is>
          <t>VÄRMLANDS LÄN</t>
        </is>
      </c>
      <c r="G738" t="inlineStr">
        <is>
          <t>HAGFORS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46290</v>
      </c>
      <c r="E739" s="1" t="n">
        <v>46315</v>
      </c>
      <c r="F739" t="inlineStr">
        <is>
          <t>VÄRMLANDS LÄN</t>
        </is>
      </c>
      <c r="G739" t="inlineStr">
        <is>
          <t>HAGFORS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46315</v>
      </c>
      <c r="F740" t="inlineStr">
        <is>
          <t>VÄRMLANDS LÄN</t>
        </is>
      </c>
      <c r="G740" t="inlineStr">
        <is>
          <t>HAGFORS</t>
        </is>
      </c>
      <c r="I740" t="n">
        <v>9.1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26777-2023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45093</v>
      </c>
      <c r="E741" s="1" t="n">
        <v>46315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56165-2024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45624</v>
      </c>
      <c r="E742" s="1" t="n">
        <v>46315</v>
      </c>
      <c r="F742" t="inlineStr">
        <is>
          <t>VÄRMLANDS LÄN</t>
        </is>
      </c>
      <c r="G742" t="inlineStr">
        <is>
          <t>HAGFORS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33833-2026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46251</v>
      </c>
      <c r="E743" s="1" t="n">
        <v>46315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45684</v>
      </c>
      <c r="E744" s="1" t="n">
        <v>46315</v>
      </c>
      <c r="F744" t="inlineStr">
        <is>
          <t>VÄRMLANDS LÄN</t>
        </is>
      </c>
      <c r="G744" t="inlineStr">
        <is>
          <t>HAGFORS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4012-2025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45684</v>
      </c>
      <c r="E745" s="1" t="n">
        <v>46315</v>
      </c>
      <c r="F745" t="inlineStr">
        <is>
          <t>VÄRMLANDS LÄN</t>
        </is>
      </c>
      <c r="G745" t="inlineStr">
        <is>
          <t>HAGFORS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40537-2026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46295</v>
      </c>
      <c r="E746" s="1" t="n">
        <v>46315</v>
      </c>
      <c r="F746" t="inlineStr">
        <is>
          <t>VÄRMLANDS LÄN</t>
        </is>
      </c>
      <c r="G746" t="inlineStr">
        <is>
          <t>HAGFORS</t>
        </is>
      </c>
      <c r="H746" t="inlineStr">
        <is>
          <t>Kommuner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19894-2024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45433</v>
      </c>
      <c r="E747" s="1" t="n">
        <v>46315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45335</v>
      </c>
      <c r="E748" s="1" t="n">
        <v>46315</v>
      </c>
      <c r="F748" t="inlineStr">
        <is>
          <t>VÄRMLANDS LÄN</t>
        </is>
      </c>
      <c r="G748" t="inlineStr">
        <is>
          <t>HAGFORS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46315</v>
      </c>
      <c r="F749" t="inlineStr">
        <is>
          <t>VÄRMLANDS LÄN</t>
        </is>
      </c>
      <c r="G749" t="inlineStr">
        <is>
          <t>HAGFORS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40547-2026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46295</v>
      </c>
      <c r="E750" s="1" t="n">
        <v>46315</v>
      </c>
      <c r="F750" t="inlineStr">
        <is>
          <t>VÄRMLANDS LÄN</t>
        </is>
      </c>
      <c r="G750" t="inlineStr">
        <is>
          <t>HAGFORS</t>
        </is>
      </c>
      <c r="H750" t="inlineStr">
        <is>
          <t>Kommuner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34014-2026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46252</v>
      </c>
      <c r="E751" s="1" t="n">
        <v>46315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36228-2024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45534</v>
      </c>
      <c r="E752" s="1" t="n">
        <v>46315</v>
      </c>
      <c r="F752" t="inlineStr">
        <is>
          <t>VÄRMLANDS LÄN</t>
        </is>
      </c>
      <c r="G752" t="inlineStr">
        <is>
          <t>HAGFORS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42173-2024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45562</v>
      </c>
      <c r="E753" s="1" t="n">
        <v>46315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42178-2024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46315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42235-2024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45562</v>
      </c>
      <c r="E755" s="1" t="n">
        <v>46315</v>
      </c>
      <c r="F755" t="inlineStr">
        <is>
          <t>VÄRMLANDS LÄN</t>
        </is>
      </c>
      <c r="G755" t="inlineStr">
        <is>
          <t>HAGFORS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40538-2026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46295</v>
      </c>
      <c r="E756" s="1" t="n">
        <v>46315</v>
      </c>
      <c r="F756" t="inlineStr">
        <is>
          <t>VÄRMLANDS LÄN</t>
        </is>
      </c>
      <c r="G756" t="inlineStr">
        <is>
          <t>HAGFORS</t>
        </is>
      </c>
      <c r="H756" t="inlineStr">
        <is>
          <t>Kommuner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21067-2025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45777</v>
      </c>
      <c r="E757" s="1" t="n">
        <v>46315</v>
      </c>
      <c r="F757" t="inlineStr">
        <is>
          <t>VÄRMLANDS LÄN</t>
        </is>
      </c>
      <c r="G757" t="inlineStr">
        <is>
          <t>HAGFORS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45587</v>
      </c>
      <c r="E758" s="1" t="n">
        <v>46315</v>
      </c>
      <c r="F758" t="inlineStr">
        <is>
          <t>VÄRMLANDS LÄN</t>
        </is>
      </c>
      <c r="G758" t="inlineStr">
        <is>
          <t>HAGFORS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45460</v>
      </c>
      <c r="E759" s="1" t="n">
        <v>46315</v>
      </c>
      <c r="F759" t="inlineStr">
        <is>
          <t>VÄRMLANDS LÄN</t>
        </is>
      </c>
      <c r="G759" t="inlineStr">
        <is>
          <t>HAGFORS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34522-2026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46255</v>
      </c>
      <c r="E760" s="1" t="n">
        <v>46315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40332-2023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45169</v>
      </c>
      <c r="E761" s="1" t="n">
        <v>46315</v>
      </c>
      <c r="F761" t="inlineStr">
        <is>
          <t>VÄRMLANDS LÄN</t>
        </is>
      </c>
      <c r="G761" t="inlineStr">
        <is>
          <t>HAGFORS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34523-2026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46255</v>
      </c>
      <c r="E762" s="1" t="n">
        <v>46315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34456-2026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46254</v>
      </c>
      <c r="E763" s="1" t="n">
        <v>46315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21723-2025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45783</v>
      </c>
      <c r="E764" s="1" t="n">
        <v>46315</v>
      </c>
      <c r="F764" t="inlineStr">
        <is>
          <t>VÄRMLANDS LÄN</t>
        </is>
      </c>
      <c r="G764" t="inlineStr">
        <is>
          <t>HAGFORS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46315</v>
      </c>
      <c r="F765" t="inlineStr">
        <is>
          <t>VÄRMLANDS LÄN</t>
        </is>
      </c>
      <c r="G765" t="inlineStr">
        <is>
          <t>HAGFORS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46315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41050-2026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46300</v>
      </c>
      <c r="E767" s="1" t="n">
        <v>46315</v>
      </c>
      <c r="F767" t="inlineStr">
        <is>
          <t>VÄRMLANDS LÄN</t>
        </is>
      </c>
      <c r="G767" t="inlineStr">
        <is>
          <t>HAGFORS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46300</v>
      </c>
      <c r="E768" s="1" t="n">
        <v>46315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45786</v>
      </c>
      <c r="E769" s="1" t="n">
        <v>46315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34399-2026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46315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44683</v>
      </c>
      <c r="E771" s="1" t="n">
        <v>46315</v>
      </c>
      <c r="F771" t="inlineStr">
        <is>
          <t>VÄRMLANDS LÄN</t>
        </is>
      </c>
      <c r="G771" t="inlineStr">
        <is>
          <t>HAGFORS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33821-2026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46251</v>
      </c>
      <c r="E772" s="1" t="n">
        <v>46315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46315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34552-2026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46315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46315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23268-2025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45791</v>
      </c>
      <c r="E776" s="1" t="n">
        <v>46315</v>
      </c>
      <c r="F776" t="inlineStr">
        <is>
          <t>VÄRMLANDS LÄN</t>
        </is>
      </c>
      <c r="G776" t="inlineStr">
        <is>
          <t>HAGFORS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23556-2025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45792</v>
      </c>
      <c r="E777" s="1" t="n">
        <v>46315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46315</v>
      </c>
      <c r="F778" t="inlineStr">
        <is>
          <t>VÄRMLANDS LÄN</t>
        </is>
      </c>
      <c r="G778" t="inlineStr">
        <is>
          <t>HAGFORS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40176-2026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46290</v>
      </c>
      <c r="E779" s="1" t="n">
        <v>46315</v>
      </c>
      <c r="F779" t="inlineStr">
        <is>
          <t>VÄRMLANDS LÄN</t>
        </is>
      </c>
      <c r="G779" t="inlineStr">
        <is>
          <t>HAGFORS</t>
        </is>
      </c>
      <c r="I779" t="n">
        <v>14.3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46301</v>
      </c>
      <c r="E780" s="1" t="n">
        <v>46315</v>
      </c>
      <c r="F780" t="inlineStr">
        <is>
          <t>VÄRMLANDS LÄN</t>
        </is>
      </c>
      <c r="G780" t="inlineStr">
        <is>
          <t>HAGFORS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46315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38239-2024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45545</v>
      </c>
      <c r="E782" s="1" t="n">
        <v>46315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54008-2024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45615</v>
      </c>
      <c r="E783" s="1" t="n">
        <v>46315</v>
      </c>
      <c r="F783" t="inlineStr">
        <is>
          <t>VÄRMLANDS LÄN</t>
        </is>
      </c>
      <c r="G783" t="inlineStr">
        <is>
          <t>HAGFORS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55950-2024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45623</v>
      </c>
      <c r="E784" s="1" t="n">
        <v>46315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23674-2025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45793</v>
      </c>
      <c r="E785" s="1" t="n">
        <v>46315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15643-2024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45404</v>
      </c>
      <c r="E786" s="1" t="n">
        <v>46315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46315</v>
      </c>
      <c r="F787" t="inlineStr">
        <is>
          <t>VÄRMLANDS LÄN</t>
        </is>
      </c>
      <c r="G787" t="inlineStr">
        <is>
          <t>HAGFORS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24435-2025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45797</v>
      </c>
      <c r="E788" s="1" t="n">
        <v>46315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46315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24434-2025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45797</v>
      </c>
      <c r="E790" s="1" t="n">
        <v>46315</v>
      </c>
      <c r="F790" t="inlineStr">
        <is>
          <t>VÄRMLANDS LÄN</t>
        </is>
      </c>
      <c r="G790" t="inlineStr">
        <is>
          <t>HAGFORS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13524-2025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46315</v>
      </c>
      <c r="F791" t="inlineStr">
        <is>
          <t>VÄRMLANDS LÄN</t>
        </is>
      </c>
      <c r="G791" t="inlineStr">
        <is>
          <t>HAGFORS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24438-2025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46315</v>
      </c>
      <c r="F792" t="inlineStr">
        <is>
          <t>VÄRMLANDS LÄN</t>
        </is>
      </c>
      <c r="G792" t="inlineStr">
        <is>
          <t>HAGFORS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35386-2026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46261</v>
      </c>
      <c r="E793" s="1" t="n">
        <v>46315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45799</v>
      </c>
      <c r="E794" s="1" t="n">
        <v>46315</v>
      </c>
      <c r="F794" t="inlineStr">
        <is>
          <t>VÄRMLANDS LÄN</t>
        </is>
      </c>
      <c r="G794" t="inlineStr">
        <is>
          <t>HAGFORS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24793-2025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45799</v>
      </c>
      <c r="E795" s="1" t="n">
        <v>46315</v>
      </c>
      <c r="F795" t="inlineStr">
        <is>
          <t>VÄRMLANDS LÄN</t>
        </is>
      </c>
      <c r="G795" t="inlineStr">
        <is>
          <t>HAGFORS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25031-2025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45799</v>
      </c>
      <c r="E796" s="1" t="n">
        <v>46315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35186-2026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46260</v>
      </c>
      <c r="E797" s="1" t="n">
        <v>46315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35310-2026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46261</v>
      </c>
      <c r="E798" s="1" t="n">
        <v>46315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33823-2025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45842</v>
      </c>
      <c r="E799" s="1" t="n">
        <v>46315</v>
      </c>
      <c r="F799" t="inlineStr">
        <is>
          <t>VÄRMLANDS LÄN</t>
        </is>
      </c>
      <c r="G799" t="inlineStr">
        <is>
          <t>HAGFORS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35184-2026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46260</v>
      </c>
      <c r="E800" s="1" t="n">
        <v>46315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35173-2026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46260</v>
      </c>
      <c r="E801" s="1" t="n">
        <v>46315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18.2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38474-2024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45546</v>
      </c>
      <c r="E802" s="1" t="n">
        <v>46315</v>
      </c>
      <c r="F802" t="inlineStr">
        <is>
          <t>VÄRMLANDS LÄN</t>
        </is>
      </c>
      <c r="G802" t="inlineStr">
        <is>
          <t>HAGFORS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26463-2025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45807</v>
      </c>
      <c r="E803" s="1" t="n">
        <v>46315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52383-2024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46315</v>
      </c>
      <c r="F804" t="inlineStr">
        <is>
          <t>VÄRMLANDS LÄN</t>
        </is>
      </c>
      <c r="G804" t="inlineStr">
        <is>
          <t>HAGFORS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16755-2025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45754</v>
      </c>
      <c r="E805" s="1" t="n">
        <v>46315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42264-2026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46307</v>
      </c>
      <c r="E806" s="1" t="n">
        <v>46315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35749-2026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46265</v>
      </c>
      <c r="E807" s="1" t="n">
        <v>46315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26617-2025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45810</v>
      </c>
      <c r="E808" s="1" t="n">
        <v>46315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35781-2026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46265</v>
      </c>
      <c r="E809" s="1" t="n">
        <v>46315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45811</v>
      </c>
      <c r="E810" s="1" t="n">
        <v>46315</v>
      </c>
      <c r="F810" t="inlineStr">
        <is>
          <t>VÄRMLANDS LÄN</t>
        </is>
      </c>
      <c r="G810" t="inlineStr">
        <is>
          <t>HAGFORS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35574-2026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46262</v>
      </c>
      <c r="E811" s="1" t="n">
        <v>46315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26980-2025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45811</v>
      </c>
      <c r="E812" s="1" t="n">
        <v>46315</v>
      </c>
      <c r="F812" t="inlineStr">
        <is>
          <t>VÄRMLANDS LÄN</t>
        </is>
      </c>
      <c r="G812" t="inlineStr">
        <is>
          <t>HAGFORS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26982-2025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45811</v>
      </c>
      <c r="E813" s="1" t="n">
        <v>46315</v>
      </c>
      <c r="F813" t="inlineStr">
        <is>
          <t>VÄRMLANDS LÄN</t>
        </is>
      </c>
      <c r="G813" t="inlineStr">
        <is>
          <t>HAGFORS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27319-2025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45812</v>
      </c>
      <c r="E814" s="1" t="n">
        <v>46315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27229-2025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45812</v>
      </c>
      <c r="E815" s="1" t="n">
        <v>46315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42329-2026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46307</v>
      </c>
      <c r="E816" s="1" t="n">
        <v>46315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27119-2025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45811</v>
      </c>
      <c r="E817" s="1" t="n">
        <v>46315</v>
      </c>
      <c r="F817" t="inlineStr">
        <is>
          <t>VÄRMLANDS LÄN</t>
        </is>
      </c>
      <c r="G817" t="inlineStr">
        <is>
          <t>HAGFORS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27181-2025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46315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45812</v>
      </c>
      <c r="E819" s="1" t="n">
        <v>46315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27263-2025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45812</v>
      </c>
      <c r="E820" s="1" t="n">
        <v>46315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50922-2023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45211</v>
      </c>
      <c r="E821" s="1" t="n">
        <v>46315</v>
      </c>
      <c r="F821" t="inlineStr">
        <is>
          <t>VÄRMLANDS LÄN</t>
        </is>
      </c>
      <c r="G821" t="inlineStr">
        <is>
          <t>HAGFORS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42314-2026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46307</v>
      </c>
      <c r="E822" s="1" t="n">
        <v>46315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46307</v>
      </c>
      <c r="E823" s="1" t="n">
        <v>46315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16.8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28309-2025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45818</v>
      </c>
      <c r="E824" s="1" t="n">
        <v>46315</v>
      </c>
      <c r="F824" t="inlineStr">
        <is>
          <t>VÄRMLANDS LÄN</t>
        </is>
      </c>
      <c r="G824" t="inlineStr">
        <is>
          <t>HAGFORS</t>
        </is>
      </c>
      <c r="H824" t="inlineStr">
        <is>
          <t>Kyrkan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42263-2026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46307</v>
      </c>
      <c r="E825" s="1" t="n">
        <v>46315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42279-2026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46307</v>
      </c>
      <c r="E826" s="1" t="n">
        <v>46315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42259-2026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46307</v>
      </c>
      <c r="E827" s="1" t="n">
        <v>46315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42492-2026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46308</v>
      </c>
      <c r="E828" s="1" t="n">
        <v>46315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42691-2026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46309</v>
      </c>
      <c r="E829" s="1" t="n">
        <v>46315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42776-2026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46309</v>
      </c>
      <c r="E830" s="1" t="n">
        <v>46315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28437-2025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45819</v>
      </c>
      <c r="E831" s="1" t="n">
        <v>46315</v>
      </c>
      <c r="F831" t="inlineStr">
        <is>
          <t>VÄRMLANDS LÄN</t>
        </is>
      </c>
      <c r="G831" t="inlineStr">
        <is>
          <t>HAGFORS</t>
        </is>
      </c>
      <c r="H831" t="inlineStr">
        <is>
          <t>Kyrkan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29149-2025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45821</v>
      </c>
      <c r="E832" s="1" t="n">
        <v>46315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29115-2025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45821</v>
      </c>
      <c r="E833" s="1" t="n">
        <v>46315</v>
      </c>
      <c r="F833" t="inlineStr">
        <is>
          <t>VÄRMLANDS LÄN</t>
        </is>
      </c>
      <c r="G833" t="inlineStr">
        <is>
          <t>HAGFORS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42637-2026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46309</v>
      </c>
      <c r="E834" s="1" t="n">
        <v>46315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29949-2025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45826</v>
      </c>
      <c r="E835" s="1" t="n">
        <v>46315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15.9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29958-2025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45826</v>
      </c>
      <c r="E836" s="1" t="n">
        <v>46315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6.8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42737-2026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46309</v>
      </c>
      <c r="E837" s="1" t="n">
        <v>46315</v>
      </c>
      <c r="F837" t="inlineStr">
        <is>
          <t>VÄRMLANDS LÄN</t>
        </is>
      </c>
      <c r="G837" t="inlineStr">
        <is>
          <t>HAGFORS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30124-2025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45826</v>
      </c>
      <c r="E838" s="1" t="n">
        <v>46315</v>
      </c>
      <c r="F838" t="inlineStr">
        <is>
          <t>VÄRMLANDS LÄN</t>
        </is>
      </c>
      <c r="G838" t="inlineStr">
        <is>
          <t>HAGFORS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30778-2025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45831</v>
      </c>
      <c r="E839" s="1" t="n">
        <v>46315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36110-2026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46267</v>
      </c>
      <c r="E840" s="1" t="n">
        <v>46315</v>
      </c>
      <c r="F840" t="inlineStr">
        <is>
          <t>VÄRMLANDS LÄN</t>
        </is>
      </c>
      <c r="G840" t="inlineStr">
        <is>
          <t>HAGFORS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36055-2026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46267</v>
      </c>
      <c r="E841" s="1" t="n">
        <v>46315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9.699999999999999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42625-2026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46309</v>
      </c>
      <c r="E842" s="1" t="n">
        <v>46315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36221-2026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46268</v>
      </c>
      <c r="E843" s="1" t="n">
        <v>46315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43073-2026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46311</v>
      </c>
      <c r="E844" s="1" t="n">
        <v>46315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36281-2026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46268</v>
      </c>
      <c r="E845" s="1" t="n">
        <v>46315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7.6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43029-2026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46311</v>
      </c>
      <c r="E846" s="1" t="n">
        <v>46315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15.9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33364-2025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46315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33440-2025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45841</v>
      </c>
      <c r="E848" s="1" t="n">
        <v>46315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36542-2026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46269</v>
      </c>
      <c r="E849" s="1" t="n">
        <v>46315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36642-2026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46272</v>
      </c>
      <c r="E850" s="1" t="n">
        <v>46315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8.800000000000001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36446-2026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46269</v>
      </c>
      <c r="E851" s="1" t="n">
        <v>46315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36447-2026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46269</v>
      </c>
      <c r="E852" s="1" t="n">
        <v>46315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33454-2025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45841</v>
      </c>
      <c r="E853" s="1" t="n">
        <v>46315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34107-2025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45845</v>
      </c>
      <c r="E854" s="1" t="n">
        <v>46315</v>
      </c>
      <c r="F854" t="inlineStr">
        <is>
          <t>VÄRMLANDS LÄN</t>
        </is>
      </c>
      <c r="G854" t="inlineStr">
        <is>
          <t>HAGFORS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34133-2025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45845</v>
      </c>
      <c r="E855" s="1" t="n">
        <v>46315</v>
      </c>
      <c r="F855" t="inlineStr">
        <is>
          <t>VÄRMLANDS LÄN</t>
        </is>
      </c>
      <c r="G855" t="inlineStr">
        <is>
          <t>HAGFORS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34149-2025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45845</v>
      </c>
      <c r="E856" s="1" t="n">
        <v>46315</v>
      </c>
      <c r="F856" t="inlineStr">
        <is>
          <t>VÄRMLANDS LÄN</t>
        </is>
      </c>
      <c r="G856" t="inlineStr">
        <is>
          <t>HAGFORS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36676-2026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46272</v>
      </c>
      <c r="E857" s="1" t="n">
        <v>46315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21954-2025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45784</v>
      </c>
      <c r="E858" s="1" t="n">
        <v>46315</v>
      </c>
      <c r="F858" t="inlineStr">
        <is>
          <t>VÄRMLANDS LÄN</t>
        </is>
      </c>
      <c r="G858" t="inlineStr">
        <is>
          <t>HAGFORS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19515-2025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45770</v>
      </c>
      <c r="E859" s="1" t="n">
        <v>46315</v>
      </c>
      <c r="F859" t="inlineStr">
        <is>
          <t>VÄRMLANDS LÄN</t>
        </is>
      </c>
      <c r="G859" t="inlineStr">
        <is>
          <t>HAGFORS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42801-2024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45565</v>
      </c>
      <c r="E860" s="1" t="n">
        <v>46315</v>
      </c>
      <c r="F860" t="inlineStr">
        <is>
          <t>VÄRMLANDS LÄN</t>
        </is>
      </c>
      <c r="G860" t="inlineStr">
        <is>
          <t>HAGFORS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43030-2026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46311</v>
      </c>
      <c r="E861" s="1" t="n">
        <v>46315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36556-2026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46269</v>
      </c>
      <c r="E862" s="1" t="n">
        <v>46315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35289-2025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45854</v>
      </c>
      <c r="E863" s="1" t="n">
        <v>46315</v>
      </c>
      <c r="F863" t="inlineStr">
        <is>
          <t>VÄRMLANDS LÄN</t>
        </is>
      </c>
      <c r="G863" t="inlineStr">
        <is>
          <t>HAGFORS</t>
        </is>
      </c>
      <c r="H863" t="inlineStr">
        <is>
          <t>Kyrkan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45854</v>
      </c>
      <c r="E864" s="1" t="n">
        <v>46315</v>
      </c>
      <c r="F864" t="inlineStr">
        <is>
          <t>VÄRMLANDS LÄN</t>
        </is>
      </c>
      <c r="G864" t="inlineStr">
        <is>
          <t>HAGFORS</t>
        </is>
      </c>
      <c r="H864" t="inlineStr">
        <is>
          <t>Kyrkan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36721-2026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46272</v>
      </c>
      <c r="E865" s="1" t="n">
        <v>46315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19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36448-2026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46269</v>
      </c>
      <c r="E866" s="1" t="n">
        <v>46315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36240-2026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46268</v>
      </c>
      <c r="E867" s="1" t="n">
        <v>46315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8.800000000000001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23813-2025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46315</v>
      </c>
      <c r="F868" t="inlineStr">
        <is>
          <t>VÄRMLANDS LÄN</t>
        </is>
      </c>
      <c r="G868" t="inlineStr">
        <is>
          <t>HAGFORS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36728-2026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46272</v>
      </c>
      <c r="E869" s="1" t="n">
        <v>46315</v>
      </c>
      <c r="F869" t="inlineStr">
        <is>
          <t>VÄRMLANDS LÄN</t>
        </is>
      </c>
      <c r="G869" t="inlineStr">
        <is>
          <t>HAGFORS</t>
        </is>
      </c>
      <c r="H869" t="inlineStr">
        <is>
          <t>Kyrkan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32604-2025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45838</v>
      </c>
      <c r="E870" s="1" t="n">
        <v>46315</v>
      </c>
      <c r="F870" t="inlineStr">
        <is>
          <t>VÄRMLANDS LÄN</t>
        </is>
      </c>
      <c r="G870" t="inlineStr">
        <is>
          <t>HAGFORS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29269-2025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45824</v>
      </c>
      <c r="E871" s="1" t="n">
        <v>46315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26.5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37027-2025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45874</v>
      </c>
      <c r="E872" s="1" t="n">
        <v>46315</v>
      </c>
      <c r="F872" t="inlineStr">
        <is>
          <t>VÄRMLANDS LÄN</t>
        </is>
      </c>
      <c r="G872" t="inlineStr">
        <is>
          <t>HAGFORS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8830-2024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45356</v>
      </c>
      <c r="E873" s="1" t="n">
        <v>46315</v>
      </c>
      <c r="F873" t="inlineStr">
        <is>
          <t>VÄRMLANDS LÄN</t>
        </is>
      </c>
      <c r="G873" t="inlineStr">
        <is>
          <t>HAGFORS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43558-2024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45569</v>
      </c>
      <c r="E874" s="1" t="n">
        <v>46315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3.9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16153-2025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45750</v>
      </c>
      <c r="E875" s="1" t="n">
        <v>46315</v>
      </c>
      <c r="F875" t="inlineStr">
        <is>
          <t>VÄRMLANDS LÄN</t>
        </is>
      </c>
      <c r="G875" t="inlineStr">
        <is>
          <t>HAGFORS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2225-2020</t>
        </is>
      </c>
      <c r="B876" t="inlineStr">
        <is>
          <t>samrådsanmälan</t>
        </is>
      </c>
      <c r="C876" t="inlineStr">
        <is>
          <t>Åtgärd i nyckelbiotop</t>
        </is>
      </c>
      <c r="D876" s="1" t="n">
        <v>44127</v>
      </c>
      <c r="E876" s="1" t="n">
        <v>46315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2050-2022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44671</v>
      </c>
      <c r="E877" s="1" t="n">
        <v>46315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937-2022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44606</v>
      </c>
      <c r="E878" s="1" t="n">
        <v>46315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59.4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931-2022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46315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49.5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262-2022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44578</v>
      </c>
      <c r="E880" s="1" t="n">
        <v>46315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78.90000000000001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907-2022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46315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43.5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913-2022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46315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898-2022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46315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24.9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900-2022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46315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914-2022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44606</v>
      </c>
      <c r="E885" s="1" t="n">
        <v>46315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19.3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4419-2023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45266</v>
      </c>
      <c r="E886" s="1" t="n">
        <v>46315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35.6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4420-2023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46315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44.2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4426-2023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46315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9.699999999999999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5512-2022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44834</v>
      </c>
      <c r="E889" s="1" t="n">
        <v>46315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29.9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4415-2023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46315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9.199999999999999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6970-2022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46315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29.3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4408-2023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45266</v>
      </c>
      <c r="E892" s="1" t="n">
        <v>46315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13.7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6968-2022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46315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19.3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4423-2023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45266</v>
      </c>
      <c r="E894" s="1" t="n">
        <v>46315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15.7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4418-2023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46315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19.1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651-2024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45356</v>
      </c>
      <c r="E896" s="1" t="n">
        <v>46315</v>
      </c>
      <c r="F896" t="inlineStr">
        <is>
          <t>VÄRMLANDS LÄN</t>
        </is>
      </c>
      <c r="G896" t="inlineStr">
        <is>
          <t>HAGFORS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4145-2023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45247</v>
      </c>
      <c r="E897" s="1" t="n">
        <v>46315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26.1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6967-2022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44901</v>
      </c>
      <c r="E898" s="1" t="n">
        <v>46315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27.1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89-2025</t>
        </is>
      </c>
      <c r="B899" t="inlineStr">
        <is>
          <t>samrådsanmälan</t>
        </is>
      </c>
      <c r="C899" t="inlineStr">
        <is>
          <t>Åtgärd i nyckelbiotop</t>
        </is>
      </c>
      <c r="D899" s="1" t="n">
        <v>45316</v>
      </c>
      <c r="E899" s="1" t="n">
        <v>46315</v>
      </c>
      <c r="F899" t="inlineStr">
        <is>
          <t>VÄRMLANDS LÄN</t>
        </is>
      </c>
      <c r="G899" t="inlineStr">
        <is>
          <t>HAGFORS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6969-2022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44901</v>
      </c>
      <c r="E900" s="1" t="n">
        <v>46315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24.3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220-2025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45680</v>
      </c>
      <c r="E901" s="1" t="n">
        <v>46315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4150-2023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45247</v>
      </c>
      <c r="E902" s="1" t="n">
        <v>46315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34.4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4410-2023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45266</v>
      </c>
      <c r="E903" s="1" t="n">
        <v>46315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39.3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4409-2023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45266</v>
      </c>
      <c r="E904" s="1" t="n">
        <v>46315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24.9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4155-2023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45247</v>
      </c>
      <c r="E905" s="1" t="n">
        <v>46315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40.9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4140-2023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46315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36.5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6977-2022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44901</v>
      </c>
      <c r="E907" s="1" t="n">
        <v>46315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25.2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6973-2022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46315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30.1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4143-2023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45247</v>
      </c>
      <c r="E909" s="1" t="n">
        <v>46315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13.2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4407-2023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45266</v>
      </c>
      <c r="E910" s="1" t="n">
        <v>46315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12.1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6965-2022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44901</v>
      </c>
      <c r="E911" s="1" t="n">
        <v>46315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662-2025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45716</v>
      </c>
      <c r="E912" s="1" t="n">
        <v>46315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52.4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108-2026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46037</v>
      </c>
      <c r="E913" s="1" t="n">
        <v>46315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204.4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102-2026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46036</v>
      </c>
      <c r="E914" s="1" t="n">
        <v>46315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57.9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46013</v>
      </c>
      <c r="E915" s="1" t="n">
        <v>46315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10.6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382-2025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45691</v>
      </c>
      <c r="E916" s="1" t="n">
        <v>46315</v>
      </c>
      <c r="F916" t="inlineStr">
        <is>
          <t>VÄRMLANDS LÄN</t>
        </is>
      </c>
      <c r="G916" t="inlineStr">
        <is>
          <t>HAGFORS</t>
        </is>
      </c>
      <c r="I916" t="n">
        <v>5.8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2026-10-20T01:49:13Z</dcterms:created>
  <dcterms:modified xmlns:dcterms="http://purl.org/dc/terms/" xmlns:xsi="http://www.w3.org/2001/XMLSchema-instance" xsi:type="dcterms:W3CDTF">2026-10-20T01:49:13Z</dcterms:modified>
</cp:coreProperties>
</file>