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46266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46266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46266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46266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46266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46266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46266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46266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46266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46266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46266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46266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46266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46266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46266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21457-2024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45441</v>
      </c>
      <c r="E17" s="1" t="n">
        <v>46266</v>
      </c>
      <c r="F17" t="inlineStr">
        <is>
          <t>VÄRMLANDS LÄN</t>
        </is>
      </c>
      <c r="G17" t="inlineStr">
        <is>
          <t>HAGFORS</t>
        </is>
      </c>
      <c r="I17" t="n">
        <v>5.4</v>
      </c>
      <c r="J17" t="n">
        <v>2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Blanksvart spiklav
Gammelgransskål
Spillkråka
Revlummer</t>
        </is>
      </c>
      <c r="W17">
        <f>HYPERLINK("https://klasma.github.io/Logging_1783/artfynd/A 21457-2024 artfynd.xlsx", "A 21457-2024")</f>
        <v/>
      </c>
      <c r="X17">
        <f>HYPERLINK("https://klasma.github.io/Logging_1783/kartor/A 21457-2024 karta.png", "A 21457-2024")</f>
        <v/>
      </c>
      <c r="Y17">
        <f>HYPERLINK("https://klasma.github.io/Logging_1783/kartor_geotiff/A 21457-2024 georefererad karta.tif", "A 21457-2024")</f>
        <v/>
      </c>
      <c r="AA17">
        <f>HYPERLINK("https://klasma.github.io/Logging_1783/klagomål/A 21457-2024 FSC-klagomål.docx", "A 21457-2024")</f>
        <v/>
      </c>
      <c r="AB17">
        <f>HYPERLINK("https://klasma.github.io/Logging_1783/klagomålsmail/A 21457-2024 FSC-klagomål mail.docx", "A 21457-2024")</f>
        <v/>
      </c>
      <c r="AC17">
        <f>HYPERLINK("https://klasma.github.io/Logging_1783/tillsyn/A 21457-2024 tillsynsbegäran.docx", "A 21457-2024")</f>
        <v/>
      </c>
      <c r="AD17">
        <f>HYPERLINK("https://klasma.github.io/Logging_1783/tillsynsmail/A 21457-2024 tillsynsbegäran mail.docx", "A 21457-2024")</f>
        <v/>
      </c>
      <c r="AE17">
        <f>HYPERLINK("https://klasma.github.io/Logging_1783/fåglar/A 21457-2024 prioriterade fågelarter.docx", "A 21457-2024")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46266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63893-2021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46266</v>
      </c>
      <c r="F19" t="inlineStr">
        <is>
          <t>VÄRMLANDS LÄN</t>
        </is>
      </c>
      <c r="G19" t="inlineStr">
        <is>
          <t>HAGFORS</t>
        </is>
      </c>
      <c r="I19" t="n">
        <v>1.5</v>
      </c>
      <c r="J19" t="n">
        <v>0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Garnlav
Kolflarnlav
Mörk kolflarnlav
Vedskivlav</t>
        </is>
      </c>
      <c r="W19">
        <f>HYPERLINK("https://klasma.github.io/Logging_1783/artfynd/A 63893-2021 artfynd.xlsx", "A 63893-2021")</f>
        <v/>
      </c>
      <c r="X19">
        <f>HYPERLINK("https://klasma.github.io/Logging_1783/kartor/A 63893-2021 karta.png", "A 63893-2021")</f>
        <v/>
      </c>
      <c r="Y19">
        <f>HYPERLINK("https://klasma.github.io/Logging_1783/kartor_geotiff/A 63893-2021 georefererad karta.tif", "A 63893-2021")</f>
        <v/>
      </c>
      <c r="AA19">
        <f>HYPERLINK("https://klasma.github.io/Logging_1783/klagomål/A 63893-2021 FSC-klagomål.docx", "A 63893-2021")</f>
        <v/>
      </c>
      <c r="AB19">
        <f>HYPERLINK("https://klasma.github.io/Logging_1783/klagomålsmail/A 63893-2021 FSC-klagomål mail.docx", "A 63893-2021")</f>
        <v/>
      </c>
      <c r="AC19">
        <f>HYPERLINK("https://klasma.github.io/Logging_1783/tillsyn/A 63893-2021 tillsynsbegäran.docx", "A 63893-2021")</f>
        <v/>
      </c>
      <c r="AD19">
        <f>HYPERLINK("https://klasma.github.io/Logging_1783/tillsynsmail/A 63893-2021 tillsynsbegäran mail.docx", "A 63893-2021")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46266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46266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1</v>
      </c>
      <c r="V21" s="2" t="inlineStr">
        <is>
          <t>Garnlav
Tretåig hackspett
Trana</t>
        </is>
      </c>
      <c r="W21">
        <f>HYPERLINK("https://klasma.github.io/Logging_1783/artfynd/A 1387-2024 artfynd.xlsx", "A 1387-2024")</f>
        <v/>
      </c>
      <c r="X21">
        <f>HYPERLINK("https://klasma.github.io/Logging_1783/kartor/A 1387-2024 karta.png", "A 1387-2024")</f>
        <v/>
      </c>
      <c r="Y21">
        <f>HYPERLINK("https://klasma.github.io/Logging_1783/kartor_geotiff/A 1387-2024 georefererad karta.tif", "A 1387-2024")</f>
        <v/>
      </c>
      <c r="AA21">
        <f>HYPERLINK("https://klasma.github.io/Logging_1783/klagomål/A 1387-2024 FSC-klagomål.docx", "A 1387-2024")</f>
        <v/>
      </c>
      <c r="AB21">
        <f>HYPERLINK("https://klasma.github.io/Logging_1783/klagomålsmail/A 1387-2024 FSC-klagomål mail.docx", "A 1387-2024")</f>
        <v/>
      </c>
      <c r="AC21">
        <f>HYPERLINK("https://klasma.github.io/Logging_1783/tillsyn/A 1387-2024 tillsynsbegäran.docx", "A 1387-2024")</f>
        <v/>
      </c>
      <c r="AD21">
        <f>HYPERLINK("https://klasma.github.io/Logging_1783/tillsynsmail/A 1387-2024 tillsynsbegäran mail.docx", "A 1387-2024")</f>
        <v/>
      </c>
      <c r="AE21">
        <f>HYPERLINK("https://klasma.github.io/Logging_1783/fåglar/A 1387-2024 prioriterade fågelarter.docx", "A 1387-2024")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46266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46266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46266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46266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46266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46266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35908-2022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46266</v>
      </c>
      <c r="F28" t="inlineStr">
        <is>
          <t>VÄRMLANDS LÄN</t>
        </is>
      </c>
      <c r="G28" t="inlineStr">
        <is>
          <t>HAGFORS</t>
        </is>
      </c>
      <c r="I28" t="n">
        <v>2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Aspgelélav
Bårdlav</t>
        </is>
      </c>
      <c r="W28">
        <f>HYPERLINK("https://klasma.github.io/Logging_1783/artfynd/A 35908-2022 artfynd.xlsx", "A 35908-2022")</f>
        <v/>
      </c>
      <c r="X28">
        <f>HYPERLINK("https://klasma.github.io/Logging_1783/kartor/A 35908-2022 karta.png", "A 35908-2022")</f>
        <v/>
      </c>
      <c r="Y28">
        <f>HYPERLINK("https://klasma.github.io/Logging_1783/kartor_geotiff/A 35908-2022 georefererad karta.tif", "A 35908-2022")</f>
        <v/>
      </c>
      <c r="AA28">
        <f>HYPERLINK("https://klasma.github.io/Logging_1783/klagomål/A 35908-2022 FSC-klagomål.docx", "A 35908-2022")</f>
        <v/>
      </c>
      <c r="AB28">
        <f>HYPERLINK("https://klasma.github.io/Logging_1783/klagomålsmail/A 35908-2022 FSC-klagomål mail.docx", "A 35908-2022")</f>
        <v/>
      </c>
      <c r="AC28">
        <f>HYPERLINK("https://klasma.github.io/Logging_1783/tillsyn/A 35908-2022 tillsynsbegäran.docx", "A 35908-2022")</f>
        <v/>
      </c>
      <c r="AD28">
        <f>HYPERLINK("https://klasma.github.io/Logging_1783/tillsynsmail/A 35908-2022 tillsynsbegäran mail.docx", "A 35908-2022")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46266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46266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3199-2022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46266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Tofsmes</t>
        </is>
      </c>
      <c r="W31">
        <f>HYPERLINK("https://klasma.github.io/Logging_1783/artfynd/A 3199-2022 artfynd.xlsx", "A 3199-2022")</f>
        <v/>
      </c>
      <c r="X31">
        <f>HYPERLINK("https://klasma.github.io/Logging_1783/kartor/A 3199-2022 karta.png", "A 3199-2022")</f>
        <v/>
      </c>
      <c r="Y31">
        <f>HYPERLINK("https://klasma.github.io/Logging_1783/kartor_geotiff/A 3199-2022 georefererad karta.tif", "A 3199-2022")</f>
        <v/>
      </c>
      <c r="AA31">
        <f>HYPERLINK("https://klasma.github.io/Logging_1783/klagomål/A 3199-2022 FSC-klagomål.docx", "A 3199-2022")</f>
        <v/>
      </c>
      <c r="AB31">
        <f>HYPERLINK("https://klasma.github.io/Logging_1783/klagomålsmail/A 3199-2022 FSC-klagomål mail.docx", "A 3199-2022")</f>
        <v/>
      </c>
      <c r="AC31">
        <f>HYPERLINK("https://klasma.github.io/Logging_1783/tillsyn/A 3199-2022 tillsynsbegäran.docx", "A 3199-2022")</f>
        <v/>
      </c>
      <c r="AD31">
        <f>HYPERLINK("https://klasma.github.io/Logging_1783/tillsynsmail/A 3199-2022 tillsynsbegäran mail.docx", "A 3199-2022")</f>
        <v/>
      </c>
    </row>
    <row r="32" ht="15" customHeight="1">
      <c r="A32" t="inlineStr">
        <is>
          <t>A 15738-2022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44663</v>
      </c>
      <c r="E32" s="1" t="n">
        <v>46266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Trådticka</t>
        </is>
      </c>
      <c r="W32">
        <f>HYPERLINK("https://klasma.github.io/Logging_1783/artfynd/A 15738-2022 artfynd.xlsx", "A 15738-2022")</f>
        <v/>
      </c>
      <c r="X32">
        <f>HYPERLINK("https://klasma.github.io/Logging_1783/kartor/A 15738-2022 karta.png", "A 15738-2022")</f>
        <v/>
      </c>
      <c r="Y32">
        <f>HYPERLINK("https://klasma.github.io/Logging_1783/kartor_geotiff/A 15738-2022 georefererad karta.tif", "A 15738-2022")</f>
        <v/>
      </c>
      <c r="AA32">
        <f>HYPERLINK("https://klasma.github.io/Logging_1783/klagomål/A 15738-2022 FSC-klagomål.docx", "A 15738-2022")</f>
        <v/>
      </c>
      <c r="AB32">
        <f>HYPERLINK("https://klasma.github.io/Logging_1783/klagomålsmail/A 15738-2022 FSC-klagomål mail.docx", "A 15738-2022")</f>
        <v/>
      </c>
      <c r="AC32">
        <f>HYPERLINK("https://klasma.github.io/Logging_1783/tillsyn/A 15738-2022 tillsynsbegäran.docx", "A 15738-2022")</f>
        <v/>
      </c>
      <c r="AD32">
        <f>HYPERLINK("https://klasma.github.io/Logging_1783/tillsynsmail/A 15738-2022 tillsynsbegäran mail.docx", "A 15738-2022")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46266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50030-2025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45943</v>
      </c>
      <c r="E34" s="1" t="n">
        <v>46266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9.9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HYPERLINK("https://klasma.github.io/Logging_1783/artfynd/A 50030-2025 artfynd.xlsx", "A 50030-2025")</f>
        <v/>
      </c>
      <c r="X34">
        <f>HYPERLINK("https://klasma.github.io/Logging_1783/kartor/A 50030-2025 karta.png", "A 50030-2025")</f>
        <v/>
      </c>
      <c r="Y34">
        <f>HYPERLINK("https://klasma.github.io/Logging_1783/kartor_geotiff/A 50030-2025 georefererad karta.tif", "A 50030-2025")</f>
        <v/>
      </c>
      <c r="AA34">
        <f>HYPERLINK("https://klasma.github.io/Logging_1783/klagomål/A 50030-2025 FSC-klagomål.docx", "A 50030-2025")</f>
        <v/>
      </c>
      <c r="AB34">
        <f>HYPERLINK("https://klasma.github.io/Logging_1783/klagomålsmail/A 50030-2025 FSC-klagomål mail.docx", "A 50030-2025")</f>
        <v/>
      </c>
      <c r="AC34">
        <f>HYPERLINK("https://klasma.github.io/Logging_1783/tillsyn/A 50030-2025 tillsynsbegäran.docx", "A 50030-2025")</f>
        <v/>
      </c>
      <c r="AD34">
        <f>HYPERLINK("https://klasma.github.io/Logging_1783/tillsynsmail/A 50030-2025 tillsynsbegäran mail.docx", "A 50030-2025")</f>
        <v/>
      </c>
    </row>
    <row r="35" ht="15" customHeight="1">
      <c r="A35" t="inlineStr">
        <is>
          <t>A 24885-2025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45799</v>
      </c>
      <c r="E35" s="1" t="n">
        <v>46266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Mörk husmossa</t>
        </is>
      </c>
      <c r="W35">
        <f>HYPERLINK("https://klasma.github.io/Logging_1783/artfynd/A 24885-2025 artfynd.xlsx", "A 24885-2025")</f>
        <v/>
      </c>
      <c r="X35">
        <f>HYPERLINK("https://klasma.github.io/Logging_1783/kartor/A 24885-2025 karta.png", "A 24885-2025")</f>
        <v/>
      </c>
      <c r="Y35">
        <f>HYPERLINK("https://klasma.github.io/Logging_1783/kartor_geotiff/A 24885-2025 georefererad karta.tif", "A 24885-2025")</f>
        <v/>
      </c>
      <c r="AA35">
        <f>HYPERLINK("https://klasma.github.io/Logging_1783/klagomål/A 24885-2025 FSC-klagomål.docx", "A 24885-2025")</f>
        <v/>
      </c>
      <c r="AB35">
        <f>HYPERLINK("https://klasma.github.io/Logging_1783/klagomålsmail/A 24885-2025 FSC-klagomål mail.docx", "A 24885-2025")</f>
        <v/>
      </c>
      <c r="AC35">
        <f>HYPERLINK("https://klasma.github.io/Logging_1783/tillsyn/A 24885-2025 tillsynsbegäran.docx", "A 24885-2025")</f>
        <v/>
      </c>
      <c r="AD35">
        <f>HYPERLINK("https://klasma.github.io/Logging_1783/tillsynsmail/A 24885-2025 tillsynsbegäran mail.docx", "A 24885-2025")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46266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26624-2025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45810</v>
      </c>
      <c r="E37" s="1" t="n">
        <v>46266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HYPERLINK("https://klasma.github.io/Logging_1783/artfynd/A 26624-2025 artfynd.xlsx", "A 26624-2025")</f>
        <v/>
      </c>
      <c r="X37">
        <f>HYPERLINK("https://klasma.github.io/Logging_1783/kartor/A 26624-2025 karta.png", "A 26624-2025")</f>
        <v/>
      </c>
      <c r="Y37">
        <f>HYPERLINK("https://klasma.github.io/Logging_1783/kartor_geotiff/A 26624-2025 georefererad karta.tif", "A 26624-2025")</f>
        <v/>
      </c>
      <c r="AA37">
        <f>HYPERLINK("https://klasma.github.io/Logging_1783/klagomål/A 26624-2025 FSC-klagomål.docx", "A 26624-2025")</f>
        <v/>
      </c>
      <c r="AB37">
        <f>HYPERLINK("https://klasma.github.io/Logging_1783/klagomålsmail/A 26624-2025 FSC-klagomål mail.docx", "A 26624-2025")</f>
        <v/>
      </c>
      <c r="AC37">
        <f>HYPERLINK("https://klasma.github.io/Logging_1783/tillsyn/A 26624-2025 tillsynsbegäran.docx", "A 26624-2025")</f>
        <v/>
      </c>
      <c r="AD37">
        <f>HYPERLINK("https://klasma.github.io/Logging_1783/tillsynsmail/A 26624-2025 tillsynsbegäran mail.docx", "A 26624-2025")</f>
        <v/>
      </c>
    </row>
    <row r="38" ht="15" customHeight="1">
      <c r="A38" t="inlineStr">
        <is>
          <t>A 33848-2025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45842</v>
      </c>
      <c r="E38" s="1" t="n">
        <v>46266</v>
      </c>
      <c r="F38" t="inlineStr">
        <is>
          <t>VÄRMLANDS LÄN</t>
        </is>
      </c>
      <c r="G38" t="inlineStr">
        <is>
          <t>HAGFORS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33848-2025 artfynd.xlsx", "A 33848-2025")</f>
        <v/>
      </c>
      <c r="X38">
        <f>HYPERLINK("https://klasma.github.io/Logging_1783/kartor/A 33848-2025 karta.png", "A 33848-2025")</f>
        <v/>
      </c>
      <c r="Y38">
        <f>HYPERLINK("https://klasma.github.io/Logging_1783/kartor_geotiff/A 33848-2025 georefererad karta.tif", "A 33848-2025")</f>
        <v/>
      </c>
      <c r="AA38">
        <f>HYPERLINK("https://klasma.github.io/Logging_1783/klagomål/A 33848-2025 FSC-klagomål.docx", "A 33848-2025")</f>
        <v/>
      </c>
      <c r="AB38">
        <f>HYPERLINK("https://klasma.github.io/Logging_1783/klagomålsmail/A 33848-2025 FSC-klagomål mail.docx", "A 33848-2025")</f>
        <v/>
      </c>
      <c r="AC38">
        <f>HYPERLINK("https://klasma.github.io/Logging_1783/tillsyn/A 33848-2025 tillsynsbegäran.docx", "A 33848-2025")</f>
        <v/>
      </c>
      <c r="AD38">
        <f>HYPERLINK("https://klasma.github.io/Logging_1783/tillsynsmail/A 33848-2025 tillsynsbegäran mail.docx", "A 33848-2025")</f>
        <v/>
      </c>
    </row>
    <row r="39" ht="15" customHeight="1">
      <c r="A39" t="inlineStr">
        <is>
          <t>A 37152-2023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45155</v>
      </c>
      <c r="E39" s="1" t="n">
        <v>46266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Hökuggla</t>
        </is>
      </c>
      <c r="W39">
        <f>HYPERLINK("https://klasma.github.io/Logging_1783/artfynd/A 37152-2023 artfynd.xlsx", "A 37152-2023")</f>
        <v/>
      </c>
      <c r="X39">
        <f>HYPERLINK("https://klasma.github.io/Logging_1783/kartor/A 37152-2023 karta.png", "A 37152-2023")</f>
        <v/>
      </c>
      <c r="Y39">
        <f>HYPERLINK("https://klasma.github.io/Logging_1783/kartor_geotiff/A 37152-2023 georefererad karta.tif", "A 37152-2023")</f>
        <v/>
      </c>
      <c r="AA39">
        <f>HYPERLINK("https://klasma.github.io/Logging_1783/klagomål/A 37152-2023 FSC-klagomål.docx", "A 37152-2023")</f>
        <v/>
      </c>
      <c r="AB39">
        <f>HYPERLINK("https://klasma.github.io/Logging_1783/klagomålsmail/A 37152-2023 FSC-klagomål mail.docx", "A 37152-2023")</f>
        <v/>
      </c>
      <c r="AC39">
        <f>HYPERLINK("https://klasma.github.io/Logging_1783/tillsyn/A 37152-2023 tillsynsbegäran.docx", "A 37152-2023")</f>
        <v/>
      </c>
      <c r="AD39">
        <f>HYPERLINK("https://klasma.github.io/Logging_1783/tillsynsmail/A 37152-2023 tillsynsbegäran mail.docx", "A 37152-2023")</f>
        <v/>
      </c>
      <c r="AE39">
        <f>HYPERLINK("https://klasma.github.io/Logging_1783/fåglar/A 37152-2023 prioriterade fågelarter.docx", "A 37152-2023")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46266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20119-2025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46266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20119-2025 artfynd.xlsx", "A 20119-2025")</f>
        <v/>
      </c>
      <c r="X41">
        <f>HYPERLINK("https://klasma.github.io/Logging_1783/kartor/A 20119-2025 karta.png", "A 20119-2025")</f>
        <v/>
      </c>
      <c r="Y41">
        <f>HYPERLINK("https://klasma.github.io/Logging_1783/kartor_geotiff/A 20119-2025 georefererad karta.tif", "A 20119-2025")</f>
        <v/>
      </c>
      <c r="AA41">
        <f>HYPERLINK("https://klasma.github.io/Logging_1783/klagomål/A 20119-2025 FSC-klagomål.docx", "A 20119-2025")</f>
        <v/>
      </c>
      <c r="AB41">
        <f>HYPERLINK("https://klasma.github.io/Logging_1783/klagomålsmail/A 20119-2025 FSC-klagomål mail.docx", "A 20119-2025")</f>
        <v/>
      </c>
      <c r="AC41">
        <f>HYPERLINK("https://klasma.github.io/Logging_1783/tillsyn/A 20119-2025 tillsynsbegäran.docx", "A 20119-2025")</f>
        <v/>
      </c>
      <c r="AD41">
        <f>HYPERLINK("https://klasma.github.io/Logging_1783/tillsynsmail/A 20119-2025 tillsynsbegäran mail.docx", "A 20119-2025")</f>
        <v/>
      </c>
      <c r="AE41">
        <f>HYPERLINK("https://klasma.github.io/Logging_1783/fåglar/A 20119-2025 prioriterade fågelarter.docx", "A 20119-2025")</f>
        <v/>
      </c>
    </row>
    <row r="42" ht="15" customHeight="1">
      <c r="A42" t="inlineStr">
        <is>
          <t>A 51194-2022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46266</v>
      </c>
      <c r="F42" t="inlineStr">
        <is>
          <t>VÄRMLANDS LÄN</t>
        </is>
      </c>
      <c r="G42" t="inlineStr">
        <is>
          <t>HAGFORS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HYPERLINK("https://klasma.github.io/Logging_1783/artfynd/A 51194-2022 artfynd.xlsx", "A 51194-2022")</f>
        <v/>
      </c>
      <c r="X42">
        <f>HYPERLINK("https://klasma.github.io/Logging_1783/kartor/A 51194-2022 karta.png", "A 51194-2022")</f>
        <v/>
      </c>
      <c r="Y42">
        <f>HYPERLINK("https://klasma.github.io/Logging_1783/kartor_geotiff/A 51194-2022 georefererad karta.tif", "A 51194-2022")</f>
        <v/>
      </c>
      <c r="AA42">
        <f>HYPERLINK("https://klasma.github.io/Logging_1783/klagomål/A 51194-2022 FSC-klagomål.docx", "A 51194-2022")</f>
        <v/>
      </c>
      <c r="AB42">
        <f>HYPERLINK("https://klasma.github.io/Logging_1783/klagomålsmail/A 51194-2022 FSC-klagomål mail.docx", "A 51194-2022")</f>
        <v/>
      </c>
      <c r="AC42">
        <f>HYPERLINK("https://klasma.github.io/Logging_1783/tillsyn/A 51194-2022 tillsynsbegäran.docx", "A 51194-2022")</f>
        <v/>
      </c>
      <c r="AD42">
        <f>HYPERLINK("https://klasma.github.io/Logging_1783/tillsynsmail/A 51194-2022 tillsynsbegäran mail.docx", "A 51194-2022")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46266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44095-2023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46266</v>
      </c>
      <c r="F44" t="inlineStr">
        <is>
          <t>VÄRMLANDS LÄN</t>
        </is>
      </c>
      <c r="G44" t="inlineStr">
        <is>
          <t>HAGFORS</t>
        </is>
      </c>
      <c r="I44" t="n">
        <v>3.6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44095-2023 artfynd.xlsx", "A 44095-2023")</f>
        <v/>
      </c>
      <c r="X44">
        <f>HYPERLINK("https://klasma.github.io/Logging_1783/kartor/A 44095-2023 karta.png", "A 44095-2023")</f>
        <v/>
      </c>
      <c r="Y44">
        <f>HYPERLINK("https://klasma.github.io/Logging_1783/kartor_geotiff/A 44095-2023 georefererad karta.tif", "A 44095-2023")</f>
        <v/>
      </c>
      <c r="AA44">
        <f>HYPERLINK("https://klasma.github.io/Logging_1783/klagomål/A 44095-2023 FSC-klagomål.docx", "A 44095-2023")</f>
        <v/>
      </c>
      <c r="AB44">
        <f>HYPERLINK("https://klasma.github.io/Logging_1783/klagomålsmail/A 44095-2023 FSC-klagomål mail.docx", "A 44095-2023")</f>
        <v/>
      </c>
      <c r="AC44">
        <f>HYPERLINK("https://klasma.github.io/Logging_1783/tillsyn/A 44095-2023 tillsynsbegäran.docx", "A 44095-2023")</f>
        <v/>
      </c>
      <c r="AD44">
        <f>HYPERLINK("https://klasma.github.io/Logging_1783/tillsynsmail/A 44095-2023 tillsynsbegäran mail.docx", "A 44095-2023")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46266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16319-2023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46266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16319-2023 artfynd.xlsx", "A 16319-2023")</f>
        <v/>
      </c>
      <c r="X46">
        <f>HYPERLINK("https://klasma.github.io/Logging_1783/kartor/A 16319-2023 karta.png", "A 16319-2023")</f>
        <v/>
      </c>
      <c r="Y46">
        <f>HYPERLINK("https://klasma.github.io/Logging_1783/kartor_geotiff/A 16319-2023 georefererad karta.tif", "A 16319-2023")</f>
        <v/>
      </c>
      <c r="AA46">
        <f>HYPERLINK("https://klasma.github.io/Logging_1783/klagomål/A 16319-2023 FSC-klagomål.docx", "A 16319-2023")</f>
        <v/>
      </c>
      <c r="AB46">
        <f>HYPERLINK("https://klasma.github.io/Logging_1783/klagomålsmail/A 16319-2023 FSC-klagomål mail.docx", "A 16319-2023")</f>
        <v/>
      </c>
      <c r="AC46">
        <f>HYPERLINK("https://klasma.github.io/Logging_1783/tillsyn/A 16319-2023 tillsynsbegäran.docx", "A 16319-2023")</f>
        <v/>
      </c>
      <c r="AD46">
        <f>HYPERLINK("https://klasma.github.io/Logging_1783/tillsynsmail/A 16319-2023 tillsynsbegäran mail.docx", "A 16319-2023")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46266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46266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46266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46266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34158-2025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45845</v>
      </c>
      <c r="E51" s="1" t="n">
        <v>46266</v>
      </c>
      <c r="F51" t="inlineStr">
        <is>
          <t>VÄRMLANDS LÄN</t>
        </is>
      </c>
      <c r="G51" t="inlineStr">
        <is>
          <t>HAGFORS</t>
        </is>
      </c>
      <c r="I51" t="n">
        <v>5.8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Korallblylav</t>
        </is>
      </c>
      <c r="W51">
        <f>HYPERLINK("https://klasma.github.io/Logging_1783/artfynd/A 34158-2025 artfynd.xlsx", "A 34158-2025")</f>
        <v/>
      </c>
      <c r="X51">
        <f>HYPERLINK("https://klasma.github.io/Logging_1783/kartor/A 34158-2025 karta.png", "A 34158-2025")</f>
        <v/>
      </c>
      <c r="Y51">
        <f>HYPERLINK("https://klasma.github.io/Logging_1783/kartor_geotiff/A 34158-2025 georefererad karta.tif", "A 34158-2025")</f>
        <v/>
      </c>
      <c r="AA51">
        <f>HYPERLINK("https://klasma.github.io/Logging_1783/klagomål/A 34158-2025 FSC-klagomål.docx", "A 34158-2025")</f>
        <v/>
      </c>
      <c r="AB51">
        <f>HYPERLINK("https://klasma.github.io/Logging_1783/klagomålsmail/A 34158-2025 FSC-klagomål mail.docx", "A 34158-2025")</f>
        <v/>
      </c>
      <c r="AC51">
        <f>HYPERLINK("https://klasma.github.io/Logging_1783/tillsyn/A 34158-2025 tillsynsbegäran.docx", "A 34158-2025")</f>
        <v/>
      </c>
      <c r="AD51">
        <f>HYPERLINK("https://klasma.github.io/Logging_1783/tillsynsmail/A 34158-2025 tillsynsbegäran mail.docx", "A 34158-2025")</f>
        <v/>
      </c>
    </row>
    <row r="52" ht="15" customHeight="1">
      <c r="A52" t="inlineStr">
        <is>
          <t>A 38267-2024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45545</v>
      </c>
      <c r="E52" s="1" t="n">
        <v>46266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4.3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HYPERLINK("https://klasma.github.io/Logging_1783/artfynd/A 38267-2024 artfynd.xlsx", "A 38267-2024")</f>
        <v/>
      </c>
      <c r="X52">
        <f>HYPERLINK("https://klasma.github.io/Logging_1783/kartor/A 38267-2024 karta.png", "A 38267-2024")</f>
        <v/>
      </c>
      <c r="Y52">
        <f>HYPERLINK("https://klasma.github.io/Logging_1783/kartor_geotiff/A 38267-2024 georefererad karta.tif", "A 38267-2024")</f>
        <v/>
      </c>
      <c r="AA52">
        <f>HYPERLINK("https://klasma.github.io/Logging_1783/klagomål/A 38267-2024 FSC-klagomål.docx", "A 38267-2024")</f>
        <v/>
      </c>
      <c r="AB52">
        <f>HYPERLINK("https://klasma.github.io/Logging_1783/klagomålsmail/A 38267-2024 FSC-klagomål mail.docx", "A 38267-2024")</f>
        <v/>
      </c>
      <c r="AC52">
        <f>HYPERLINK("https://klasma.github.io/Logging_1783/tillsyn/A 38267-2024 tillsynsbegäran.docx", "A 38267-2024")</f>
        <v/>
      </c>
      <c r="AD52">
        <f>HYPERLINK("https://klasma.github.io/Logging_1783/tillsynsmail/A 38267-2024 tillsynsbegäran mail.docx", "A 38267-2024")</f>
        <v/>
      </c>
    </row>
    <row r="53" ht="15" customHeight="1">
      <c r="A53" t="inlineStr">
        <is>
          <t>A 56083-2022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46266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19.1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HYPERLINK("https://klasma.github.io/Logging_1783/artfynd/A 56083-2022 artfynd.xlsx", "A 56083-2022")</f>
        <v/>
      </c>
      <c r="X53">
        <f>HYPERLINK("https://klasma.github.io/Logging_1783/kartor/A 56083-2022 karta.png", "A 56083-2022")</f>
        <v/>
      </c>
      <c r="Y53">
        <f>HYPERLINK("https://klasma.github.io/Logging_1783/kartor_geotiff/A 56083-2022 georefererad karta.tif", "A 56083-2022")</f>
        <v/>
      </c>
      <c r="AA53">
        <f>HYPERLINK("https://klasma.github.io/Logging_1783/klagomål/A 56083-2022 FSC-klagomål.docx", "A 56083-2022")</f>
        <v/>
      </c>
      <c r="AB53">
        <f>HYPERLINK("https://klasma.github.io/Logging_1783/klagomålsmail/A 56083-2022 FSC-klagomål mail.docx", "A 56083-2022")</f>
        <v/>
      </c>
      <c r="AC53">
        <f>HYPERLINK("https://klasma.github.io/Logging_1783/tillsyn/A 56083-2022 tillsynsbegäran.docx", "A 56083-2022")</f>
        <v/>
      </c>
      <c r="AD53">
        <f>HYPERLINK("https://klasma.github.io/Logging_1783/tillsynsmail/A 56083-2022 tillsynsbegäran mail.docx", "A 56083-2022")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46266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24659-2026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46266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24659-2026 artfynd.xlsx", "A 24659-2026")</f>
        <v/>
      </c>
      <c r="X55">
        <f>HYPERLINK("https://klasma.github.io/Logging_1783/kartor/A 24659-2026 karta.png", "A 24659-2026")</f>
        <v/>
      </c>
      <c r="Y55">
        <f>HYPERLINK("https://klasma.github.io/Logging_1783/kartor_geotiff/A 24659-2026 georefererad karta.tif", "A 24659-2026")</f>
        <v/>
      </c>
      <c r="AA55">
        <f>HYPERLINK("https://klasma.github.io/Logging_1783/klagomål/A 24659-2026 FSC-klagomål.docx", "A 24659-2026")</f>
        <v/>
      </c>
      <c r="AB55">
        <f>HYPERLINK("https://klasma.github.io/Logging_1783/klagomålsmail/A 24659-2026 FSC-klagomål mail.docx", "A 24659-2026")</f>
        <v/>
      </c>
      <c r="AC55">
        <f>HYPERLINK("https://klasma.github.io/Logging_1783/tillsyn/A 24659-2026 tillsynsbegäran.docx", "A 24659-2026")</f>
        <v/>
      </c>
      <c r="AD55">
        <f>HYPERLINK("https://klasma.github.io/Logging_1783/tillsynsmail/A 24659-2026 tillsynsbegäran mail.docx", "A 24659-2026")</f>
        <v/>
      </c>
    </row>
    <row r="56" ht="15" customHeight="1">
      <c r="A56" t="inlineStr">
        <is>
          <t>A 24716-2026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46266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Garnlav</t>
        </is>
      </c>
      <c r="W56">
        <f>HYPERLINK("https://klasma.github.io/Logging_1783/artfynd/A 24716-2026 artfynd.xlsx", "A 24716-2026")</f>
        <v/>
      </c>
      <c r="X56">
        <f>HYPERLINK("https://klasma.github.io/Logging_1783/kartor/A 24716-2026 karta.png", "A 24716-2026")</f>
        <v/>
      </c>
      <c r="Y56">
        <f>HYPERLINK("https://klasma.github.io/Logging_1783/kartor_geotiff/A 24716-2026 georefererad karta.tif", "A 24716-2026")</f>
        <v/>
      </c>
      <c r="AA56">
        <f>HYPERLINK("https://klasma.github.io/Logging_1783/klagomål/A 24716-2026 FSC-klagomål.docx", "A 24716-2026")</f>
        <v/>
      </c>
      <c r="AB56">
        <f>HYPERLINK("https://klasma.github.io/Logging_1783/klagomålsmail/A 24716-2026 FSC-klagomål mail.docx", "A 24716-2026")</f>
        <v/>
      </c>
      <c r="AC56">
        <f>HYPERLINK("https://klasma.github.io/Logging_1783/tillsyn/A 24716-2026 tillsynsbegäran.docx", "A 24716-2026")</f>
        <v/>
      </c>
      <c r="AD56">
        <f>HYPERLINK("https://klasma.github.io/Logging_1783/tillsynsmail/A 24716-2026 tillsynsbegäran mail.docx", "A 24716-2026")</f>
        <v/>
      </c>
    </row>
    <row r="57" ht="15" customHeight="1">
      <c r="A57" t="inlineStr">
        <is>
          <t>A 26189-2026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46182</v>
      </c>
      <c r="E57" s="1" t="n">
        <v>46266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Sävsparv</t>
        </is>
      </c>
      <c r="W57">
        <f>HYPERLINK("https://klasma.github.io/Logging_1783/artfynd/A 26189-2026 artfynd.xlsx", "A 26189-2026")</f>
        <v/>
      </c>
      <c r="X57">
        <f>HYPERLINK("https://klasma.github.io/Logging_1783/kartor/A 26189-2026 karta.png", "A 26189-2026")</f>
        <v/>
      </c>
      <c r="Y57">
        <f>HYPERLINK("https://klasma.github.io/Logging_1783/kartor_geotiff/A 26189-2026 georefererad karta.tif", "A 26189-2026")</f>
        <v/>
      </c>
      <c r="AA57">
        <f>HYPERLINK("https://klasma.github.io/Logging_1783/klagomål/A 26189-2026 FSC-klagomål.docx", "A 26189-2026")</f>
        <v/>
      </c>
      <c r="AB57">
        <f>HYPERLINK("https://klasma.github.io/Logging_1783/klagomålsmail/A 26189-2026 FSC-klagomål mail.docx", "A 26189-2026")</f>
        <v/>
      </c>
      <c r="AC57">
        <f>HYPERLINK("https://klasma.github.io/Logging_1783/tillsyn/A 26189-2026 tillsynsbegäran.docx", "A 26189-2026")</f>
        <v/>
      </c>
      <c r="AD57">
        <f>HYPERLINK("https://klasma.github.io/Logging_1783/tillsynsmail/A 26189-2026 tillsynsbegäran mail.docx", "A 26189-2026")</f>
        <v/>
      </c>
      <c r="AE57">
        <f>HYPERLINK("https://klasma.github.io/Logging_1783/fåglar/A 26189-2026 prioriterade fågelarter.docx", "A 26189-2026")</f>
        <v/>
      </c>
    </row>
    <row r="58" ht="15" customHeight="1">
      <c r="A58" t="inlineStr">
        <is>
          <t>A 31742-2026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46227</v>
      </c>
      <c r="E58" s="1" t="n">
        <v>46266</v>
      </c>
      <c r="F58" t="inlineStr">
        <is>
          <t>VÄRMLANDS LÄN</t>
        </is>
      </c>
      <c r="G58" t="inlineStr">
        <is>
          <t>HAGFORS</t>
        </is>
      </c>
      <c r="I58" t="n">
        <v>4.2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HYPERLINK("https://klasma.github.io/Logging_1783/artfynd/A 31742-2026 artfynd.xlsx", "A 31742-2026")</f>
        <v/>
      </c>
      <c r="X58">
        <f>HYPERLINK("https://klasma.github.io/Logging_1783/kartor/A 31742-2026 karta.png", "A 31742-2026")</f>
        <v/>
      </c>
      <c r="Y58">
        <f>HYPERLINK("https://klasma.github.io/Logging_1783/kartor_geotiff/A 31742-2026 georefererad karta.tif", "A 31742-2026")</f>
        <v/>
      </c>
      <c r="AA58">
        <f>HYPERLINK("https://klasma.github.io/Logging_1783/klagomål/A 31742-2026 FSC-klagomål.docx", "A 31742-2026")</f>
        <v/>
      </c>
      <c r="AB58">
        <f>HYPERLINK("https://klasma.github.io/Logging_1783/klagomålsmail/A 31742-2026 FSC-klagomål mail.docx", "A 31742-2026")</f>
        <v/>
      </c>
      <c r="AC58">
        <f>HYPERLINK("https://klasma.github.io/Logging_1783/tillsyn/A 31742-2026 tillsynsbegäran.docx", "A 31742-2026")</f>
        <v/>
      </c>
      <c r="AD58">
        <f>HYPERLINK("https://klasma.github.io/Logging_1783/tillsynsmail/A 31742-2026 tillsynsbegäran mail.docx", "A 31742-2026")</f>
        <v/>
      </c>
    </row>
    <row r="59" ht="15" customHeight="1">
      <c r="A59" t="inlineStr">
        <is>
          <t>A 12673-2024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45384</v>
      </c>
      <c r="E59" s="1" t="n">
        <v>46266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Tofsmes</t>
        </is>
      </c>
      <c r="W59">
        <f>HYPERLINK("https://klasma.github.io/Logging_1783/artfynd/A 12673-2024 artfynd.xlsx", "A 12673-2024")</f>
        <v/>
      </c>
      <c r="X59">
        <f>HYPERLINK("https://klasma.github.io/Logging_1783/kartor/A 12673-2024 karta.png", "A 12673-2024")</f>
        <v/>
      </c>
      <c r="Y59">
        <f>HYPERLINK("https://klasma.github.io/Logging_1783/kartor_geotiff/A 12673-2024 georefererad karta.tif", "A 12673-2024")</f>
        <v/>
      </c>
      <c r="AA59">
        <f>HYPERLINK("https://klasma.github.io/Logging_1783/klagomål/A 12673-2024 FSC-klagomål.docx", "A 12673-2024")</f>
        <v/>
      </c>
      <c r="AB59">
        <f>HYPERLINK("https://klasma.github.io/Logging_1783/klagomålsmail/A 12673-2024 FSC-klagomål mail.docx", "A 12673-2024")</f>
        <v/>
      </c>
      <c r="AC59">
        <f>HYPERLINK("https://klasma.github.io/Logging_1783/tillsyn/A 12673-2024 tillsynsbegäran.docx", "A 12673-2024")</f>
        <v/>
      </c>
      <c r="AD59">
        <f>HYPERLINK("https://klasma.github.io/Logging_1783/tillsynsmail/A 12673-2024 tillsynsbegäran mail.docx", "A 12673-2024")</f>
        <v/>
      </c>
    </row>
    <row r="60" ht="15" customHeight="1">
      <c r="A60" t="inlineStr">
        <is>
          <t>A 32592-2026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46240</v>
      </c>
      <c r="E60" s="1" t="n">
        <v>46266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HYPERLINK("https://klasma.github.io/Logging_1783/artfynd/A 32592-2026 artfynd.xlsx", "A 32592-2026")</f>
        <v/>
      </c>
      <c r="X60">
        <f>HYPERLINK("https://klasma.github.io/Logging_1783/kartor/A 32592-2026 karta.png", "A 32592-2026")</f>
        <v/>
      </c>
      <c r="Y60">
        <f>HYPERLINK("https://klasma.github.io/Logging_1783/kartor_geotiff/A 32592-2026 georefererad karta.tif", "A 32592-2026")</f>
        <v/>
      </c>
      <c r="AA60">
        <f>HYPERLINK("https://klasma.github.io/Logging_1783/klagomål/A 32592-2026 FSC-klagomål.docx", "A 32592-2026")</f>
        <v/>
      </c>
      <c r="AB60">
        <f>HYPERLINK("https://klasma.github.io/Logging_1783/klagomålsmail/A 32592-2026 FSC-klagomål mail.docx", "A 32592-2026")</f>
        <v/>
      </c>
      <c r="AC60">
        <f>HYPERLINK("https://klasma.github.io/Logging_1783/tillsyn/A 32592-2026 tillsynsbegäran.docx", "A 32592-2026")</f>
        <v/>
      </c>
      <c r="AD60">
        <f>HYPERLINK("https://klasma.github.io/Logging_1783/tillsynsmail/A 32592-2026 tillsynsbegäran mail.docx", "A 32592-2026")</f>
        <v/>
      </c>
    </row>
    <row r="61" ht="15" customHeight="1">
      <c r="A61" t="inlineStr">
        <is>
          <t>A 29432-2026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46203</v>
      </c>
      <c r="E61" s="1" t="n">
        <v>46266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Vedtrappmossa</t>
        </is>
      </c>
      <c r="W61">
        <f>HYPERLINK("https://klasma.github.io/Logging_1783/artfynd/A 29432-2026 artfynd.xlsx", "A 29432-2026")</f>
        <v/>
      </c>
      <c r="X61">
        <f>HYPERLINK("https://klasma.github.io/Logging_1783/kartor/A 29432-2026 karta.png", "A 29432-2026")</f>
        <v/>
      </c>
      <c r="Y61">
        <f>HYPERLINK("https://klasma.github.io/Logging_1783/kartor_geotiff/A 29432-2026 georefererad karta.tif", "A 29432-2026")</f>
        <v/>
      </c>
      <c r="AA61">
        <f>HYPERLINK("https://klasma.github.io/Logging_1783/klagomål/A 29432-2026 FSC-klagomål.docx", "A 29432-2026")</f>
        <v/>
      </c>
      <c r="AB61">
        <f>HYPERLINK("https://klasma.github.io/Logging_1783/klagomålsmail/A 29432-2026 FSC-klagomål mail.docx", "A 29432-2026")</f>
        <v/>
      </c>
      <c r="AC61">
        <f>HYPERLINK("https://klasma.github.io/Logging_1783/tillsyn/A 29432-2026 tillsynsbegäran.docx", "A 29432-2026")</f>
        <v/>
      </c>
      <c r="AD61">
        <f>HYPERLINK("https://klasma.github.io/Logging_1783/tillsynsmail/A 29432-2026 tillsynsbegäran mail.docx", "A 29432-2026")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46266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35679-2026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46265</v>
      </c>
      <c r="E63" s="1" t="n">
        <v>46266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11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HYPERLINK("https://klasma.github.io/Logging_1783/artfynd/A 35679-2026 artfynd.xlsx", "A 35679-2026")</f>
        <v/>
      </c>
      <c r="X63">
        <f>HYPERLINK("https://klasma.github.io/Logging_1783/kartor/A 35679-2026 karta.png", "A 35679-2026")</f>
        <v/>
      </c>
      <c r="Y63">
        <f>HYPERLINK("https://klasma.github.io/Logging_1783/kartor_geotiff/A 35679-2026 georefererad karta.tif", "A 35679-2026")</f>
        <v/>
      </c>
      <c r="AA63">
        <f>HYPERLINK("https://klasma.github.io/Logging_1783/klagomål/A 35679-2026 FSC-klagomål.docx", "A 35679-2026")</f>
        <v/>
      </c>
      <c r="AB63">
        <f>HYPERLINK("https://klasma.github.io/Logging_1783/klagomålsmail/A 35679-2026 FSC-klagomål mail.docx", "A 35679-2026")</f>
        <v/>
      </c>
      <c r="AC63">
        <f>HYPERLINK("https://klasma.github.io/Logging_1783/tillsyn/A 35679-2026 tillsynsbegäran.docx", "A 35679-2026")</f>
        <v/>
      </c>
      <c r="AD63">
        <f>HYPERLINK("https://klasma.github.io/Logging_1783/tillsynsmail/A 35679-2026 tillsynsbegäran mail.docx", "A 35679-2026")</f>
        <v/>
      </c>
      <c r="AE63">
        <f>HYPERLINK("https://klasma.github.io/Logging_1783/fåglar/A 35679-2026 prioriterade fågelarter.docx", "A 35679-2026")</f>
        <v/>
      </c>
    </row>
    <row r="64" ht="15" customHeight="1">
      <c r="A64" t="inlineStr">
        <is>
          <t>S 412-2024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45335</v>
      </c>
      <c r="E64" s="1" t="n">
        <v>46266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344.9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HYPERLINK("https://klasma.github.io/Logging_1783/artfynd/S 412-2024 artfynd.xlsx", "S 412-2024")</f>
        <v/>
      </c>
      <c r="X64">
        <f>HYPERLINK("https://klasma.github.io/Logging_1783/kartor/S 412-2024 karta.png", "S 412-2024")</f>
        <v/>
      </c>
      <c r="Y64">
        <f>HYPERLINK("https://klasma.github.io/Logging_1783/kartor_geotiff/S 412-2024 georefererad karta.tif", "S 412-2024")</f>
        <v/>
      </c>
      <c r="AA64">
        <f>HYPERLINK("https://klasma.github.io/Logging_1783/klagomål/S 412-2024 FSC-klagomål.docx", "S 412-2024")</f>
        <v/>
      </c>
      <c r="AB64">
        <f>HYPERLINK("https://klasma.github.io/Logging_1783/klagomålsmail/S 412-2024 FSC-klagomål mail.docx", "S 412-2024")</f>
        <v/>
      </c>
      <c r="AC64">
        <f>HYPERLINK("https://klasma.github.io/Logging_1783/tillsyn/S 412-2024 tillsynsbegäran.docx", "S 412-2024")</f>
        <v/>
      </c>
      <c r="AD64">
        <f>HYPERLINK("https://klasma.github.io/Logging_1783/tillsynsmail/S 412-2024 tillsynsbegäran mail.docx", "S 412-2024")</f>
        <v/>
      </c>
      <c r="AE64">
        <f>HYPERLINK("https://klasma.github.io/Logging_1783/fåglar/S 412-2024 prioriterade fågelarter.docx", "S 412-2024")</f>
        <v/>
      </c>
    </row>
    <row r="65" ht="15" customHeight="1">
      <c r="A65" t="inlineStr">
        <is>
          <t>S 4427-2023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45266</v>
      </c>
      <c r="E65" s="1" t="n">
        <v>46266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33.3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Fjällig jordtunga</t>
        </is>
      </c>
      <c r="W65">
        <f>HYPERLINK("https://klasma.github.io/Logging_1783/artfynd/S 4427-2023 artfynd.xlsx", "S 4427-2023")</f>
        <v/>
      </c>
      <c r="X65">
        <f>HYPERLINK("https://klasma.github.io/Logging_1783/kartor/S 4427-2023 karta.png", "S 4427-2023")</f>
        <v/>
      </c>
      <c r="Y65">
        <f>HYPERLINK("https://klasma.github.io/Logging_1783/kartor_geotiff/S 4427-2023 georefererad karta.tif", "S 4427-2023")</f>
        <v/>
      </c>
      <c r="AA65">
        <f>HYPERLINK("https://klasma.github.io/Logging_1783/klagomål/S 4427-2023 FSC-klagomål.docx", "S 4427-2023")</f>
        <v/>
      </c>
      <c r="AB65">
        <f>HYPERLINK("https://klasma.github.io/Logging_1783/klagomålsmail/S 4427-2023 FSC-klagomål mail.docx", "S 4427-2023")</f>
        <v/>
      </c>
      <c r="AC65">
        <f>HYPERLINK("https://klasma.github.io/Logging_1783/tillsyn/S 4427-2023 tillsynsbegäran.docx", "S 4427-2023")</f>
        <v/>
      </c>
      <c r="AD65">
        <f>HYPERLINK("https://klasma.github.io/Logging_1783/tillsynsmail/S 4427-2023 tillsynsbegäran mail.docx", "S 4427-2023")</f>
        <v/>
      </c>
    </row>
    <row r="66" ht="15" customHeight="1">
      <c r="A66" t="inlineStr">
        <is>
          <t>S 61-2026</t>
        </is>
      </c>
      <c r="B66" t="inlineStr">
        <is>
          <t>samrådsanmälan</t>
        </is>
      </c>
      <c r="C66" t="inlineStr">
        <is>
          <t>Skogsgödsling</t>
        </is>
      </c>
      <c r="D66" s="1" t="n">
        <v>46013</v>
      </c>
      <c r="E66" s="1" t="n">
        <v>46266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421.5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HYPERLINK("https://klasma.github.io/Logging_1783/artfynd/S 61-2026 artfynd.xlsx", "S 61-2026")</f>
        <v/>
      </c>
      <c r="X66">
        <f>HYPERLINK("https://klasma.github.io/Logging_1783/kartor/S 61-2026 karta.png", "S 61-2026")</f>
        <v/>
      </c>
      <c r="Y66">
        <f>HYPERLINK("https://klasma.github.io/Logging_1783/kartor_geotiff/S 61-2026 georefererad karta.tif", "S 61-2026")</f>
        <v/>
      </c>
      <c r="AA66">
        <f>HYPERLINK("https://klasma.github.io/Logging_1783/klagomål/S 61-2026 FSC-klagomål.docx", "S 61-2026")</f>
        <v/>
      </c>
      <c r="AB66">
        <f>HYPERLINK("https://klasma.github.io/Logging_1783/klagomålsmail/S 61-2026 FSC-klagomål mail.docx", "S 61-2026")</f>
        <v/>
      </c>
      <c r="AC66">
        <f>HYPERLINK("https://klasma.github.io/Logging_1783/tillsyn/S 61-2026 tillsynsbegäran.docx", "S 61-2026")</f>
        <v/>
      </c>
      <c r="AD66">
        <f>HYPERLINK("https://klasma.github.io/Logging_1783/tillsynsmail/S 61-2026 tillsynsbegäran mail.docx", "S 61-2026")</f>
        <v/>
      </c>
    </row>
    <row r="67" ht="15" customHeight="1">
      <c r="A67" t="inlineStr">
        <is>
          <t>A 42739-2022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46266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65299-2021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46266</v>
      </c>
      <c r="F68" t="inlineStr">
        <is>
          <t>VÄRMLANDS LÄN</t>
        </is>
      </c>
      <c r="G68" t="inlineStr">
        <is>
          <t>HAGFORS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46266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44465</v>
      </c>
      <c r="E70" s="1" t="n">
        <v>46266</v>
      </c>
      <c r="F70" t="inlineStr">
        <is>
          <t>VÄRMLANDS LÄN</t>
        </is>
      </c>
      <c r="G70" t="inlineStr">
        <is>
          <t>HAGFORS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46266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68148-2021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44526</v>
      </c>
      <c r="E72" s="1" t="n">
        <v>46266</v>
      </c>
      <c r="F72" t="inlineStr">
        <is>
          <t>VÄRMLANDS LÄN</t>
        </is>
      </c>
      <c r="G72" t="inlineStr">
        <is>
          <t>HAGFORS</t>
        </is>
      </c>
      <c r="H72" t="inlineStr">
        <is>
          <t>Bergvik skog väst AB</t>
        </is>
      </c>
      <c r="I72" t="n">
        <v>14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46266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46266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46266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46266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44566</v>
      </c>
      <c r="E77" s="1" t="n">
        <v>46266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46266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46266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46266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46266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46266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46266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46266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46266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46266</v>
      </c>
      <c r="F86" t="inlineStr">
        <is>
          <t>VÄRMLANDS LÄN</t>
        </is>
      </c>
      <c r="G86" t="inlineStr">
        <is>
          <t>HAGFORS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8577-2022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44613</v>
      </c>
      <c r="E87" s="1" t="n">
        <v>46266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46266</v>
      </c>
      <c r="F88" t="inlineStr">
        <is>
          <t>VÄRMLANDS LÄN</t>
        </is>
      </c>
      <c r="G88" t="inlineStr">
        <is>
          <t>HAGFORS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44763</v>
      </c>
      <c r="E89" s="1" t="n">
        <v>46266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46266</v>
      </c>
      <c r="F90" t="inlineStr">
        <is>
          <t>VÄRMLANDS LÄN</t>
        </is>
      </c>
      <c r="G90" t="inlineStr">
        <is>
          <t>HAGFORS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46266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44799</v>
      </c>
      <c r="E92" s="1" t="n">
        <v>46266</v>
      </c>
      <c r="F92" t="inlineStr">
        <is>
          <t>VÄRMLANDS LÄN</t>
        </is>
      </c>
      <c r="G92" t="inlineStr">
        <is>
          <t>HAGFORS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46266</v>
      </c>
      <c r="F93" t="inlineStr">
        <is>
          <t>VÄRMLANDS LÄN</t>
        </is>
      </c>
      <c r="G93" t="inlineStr">
        <is>
          <t>HAGFORS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72375-2021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44545</v>
      </c>
      <c r="E94" s="1" t="n">
        <v>46266</v>
      </c>
      <c r="F94" t="inlineStr">
        <is>
          <t>VÄRMLANDS LÄN</t>
        </is>
      </c>
      <c r="G94" t="inlineStr">
        <is>
          <t>HAGFORS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46266</v>
      </c>
      <c r="F95" t="inlineStr">
        <is>
          <t>VÄRMLANDS LÄN</t>
        </is>
      </c>
      <c r="G95" t="inlineStr">
        <is>
          <t>HAGFORS</t>
        </is>
      </c>
      <c r="I95" t="n">
        <v>10.9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46266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46266</v>
      </c>
      <c r="F97" t="inlineStr">
        <is>
          <t>VÄRMLANDS LÄN</t>
        </is>
      </c>
      <c r="G97" t="inlineStr">
        <is>
          <t>HAGFORS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44836</v>
      </c>
      <c r="E98" s="1" t="n">
        <v>46266</v>
      </c>
      <c r="F98" t="inlineStr">
        <is>
          <t>VÄRMLANDS LÄN</t>
        </is>
      </c>
      <c r="G98" t="inlineStr">
        <is>
          <t>HAGFORS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46266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46266</v>
      </c>
      <c r="F100" t="inlineStr">
        <is>
          <t>VÄRMLANDS LÄN</t>
        </is>
      </c>
      <c r="G100" t="inlineStr">
        <is>
          <t>HAGFORS</t>
        </is>
      </c>
      <c r="H100" t="inlineStr">
        <is>
          <t>Kommuner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44741</v>
      </c>
      <c r="E101" s="1" t="n">
        <v>46266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48203-2022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44858</v>
      </c>
      <c r="E102" s="1" t="n">
        <v>46266</v>
      </c>
      <c r="F102" t="inlineStr">
        <is>
          <t>VÄRMLANDS LÄN</t>
        </is>
      </c>
      <c r="G102" t="inlineStr">
        <is>
          <t>HAGFORS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46266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44602</v>
      </c>
      <c r="E104" s="1" t="n">
        <v>46266</v>
      </c>
      <c r="F104" t="inlineStr">
        <is>
          <t>VÄRMLANDS LÄN</t>
        </is>
      </c>
      <c r="G104" t="inlineStr">
        <is>
          <t>HAGFORS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46266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65565-2021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46266</v>
      </c>
      <c r="F106" t="inlineStr">
        <is>
          <t>VÄRMLANDS LÄN</t>
        </is>
      </c>
      <c r="G106" t="inlineStr">
        <is>
          <t>HAGFORS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17402-2022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44678</v>
      </c>
      <c r="E107" s="1" t="n">
        <v>46266</v>
      </c>
      <c r="F107" t="inlineStr">
        <is>
          <t>VÄRMLANDS LÄN</t>
        </is>
      </c>
      <c r="G107" t="inlineStr">
        <is>
          <t>HAGFORS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46266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46266</v>
      </c>
      <c r="F109" t="inlineStr">
        <is>
          <t>VÄRMLANDS LÄN</t>
        </is>
      </c>
      <c r="G109" t="inlineStr">
        <is>
          <t>HAGFORS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46266</v>
      </c>
      <c r="F110" t="inlineStr">
        <is>
          <t>VÄRMLANDS LÄN</t>
        </is>
      </c>
      <c r="G110" t="inlineStr">
        <is>
          <t>HAGFORS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46266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46266</v>
      </c>
      <c r="F112" t="inlineStr">
        <is>
          <t>VÄRMLANDS LÄN</t>
        </is>
      </c>
      <c r="G112" t="inlineStr">
        <is>
          <t>HAGFORS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46266</v>
      </c>
      <c r="F113" t="inlineStr">
        <is>
          <t>VÄRMLANDS LÄN</t>
        </is>
      </c>
      <c r="G113" t="inlineStr">
        <is>
          <t>HAGFORS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46266</v>
      </c>
      <c r="F114" t="inlineStr">
        <is>
          <t>VÄRMLANDS LÄN</t>
        </is>
      </c>
      <c r="G114" t="inlineStr">
        <is>
          <t>HAGFORS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46266</v>
      </c>
      <c r="F115" t="inlineStr">
        <is>
          <t>VÄRMLANDS LÄN</t>
        </is>
      </c>
      <c r="G115" t="inlineStr">
        <is>
          <t>HAGFORS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45489</v>
      </c>
      <c r="E116" s="1" t="n">
        <v>46266</v>
      </c>
      <c r="F116" t="inlineStr">
        <is>
          <t>VÄRMLANDS LÄN</t>
        </is>
      </c>
      <c r="G116" t="inlineStr">
        <is>
          <t>HAGFORS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61232-2024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45645</v>
      </c>
      <c r="E117" s="1" t="n">
        <v>46266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46266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46266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17305-2023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45035</v>
      </c>
      <c r="E120" s="1" t="n">
        <v>46266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44770</v>
      </c>
      <c r="E121" s="1" t="n">
        <v>46266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59552-2024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46266</v>
      </c>
      <c r="F122" t="inlineStr">
        <is>
          <t>VÄRMLANDS LÄN</t>
        </is>
      </c>
      <c r="G122" t="inlineStr">
        <is>
          <t>HAGFORS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36360-2023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45152</v>
      </c>
      <c r="E123" s="1" t="n">
        <v>46266</v>
      </c>
      <c r="F123" t="inlineStr">
        <is>
          <t>VÄRMLANDS LÄN</t>
        </is>
      </c>
      <c r="G123" t="inlineStr">
        <is>
          <t>HAGFORS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45933</v>
      </c>
      <c r="E124" s="1" t="n">
        <v>46266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46266</v>
      </c>
      <c r="F125" t="inlineStr">
        <is>
          <t>VÄRMLANDS LÄN</t>
        </is>
      </c>
      <c r="G125" t="inlineStr">
        <is>
          <t>HAGFORS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46266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46266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45335</v>
      </c>
      <c r="E128" s="1" t="n">
        <v>46266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45933</v>
      </c>
      <c r="E129" s="1" t="n">
        <v>46266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46266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21723-2025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45783</v>
      </c>
      <c r="E131" s="1" t="n">
        <v>46266</v>
      </c>
      <c r="F131" t="inlineStr">
        <is>
          <t>VÄRMLANDS LÄN</t>
        </is>
      </c>
      <c r="G131" t="inlineStr">
        <is>
          <t>HAGFORS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46266</v>
      </c>
      <c r="F132" t="inlineStr">
        <is>
          <t>VÄRMLANDS LÄN</t>
        </is>
      </c>
      <c r="G132" t="inlineStr">
        <is>
          <t>HAGFORS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24680-2024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46266</v>
      </c>
      <c r="F133" t="inlineStr">
        <is>
          <t>VÄRMLANDS LÄN</t>
        </is>
      </c>
      <c r="G133" t="inlineStr">
        <is>
          <t>HAGFORS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17833-2022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46266</v>
      </c>
      <c r="F134" t="inlineStr">
        <is>
          <t>VÄRMLANDS LÄN</t>
        </is>
      </c>
      <c r="G134" t="inlineStr">
        <is>
          <t>HAGFORS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45587</v>
      </c>
      <c r="E135" s="1" t="n">
        <v>46266</v>
      </c>
      <c r="F135" t="inlineStr">
        <is>
          <t>VÄRMLANDS LÄN</t>
        </is>
      </c>
      <c r="G135" t="inlineStr">
        <is>
          <t>HAGFORS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48108-2025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45933</v>
      </c>
      <c r="E136" s="1" t="n">
        <v>46266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46266</v>
      </c>
      <c r="F137" t="inlineStr">
        <is>
          <t>VÄRMLANDS LÄN</t>
        </is>
      </c>
      <c r="G137" t="inlineStr">
        <is>
          <t>HAGFORS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46266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22461-2025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45786</v>
      </c>
      <c r="E139" s="1" t="n">
        <v>46266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46266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46266</v>
      </c>
      <c r="F141" t="inlineStr">
        <is>
          <t>VÄRMLANDS LÄN</t>
        </is>
      </c>
      <c r="G141" t="inlineStr">
        <is>
          <t>HAGFORS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45791</v>
      </c>
      <c r="E142" s="1" t="n">
        <v>46266</v>
      </c>
      <c r="F142" t="inlineStr">
        <is>
          <t>VÄRMLANDS LÄN</t>
        </is>
      </c>
      <c r="G142" t="inlineStr">
        <is>
          <t>HAGFORS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45356</v>
      </c>
      <c r="E143" s="1" t="n">
        <v>46266</v>
      </c>
      <c r="F143" t="inlineStr">
        <is>
          <t>VÄRMLANDS LÄN</t>
        </is>
      </c>
      <c r="G143" t="inlineStr">
        <is>
          <t>HAGFORS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46266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45608</v>
      </c>
      <c r="E145" s="1" t="n">
        <v>46266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38239-2024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45545</v>
      </c>
      <c r="E146" s="1" t="n">
        <v>46266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45069</v>
      </c>
      <c r="E147" s="1" t="n">
        <v>46266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46266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46266</v>
      </c>
      <c r="F149" t="inlineStr">
        <is>
          <t>VÄRMLANDS LÄN</t>
        </is>
      </c>
      <c r="G149" t="inlineStr">
        <is>
          <t>HAGFORS</t>
        </is>
      </c>
      <c r="H149" t="inlineStr">
        <is>
          <t>Kyrkan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46266</v>
      </c>
      <c r="F150" t="inlineStr">
        <is>
          <t>VÄRMLANDS LÄN</t>
        </is>
      </c>
      <c r="G150" t="inlineStr">
        <is>
          <t>HAGFORS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45621</v>
      </c>
      <c r="E151" s="1" t="n">
        <v>46266</v>
      </c>
      <c r="F151" t="inlineStr">
        <is>
          <t>VÄRMLANDS LÄN</t>
        </is>
      </c>
      <c r="G151" t="inlineStr">
        <is>
          <t>HAGFORS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46266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46266</v>
      </c>
      <c r="F153" t="inlineStr">
        <is>
          <t>VÄRMLANDS LÄN</t>
        </is>
      </c>
      <c r="G153" t="inlineStr">
        <is>
          <t>HAGFORS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49533-2025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46266</v>
      </c>
      <c r="F154" t="inlineStr">
        <is>
          <t>VÄRMLANDS LÄN</t>
        </is>
      </c>
      <c r="G154" t="inlineStr">
        <is>
          <t>HAGFORS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46266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23556-2025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45792</v>
      </c>
      <c r="E156" s="1" t="n">
        <v>46266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46266</v>
      </c>
      <c r="F157" t="inlineStr">
        <is>
          <t>VÄRMLANDS LÄN</t>
        </is>
      </c>
      <c r="G157" t="inlineStr">
        <is>
          <t>HAGFORS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46266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44664</v>
      </c>
      <c r="E159" s="1" t="n">
        <v>46266</v>
      </c>
      <c r="F159" t="inlineStr">
        <is>
          <t>VÄRMLANDS LÄN</t>
        </is>
      </c>
      <c r="G159" t="inlineStr">
        <is>
          <t>HAGFORS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45793</v>
      </c>
      <c r="E160" s="1" t="n">
        <v>46266</v>
      </c>
      <c r="F160" t="inlineStr">
        <is>
          <t>VÄRMLANDS LÄN</t>
        </is>
      </c>
      <c r="G160" t="inlineStr">
        <is>
          <t>HAGFORS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46266</v>
      </c>
      <c r="F161" t="inlineStr">
        <is>
          <t>VÄRMLANDS LÄN</t>
        </is>
      </c>
      <c r="G161" t="inlineStr">
        <is>
          <t>HAGFORS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46266</v>
      </c>
      <c r="F162" t="inlineStr">
        <is>
          <t>VÄRMLANDS LÄN</t>
        </is>
      </c>
      <c r="G162" t="inlineStr">
        <is>
          <t>HAGFORS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45739</v>
      </c>
      <c r="E163" s="1" t="n">
        <v>46266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46266</v>
      </c>
      <c r="F164" t="inlineStr">
        <is>
          <t>VÄRMLANDS LÄN</t>
        </is>
      </c>
      <c r="G164" t="inlineStr">
        <is>
          <t>HAGFORS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46266</v>
      </c>
      <c r="F165" t="inlineStr">
        <is>
          <t>VÄRMLANDS LÄN</t>
        </is>
      </c>
      <c r="G165" t="inlineStr">
        <is>
          <t>HAGFORS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46266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45729</v>
      </c>
      <c r="E167" s="1" t="n">
        <v>46266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46266</v>
      </c>
      <c r="F168" t="inlineStr">
        <is>
          <t>VÄRMLANDS LÄN</t>
        </is>
      </c>
      <c r="G168" t="inlineStr">
        <is>
          <t>HAGFORS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46266</v>
      </c>
      <c r="F169" t="inlineStr">
        <is>
          <t>VÄRMLANDS LÄN</t>
        </is>
      </c>
      <c r="G169" t="inlineStr">
        <is>
          <t>HAGFORS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46266</v>
      </c>
      <c r="F170" t="inlineStr">
        <is>
          <t>VÄRMLANDS LÄN</t>
        </is>
      </c>
      <c r="G170" t="inlineStr">
        <is>
          <t>HAGFORS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49967-2025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45941</v>
      </c>
      <c r="E171" s="1" t="n">
        <v>46266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45414</v>
      </c>
      <c r="E172" s="1" t="n">
        <v>46266</v>
      </c>
      <c r="F172" t="inlineStr">
        <is>
          <t>VÄRMLANDS LÄN</t>
        </is>
      </c>
      <c r="G172" t="inlineStr">
        <is>
          <t>HAGFORS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56893-2023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46266</v>
      </c>
      <c r="F173" t="inlineStr">
        <is>
          <t>VÄRMLANDS LÄN</t>
        </is>
      </c>
      <c r="G173" t="inlineStr">
        <is>
          <t>HAGFORS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58210-2022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44901</v>
      </c>
      <c r="E174" s="1" t="n">
        <v>46266</v>
      </c>
      <c r="F174" t="inlineStr">
        <is>
          <t>VÄRMLANDS LÄN</t>
        </is>
      </c>
      <c r="G174" t="inlineStr">
        <is>
          <t>HAGFORS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15643-2024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45404</v>
      </c>
      <c r="E175" s="1" t="n">
        <v>46266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46266</v>
      </c>
      <c r="F176" t="inlineStr">
        <is>
          <t>VÄRMLANDS LÄN</t>
        </is>
      </c>
      <c r="G176" t="inlineStr">
        <is>
          <t>HAGFORS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41739-2025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45902</v>
      </c>
      <c r="E177" s="1" t="n">
        <v>46266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24434-2025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45797</v>
      </c>
      <c r="E178" s="1" t="n">
        <v>46266</v>
      </c>
      <c r="F178" t="inlineStr">
        <is>
          <t>VÄRMLANDS LÄN</t>
        </is>
      </c>
      <c r="G178" t="inlineStr">
        <is>
          <t>HAGFORS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24435-2025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45797</v>
      </c>
      <c r="E179" s="1" t="n">
        <v>46266</v>
      </c>
      <c r="F179" t="inlineStr">
        <is>
          <t>VÄRMLANDS LÄN</t>
        </is>
      </c>
      <c r="G179" t="inlineStr">
        <is>
          <t>HAGFORS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24438-2025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45797</v>
      </c>
      <c r="E180" s="1" t="n">
        <v>46266</v>
      </c>
      <c r="F180" t="inlineStr">
        <is>
          <t>VÄRMLANDS LÄN</t>
        </is>
      </c>
      <c r="G180" t="inlineStr">
        <is>
          <t>HAGFORS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18014-2024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45419</v>
      </c>
      <c r="E181" s="1" t="n">
        <v>46266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45902</v>
      </c>
      <c r="E182" s="1" t="n">
        <v>46266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46266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45736</v>
      </c>
      <c r="E184" s="1" t="n">
        <v>46266</v>
      </c>
      <c r="F184" t="inlineStr">
        <is>
          <t>VÄRMLANDS LÄN</t>
        </is>
      </c>
      <c r="G184" t="inlineStr">
        <is>
          <t>HAGFORS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45905</v>
      </c>
      <c r="E185" s="1" t="n">
        <v>46266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46266</v>
      </c>
      <c r="F186" t="inlineStr">
        <is>
          <t>VÄRMLANDS LÄN</t>
        </is>
      </c>
      <c r="G186" t="inlineStr">
        <is>
          <t>HAGFORS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46266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46266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46266</v>
      </c>
      <c r="F189" t="inlineStr">
        <is>
          <t>VÄRMLANDS LÄN</t>
        </is>
      </c>
      <c r="G189" t="inlineStr">
        <is>
          <t>HAGFORS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46266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45909</v>
      </c>
      <c r="E191" s="1" t="n">
        <v>46266</v>
      </c>
      <c r="F191" t="inlineStr">
        <is>
          <t>VÄRMLANDS LÄN</t>
        </is>
      </c>
      <c r="G191" t="inlineStr">
        <is>
          <t>HAGFORS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46266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33823-2025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46266</v>
      </c>
      <c r="F193" t="inlineStr">
        <is>
          <t>VÄRMLANDS LÄN</t>
        </is>
      </c>
      <c r="G193" t="inlineStr">
        <is>
          <t>HAGFORS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45343</v>
      </c>
      <c r="E194" s="1" t="n">
        <v>46266</v>
      </c>
      <c r="F194" t="inlineStr">
        <is>
          <t>VÄRMLANDS LÄN</t>
        </is>
      </c>
      <c r="G194" t="inlineStr">
        <is>
          <t>HAGFORS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46266</v>
      </c>
      <c r="F195" t="inlineStr">
        <is>
          <t>VÄRMLANDS LÄN</t>
        </is>
      </c>
      <c r="G195" t="inlineStr">
        <is>
          <t>HAGFORS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45790</v>
      </c>
      <c r="E196" s="1" t="n">
        <v>46266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26463-2025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45807</v>
      </c>
      <c r="E197" s="1" t="n">
        <v>46266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46266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60221-2023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45258</v>
      </c>
      <c r="E199" s="1" t="n">
        <v>46266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46266</v>
      </c>
      <c r="F200" t="inlineStr">
        <is>
          <t>VÄRMLANDS LÄN</t>
        </is>
      </c>
      <c r="G200" t="inlineStr">
        <is>
          <t>HAGFORS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46266</v>
      </c>
      <c r="F201" t="inlineStr">
        <is>
          <t>VÄRMLANDS LÄN</t>
        </is>
      </c>
      <c r="G201" t="inlineStr">
        <is>
          <t>HAGFORS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46266</v>
      </c>
      <c r="F202" t="inlineStr">
        <is>
          <t>VÄRMLANDS LÄN</t>
        </is>
      </c>
      <c r="G202" t="inlineStr">
        <is>
          <t>HAGFORS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45653</v>
      </c>
      <c r="E203" s="1" t="n">
        <v>46266</v>
      </c>
      <c r="F203" t="inlineStr">
        <is>
          <t>VÄRMLANDS LÄN</t>
        </is>
      </c>
      <c r="G203" t="inlineStr">
        <is>
          <t>HAGFORS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45147</v>
      </c>
      <c r="E204" s="1" t="n">
        <v>46266</v>
      </c>
      <c r="F204" t="inlineStr">
        <is>
          <t>VÄRMLANDS LÄN</t>
        </is>
      </c>
      <c r="G204" t="inlineStr">
        <is>
          <t>HAGFORS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46266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26617-2025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45810</v>
      </c>
      <c r="E206" s="1" t="n">
        <v>46266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45811</v>
      </c>
      <c r="E207" s="1" t="n">
        <v>46266</v>
      </c>
      <c r="F207" t="inlineStr">
        <is>
          <t>VÄRMLANDS LÄN</t>
        </is>
      </c>
      <c r="G207" t="inlineStr">
        <is>
          <t>HAGFORS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45811</v>
      </c>
      <c r="E208" s="1" t="n">
        <v>46266</v>
      </c>
      <c r="F208" t="inlineStr">
        <is>
          <t>VÄRMLANDS LÄN</t>
        </is>
      </c>
      <c r="G208" t="inlineStr">
        <is>
          <t>HAGFORS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46266</v>
      </c>
      <c r="F209" t="inlineStr">
        <is>
          <t>VÄRMLANDS LÄN</t>
        </is>
      </c>
      <c r="G209" t="inlineStr">
        <is>
          <t>HAGFORS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46266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46266</v>
      </c>
      <c r="F211" t="inlineStr">
        <is>
          <t>VÄRMLANDS LÄN</t>
        </is>
      </c>
      <c r="G211" t="inlineStr">
        <is>
          <t>HAGFORS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46266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46266</v>
      </c>
      <c r="F213" t="inlineStr">
        <is>
          <t>VÄRMLANDS LÄN</t>
        </is>
      </c>
      <c r="G213" t="inlineStr">
        <is>
          <t>HAGFORS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44834</v>
      </c>
      <c r="E214" s="1" t="n">
        <v>46266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27319-2025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46266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46266</v>
      </c>
      <c r="F216" t="inlineStr">
        <is>
          <t>VÄRMLANDS LÄN</t>
        </is>
      </c>
      <c r="G216" t="inlineStr">
        <is>
          <t>HAGFORS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46266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27195-2025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46266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45051</v>
      </c>
      <c r="E219" s="1" t="n">
        <v>46266</v>
      </c>
      <c r="F219" t="inlineStr">
        <is>
          <t>VÄRMLANDS LÄN</t>
        </is>
      </c>
      <c r="G219" t="inlineStr">
        <is>
          <t>HAGFORS</t>
        </is>
      </c>
      <c r="H219" t="inlineStr">
        <is>
          <t>Kommuner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55447-2022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44887</v>
      </c>
      <c r="E220" s="1" t="n">
        <v>46266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46266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46266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45211</v>
      </c>
      <c r="E223" s="1" t="n">
        <v>46266</v>
      </c>
      <c r="F223" t="inlineStr">
        <is>
          <t>VÄRMLANDS LÄN</t>
        </is>
      </c>
      <c r="G223" t="inlineStr">
        <is>
          <t>HAGFORS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45435</v>
      </c>
      <c r="E224" s="1" t="n">
        <v>46266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46266</v>
      </c>
      <c r="F225" t="inlineStr">
        <is>
          <t>VÄRMLANDS LÄN</t>
        </is>
      </c>
      <c r="G225" t="inlineStr">
        <is>
          <t>HAGFORS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46266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60582-2024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46266</v>
      </c>
      <c r="F227" t="inlineStr">
        <is>
          <t>VÄRMLANDS LÄN</t>
        </is>
      </c>
      <c r="G227" t="inlineStr">
        <is>
          <t>HAGFORS</t>
        </is>
      </c>
      <c r="H227" t="inlineStr">
        <is>
          <t>Kyrkan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45928</v>
      </c>
      <c r="E228" s="1" t="n">
        <v>46266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13.8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45659</v>
      </c>
      <c r="E229" s="1" t="n">
        <v>46266</v>
      </c>
      <c r="F229" t="inlineStr">
        <is>
          <t>VÄRMLANDS LÄN</t>
        </is>
      </c>
      <c r="G229" t="inlineStr">
        <is>
          <t>HAGFORS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28437-2025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45819</v>
      </c>
      <c r="E230" s="1" t="n">
        <v>46266</v>
      </c>
      <c r="F230" t="inlineStr">
        <is>
          <t>VÄRMLANDS LÄN</t>
        </is>
      </c>
      <c r="G230" t="inlineStr">
        <is>
          <t>HAGFORS</t>
        </is>
      </c>
      <c r="H230" t="inlineStr">
        <is>
          <t>Kyrkan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28309-2025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46266</v>
      </c>
      <c r="F231" t="inlineStr">
        <is>
          <t>VÄRMLANDS LÄN</t>
        </is>
      </c>
      <c r="G231" t="inlineStr">
        <is>
          <t>HAGFORS</t>
        </is>
      </c>
      <c r="H231" t="inlineStr">
        <is>
          <t>Kyrkan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13850-2022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44649</v>
      </c>
      <c r="E232" s="1" t="n">
        <v>46266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70712-2021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44537</v>
      </c>
      <c r="E233" s="1" t="n">
        <v>46266</v>
      </c>
      <c r="F233" t="inlineStr">
        <is>
          <t>VÄRMLANDS LÄN</t>
        </is>
      </c>
      <c r="G233" t="inlineStr">
        <is>
          <t>HAGFORS</t>
        </is>
      </c>
      <c r="H233" t="inlineStr">
        <is>
          <t>Kommuner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45927</v>
      </c>
      <c r="E234" s="1" t="n">
        <v>46266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45927</v>
      </c>
      <c r="E235" s="1" t="n">
        <v>46266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44903</v>
      </c>
      <c r="E236" s="1" t="n">
        <v>46266</v>
      </c>
      <c r="F236" t="inlineStr">
        <is>
          <t>VÄRMLANDS LÄN</t>
        </is>
      </c>
      <c r="G236" t="inlineStr">
        <is>
          <t>HAGFORS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45250</v>
      </c>
      <c r="E237" s="1" t="n">
        <v>46266</v>
      </c>
      <c r="F237" t="inlineStr">
        <is>
          <t>VÄRMLANDS LÄN</t>
        </is>
      </c>
      <c r="G237" t="inlineStr">
        <is>
          <t>HAGFORS</t>
        </is>
      </c>
      <c r="H237" t="inlineStr">
        <is>
          <t>Kommuner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45821</v>
      </c>
      <c r="E238" s="1" t="n">
        <v>46266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45821</v>
      </c>
      <c r="E239" s="1" t="n">
        <v>46266</v>
      </c>
      <c r="F239" t="inlineStr">
        <is>
          <t>VÄRMLANDS LÄN</t>
        </is>
      </c>
      <c r="G239" t="inlineStr">
        <is>
          <t>HAGFORS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46266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31166-2022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44770</v>
      </c>
      <c r="E241" s="1" t="n">
        <v>46266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46266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46266</v>
      </c>
      <c r="F243" t="inlineStr">
        <is>
          <t>VÄRMLANDS LÄN</t>
        </is>
      </c>
      <c r="G243" t="inlineStr">
        <is>
          <t>HAGFORS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46266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45826</v>
      </c>
      <c r="E245" s="1" t="n">
        <v>46266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29958-2025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46266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46266</v>
      </c>
      <c r="F247" t="inlineStr">
        <is>
          <t>VÄRMLANDS LÄN</t>
        </is>
      </c>
      <c r="G247" t="inlineStr">
        <is>
          <t>HAGFORS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46266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46266</v>
      </c>
      <c r="F249" t="inlineStr">
        <is>
          <t>VÄRMLANDS LÄN</t>
        </is>
      </c>
      <c r="G249" t="inlineStr">
        <is>
          <t>HAGFORS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46266</v>
      </c>
      <c r="F250" t="inlineStr">
        <is>
          <t>VÄRMLANDS LÄN</t>
        </is>
      </c>
      <c r="G250" t="inlineStr">
        <is>
          <t>HAGFORS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51611-2025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45951</v>
      </c>
      <c r="E251" s="1" t="n">
        <v>46266</v>
      </c>
      <c r="F251" t="inlineStr">
        <is>
          <t>VÄRMLANDS LÄN</t>
        </is>
      </c>
      <c r="G251" t="inlineStr">
        <is>
          <t>HAGFORS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45949</v>
      </c>
      <c r="E252" s="1" t="n">
        <v>46266</v>
      </c>
      <c r="F252" t="inlineStr">
        <is>
          <t>VÄRMLANDS LÄN</t>
        </is>
      </c>
      <c r="G252" t="inlineStr">
        <is>
          <t>HAGFORS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46266</v>
      </c>
      <c r="F253" t="inlineStr">
        <is>
          <t>VÄRMLANDS LÄN</t>
        </is>
      </c>
      <c r="G253" t="inlineStr">
        <is>
          <t>HAGFORS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45055</v>
      </c>
      <c r="E254" s="1" t="n">
        <v>46266</v>
      </c>
      <c r="F254" t="inlineStr">
        <is>
          <t>VÄRMLANDS LÄN</t>
        </is>
      </c>
      <c r="G254" t="inlineStr">
        <is>
          <t>HAGFORS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61140-2023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45261</v>
      </c>
      <c r="E255" s="1" t="n">
        <v>46266</v>
      </c>
      <c r="F255" t="inlineStr">
        <is>
          <t>VÄRMLANDS LÄN</t>
        </is>
      </c>
      <c r="G255" t="inlineStr">
        <is>
          <t>HAGFORS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46208-2023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46266</v>
      </c>
      <c r="F256" t="inlineStr">
        <is>
          <t>VÄRMLANDS LÄN</t>
        </is>
      </c>
      <c r="G256" t="inlineStr">
        <is>
          <t>HAGFORS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45461</v>
      </c>
      <c r="E257" s="1" t="n">
        <v>46266</v>
      </c>
      <c r="F257" t="inlineStr">
        <is>
          <t>VÄRMLANDS LÄN</t>
        </is>
      </c>
      <c r="G257" t="inlineStr">
        <is>
          <t>HAGFORS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45385</v>
      </c>
      <c r="E258" s="1" t="n">
        <v>46266</v>
      </c>
      <c r="F258" t="inlineStr">
        <is>
          <t>VÄRMLANDS LÄN</t>
        </is>
      </c>
      <c r="G258" t="inlineStr">
        <is>
          <t>HAGFORS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46266</v>
      </c>
      <c r="F259" t="inlineStr">
        <is>
          <t>VÄRMLANDS LÄN</t>
        </is>
      </c>
      <c r="G259" t="inlineStr">
        <is>
          <t>HAGFORS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46266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33440-2025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45841</v>
      </c>
      <c r="E261" s="1" t="n">
        <v>46266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62497-2022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44924</v>
      </c>
      <c r="E262" s="1" t="n">
        <v>46266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46266</v>
      </c>
      <c r="F263" t="inlineStr">
        <is>
          <t>VÄRMLANDS LÄN</t>
        </is>
      </c>
      <c r="G263" t="inlineStr">
        <is>
          <t>HAGFORS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46266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45475</v>
      </c>
      <c r="E265" s="1" t="n">
        <v>46266</v>
      </c>
      <c r="F265" t="inlineStr">
        <is>
          <t>VÄRMLANDS LÄN</t>
        </is>
      </c>
      <c r="G265" t="inlineStr">
        <is>
          <t>HAGFORS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46266</v>
      </c>
      <c r="F266" t="inlineStr">
        <is>
          <t>VÄRMLANDS LÄN</t>
        </is>
      </c>
      <c r="G266" t="inlineStr">
        <is>
          <t>HAGFORS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46266</v>
      </c>
      <c r="F267" t="inlineStr">
        <is>
          <t>VÄRMLANDS LÄN</t>
        </is>
      </c>
      <c r="G267" t="inlineStr">
        <is>
          <t>HAGFORS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34149-2025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46266</v>
      </c>
      <c r="F268" t="inlineStr">
        <is>
          <t>VÄRMLANDS LÄN</t>
        </is>
      </c>
      <c r="G268" t="inlineStr">
        <is>
          <t>HAGFORS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46266</v>
      </c>
      <c r="F269" t="inlineStr">
        <is>
          <t>VÄRMLANDS LÄN</t>
        </is>
      </c>
      <c r="G269" t="inlineStr">
        <is>
          <t>HAGFORS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46266</v>
      </c>
      <c r="F270" t="inlineStr">
        <is>
          <t>VÄRMLANDS LÄN</t>
        </is>
      </c>
      <c r="G270" t="inlineStr">
        <is>
          <t>HAGFORS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46266</v>
      </c>
      <c r="F271" t="inlineStr">
        <is>
          <t>VÄRMLANDS LÄN</t>
        </is>
      </c>
      <c r="G271" t="inlineStr">
        <is>
          <t>HAGFORS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46266</v>
      </c>
      <c r="F272" t="inlineStr">
        <is>
          <t>VÄRMLANDS LÄN</t>
        </is>
      </c>
      <c r="G272" t="inlineStr">
        <is>
          <t>HAGFORS</t>
        </is>
      </c>
      <c r="H272" t="inlineStr">
        <is>
          <t>Kyrkan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46266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46266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42178-2024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45562</v>
      </c>
      <c r="E275" s="1" t="n">
        <v>46266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45854</v>
      </c>
      <c r="E276" s="1" t="n">
        <v>46266</v>
      </c>
      <c r="F276" t="inlineStr">
        <is>
          <t>VÄRMLANDS LÄN</t>
        </is>
      </c>
      <c r="G276" t="inlineStr">
        <is>
          <t>HAGFORS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46266</v>
      </c>
      <c r="F277" t="inlineStr">
        <is>
          <t>VÄRMLANDS LÄN</t>
        </is>
      </c>
      <c r="G277" t="inlineStr">
        <is>
          <t>HAGFORS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44566</v>
      </c>
      <c r="E278" s="1" t="n">
        <v>46266</v>
      </c>
      <c r="F278" t="inlineStr">
        <is>
          <t>VÄRMLANDS LÄN</t>
        </is>
      </c>
      <c r="G278" t="inlineStr">
        <is>
          <t>HAGFORS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57379-2022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44896</v>
      </c>
      <c r="E279" s="1" t="n">
        <v>46266</v>
      </c>
      <c r="F279" t="inlineStr">
        <is>
          <t>VÄRMLANDS LÄN</t>
        </is>
      </c>
      <c r="G279" t="inlineStr">
        <is>
          <t>HAGFORS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45250</v>
      </c>
      <c r="E280" s="1" t="n">
        <v>46266</v>
      </c>
      <c r="F280" t="inlineStr">
        <is>
          <t>VÄRMLANDS LÄN</t>
        </is>
      </c>
      <c r="G280" t="inlineStr">
        <is>
          <t>HAGFORS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52479-2025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45954</v>
      </c>
      <c r="E281" s="1" t="n">
        <v>46266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52224-2023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45224</v>
      </c>
      <c r="E282" s="1" t="n">
        <v>46266</v>
      </c>
      <c r="F282" t="inlineStr">
        <is>
          <t>VÄRMLANDS LÄN</t>
        </is>
      </c>
      <c r="G282" t="inlineStr">
        <is>
          <t>HAGFORS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32604-2025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46266</v>
      </c>
      <c r="F283" t="inlineStr">
        <is>
          <t>VÄRMLANDS LÄN</t>
        </is>
      </c>
      <c r="G283" t="inlineStr">
        <is>
          <t>HAGFORS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46266</v>
      </c>
      <c r="F284" t="inlineStr">
        <is>
          <t>VÄRMLANDS LÄN</t>
        </is>
      </c>
      <c r="G284" t="inlineStr">
        <is>
          <t>HAGFORS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52450-2025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46266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46266</v>
      </c>
      <c r="F286" t="inlineStr">
        <is>
          <t>VÄRMLANDS LÄN</t>
        </is>
      </c>
      <c r="G286" t="inlineStr">
        <is>
          <t>HAGFORS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46266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46266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44817</v>
      </c>
      <c r="E289" s="1" t="n">
        <v>46266</v>
      </c>
      <c r="F289" t="inlineStr">
        <is>
          <t>VÄRMLANDS LÄN</t>
        </is>
      </c>
      <c r="G289" t="inlineStr">
        <is>
          <t>HAGFORS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37027-2025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45874</v>
      </c>
      <c r="E290" s="1" t="n">
        <v>46266</v>
      </c>
      <c r="F290" t="inlineStr">
        <is>
          <t>VÄRMLANDS LÄN</t>
        </is>
      </c>
      <c r="G290" t="inlineStr">
        <is>
          <t>HAGFORS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46266</v>
      </c>
      <c r="F291" t="inlineStr">
        <is>
          <t>VÄRMLANDS LÄN</t>
        </is>
      </c>
      <c r="G291" t="inlineStr">
        <is>
          <t>HAGFORS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45433</v>
      </c>
      <c r="E292" s="1" t="n">
        <v>46266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45569</v>
      </c>
      <c r="E293" s="1" t="n">
        <v>46266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45356</v>
      </c>
      <c r="E294" s="1" t="n">
        <v>46266</v>
      </c>
      <c r="F294" t="inlineStr">
        <is>
          <t>VÄRMLANDS LÄN</t>
        </is>
      </c>
      <c r="G294" t="inlineStr">
        <is>
          <t>HAGFORS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46266</v>
      </c>
      <c r="F295" t="inlineStr">
        <is>
          <t>VÄRMLANDS LÄN</t>
        </is>
      </c>
      <c r="G295" t="inlineStr">
        <is>
          <t>HAGFORS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53620-2025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45960</v>
      </c>
      <c r="E296" s="1" t="n">
        <v>46266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46266</v>
      </c>
      <c r="F297" t="inlineStr">
        <is>
          <t>VÄRMLANDS LÄN</t>
        </is>
      </c>
      <c r="G297" t="inlineStr">
        <is>
          <t>HAGFORS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45093</v>
      </c>
      <c r="E298" s="1" t="n">
        <v>46266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46266</v>
      </c>
      <c r="F299" t="inlineStr">
        <is>
          <t>VÄRMLANDS LÄN</t>
        </is>
      </c>
      <c r="G299" t="inlineStr">
        <is>
          <t>HAGFORS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46266</v>
      </c>
      <c r="F300" t="inlineStr">
        <is>
          <t>VÄRMLANDS LÄN</t>
        </is>
      </c>
      <c r="G300" t="inlineStr">
        <is>
          <t>HAGFORS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46266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46266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33969-2022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46266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45090</v>
      </c>
      <c r="E304" s="1" t="n">
        <v>46266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44776</v>
      </c>
      <c r="E305" s="1" t="n">
        <v>46266</v>
      </c>
      <c r="F305" t="inlineStr">
        <is>
          <t>VÄRMLANDS LÄN</t>
        </is>
      </c>
      <c r="G305" t="inlineStr">
        <is>
          <t>HAGFORS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46266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29372-2023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45106</v>
      </c>
      <c r="E307" s="1" t="n">
        <v>46266</v>
      </c>
      <c r="F307" t="inlineStr">
        <is>
          <t>VÄRMLANDS LÄN</t>
        </is>
      </c>
      <c r="G307" t="inlineStr">
        <is>
          <t>HAGFORS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59092-2022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46266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45279</v>
      </c>
      <c r="E309" s="1" t="n">
        <v>46266</v>
      </c>
      <c r="F309" t="inlineStr">
        <is>
          <t>VÄRMLANDS LÄN</t>
        </is>
      </c>
      <c r="G309" t="inlineStr">
        <is>
          <t>HAGFORS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54645-2025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46266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54684-2025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45966</v>
      </c>
      <c r="E311" s="1" t="n">
        <v>46266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55001-2025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46266</v>
      </c>
      <c r="F312" t="inlineStr">
        <is>
          <t>VÄRMLANDS LÄN</t>
        </is>
      </c>
      <c r="G312" t="inlineStr">
        <is>
          <t>HAGFORS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46266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46266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55190-2025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45968</v>
      </c>
      <c r="E315" s="1" t="n">
        <v>46266</v>
      </c>
      <c r="F315" t="inlineStr">
        <is>
          <t>VÄRMLANDS LÄN</t>
        </is>
      </c>
      <c r="G315" t="inlineStr">
        <is>
          <t>HAGFORS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46266</v>
      </c>
      <c r="F316" t="inlineStr">
        <is>
          <t>VÄRMLANDS LÄN</t>
        </is>
      </c>
      <c r="G316" t="inlineStr">
        <is>
          <t>HAGFORS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56477-2025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45975</v>
      </c>
      <c r="E317" s="1" t="n">
        <v>46266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45975</v>
      </c>
      <c r="E318" s="1" t="n">
        <v>46266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11104-2022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44628</v>
      </c>
      <c r="E319" s="1" t="n">
        <v>46266</v>
      </c>
      <c r="F319" t="inlineStr">
        <is>
          <t>VÄRMLANDS LÄN</t>
        </is>
      </c>
      <c r="G319" t="inlineStr">
        <is>
          <t>HAGFORS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29855-2023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46266</v>
      </c>
      <c r="F320" t="inlineStr">
        <is>
          <t>VÄRMLANDS LÄN</t>
        </is>
      </c>
      <c r="G320" t="inlineStr">
        <is>
          <t>HAGFORS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16824-2023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45033</v>
      </c>
      <c r="E321" s="1" t="n">
        <v>46266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47027-2023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45201</v>
      </c>
      <c r="E322" s="1" t="n">
        <v>46266</v>
      </c>
      <c r="F322" t="inlineStr">
        <is>
          <t>VÄRMLANDS LÄN</t>
        </is>
      </c>
      <c r="G322" t="inlineStr">
        <is>
          <t>HAGFORS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46266</v>
      </c>
      <c r="F323" t="inlineStr">
        <is>
          <t>VÄRMLANDS LÄN</t>
        </is>
      </c>
      <c r="G323" t="inlineStr">
        <is>
          <t>HAGFORS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46266</v>
      </c>
      <c r="F324" t="inlineStr">
        <is>
          <t>VÄRMLANDS LÄN</t>
        </is>
      </c>
      <c r="G324" t="inlineStr">
        <is>
          <t>HAGFORS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46266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57162-2024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46266</v>
      </c>
      <c r="F326" t="inlineStr">
        <is>
          <t>VÄRMLANDS LÄN</t>
        </is>
      </c>
      <c r="G326" t="inlineStr">
        <is>
          <t>HAGFORS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57198-2025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46266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56884-2023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45244</v>
      </c>
      <c r="E328" s="1" t="n">
        <v>46266</v>
      </c>
      <c r="F328" t="inlineStr">
        <is>
          <t>VÄRMLANDS LÄN</t>
        </is>
      </c>
      <c r="G328" t="inlineStr">
        <is>
          <t>HAGFORS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45310</v>
      </c>
      <c r="E329" s="1" t="n">
        <v>46266</v>
      </c>
      <c r="F329" t="inlineStr">
        <is>
          <t>VÄRMLANDS LÄN</t>
        </is>
      </c>
      <c r="G329" t="inlineStr">
        <is>
          <t>HAGFORS</t>
        </is>
      </c>
      <c r="H329" t="inlineStr">
        <is>
          <t>Kyrkan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45581</v>
      </c>
      <c r="E330" s="1" t="n">
        <v>46266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45980</v>
      </c>
      <c r="E331" s="1" t="n">
        <v>46266</v>
      </c>
      <c r="F331" t="inlineStr">
        <is>
          <t>VÄRMLANDS LÄN</t>
        </is>
      </c>
      <c r="G331" t="inlineStr">
        <is>
          <t>HAGFORS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45980</v>
      </c>
      <c r="E332" s="1" t="n">
        <v>46266</v>
      </c>
      <c r="F332" t="inlineStr">
        <is>
          <t>VÄRMLANDS LÄN</t>
        </is>
      </c>
      <c r="G332" t="inlineStr">
        <is>
          <t>HAGFORS</t>
        </is>
      </c>
      <c r="H332" t="inlineStr">
        <is>
          <t>Kyrkan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57814-2025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45981</v>
      </c>
      <c r="E333" s="1" t="n">
        <v>46266</v>
      </c>
      <c r="F333" t="inlineStr">
        <is>
          <t>VÄRMLANDS LÄN</t>
        </is>
      </c>
      <c r="G333" t="inlineStr">
        <is>
          <t>HAGFORS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46266</v>
      </c>
      <c r="F334" t="inlineStr">
        <is>
          <t>VÄRMLANDS LÄN</t>
        </is>
      </c>
      <c r="G334" t="inlineStr">
        <is>
          <t>HAGFORS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45625</v>
      </c>
      <c r="E335" s="1" t="n">
        <v>46266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46266</v>
      </c>
      <c r="F336" t="inlineStr">
        <is>
          <t>VÄRMLANDS LÄN</t>
        </is>
      </c>
      <c r="G336" t="inlineStr">
        <is>
          <t>HAGFORS</t>
        </is>
      </c>
      <c r="H336" t="inlineStr">
        <is>
          <t>Kyrkan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9763-2025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45716</v>
      </c>
      <c r="E337" s="1" t="n">
        <v>46266</v>
      </c>
      <c r="F337" t="inlineStr">
        <is>
          <t>VÄRMLANDS LÄN</t>
        </is>
      </c>
      <c r="G337" t="inlineStr">
        <is>
          <t>HAGFORS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44757</v>
      </c>
      <c r="E338" s="1" t="n">
        <v>46266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46266</v>
      </c>
      <c r="F339" t="inlineStr">
        <is>
          <t>VÄRMLANDS LÄN</t>
        </is>
      </c>
      <c r="G339" t="inlineStr">
        <is>
          <t>HAGFORS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45323</v>
      </c>
      <c r="E340" s="1" t="n">
        <v>46266</v>
      </c>
      <c r="F340" t="inlineStr">
        <is>
          <t>VÄRMLANDS LÄN</t>
        </is>
      </c>
      <c r="G340" t="inlineStr">
        <is>
          <t>HAGFORS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59047-2025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45988</v>
      </c>
      <c r="E341" s="1" t="n">
        <v>46266</v>
      </c>
      <c r="F341" t="inlineStr">
        <is>
          <t>VÄRMLANDS LÄN</t>
        </is>
      </c>
      <c r="G341" t="inlineStr">
        <is>
          <t>HAGFORS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18699-2022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44687</v>
      </c>
      <c r="E342" s="1" t="n">
        <v>46266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20.2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46266</v>
      </c>
      <c r="F343" t="inlineStr">
        <is>
          <t>VÄRMLANDS LÄN</t>
        </is>
      </c>
      <c r="G343" t="inlineStr">
        <is>
          <t>HAGFORS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45390</v>
      </c>
      <c r="E344" s="1" t="n">
        <v>46266</v>
      </c>
      <c r="F344" t="inlineStr">
        <is>
          <t>VÄRMLANDS LÄN</t>
        </is>
      </c>
      <c r="G344" t="inlineStr">
        <is>
          <t>HAGFORS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36030-2023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46266</v>
      </c>
      <c r="F345" t="inlineStr">
        <is>
          <t>VÄRMLANDS LÄN</t>
        </is>
      </c>
      <c r="G345" t="inlineStr">
        <is>
          <t>HAGFORS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45145</v>
      </c>
      <c r="E346" s="1" t="n">
        <v>46266</v>
      </c>
      <c r="F346" t="inlineStr">
        <is>
          <t>VÄRMLANDS LÄN</t>
        </is>
      </c>
      <c r="G346" t="inlineStr">
        <is>
          <t>HAGFORS</t>
        </is>
      </c>
      <c r="I346" t="n">
        <v>13.5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38132-2022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46266</v>
      </c>
      <c r="F347" t="inlineStr">
        <is>
          <t>VÄRMLANDS LÄN</t>
        </is>
      </c>
      <c r="G347" t="inlineStr">
        <is>
          <t>HAGFORS</t>
        </is>
      </c>
      <c r="H347" t="inlineStr">
        <is>
          <t>Kyrkan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60606-2025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45996</v>
      </c>
      <c r="E348" s="1" t="n">
        <v>46266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60841-2025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46266</v>
      </c>
      <c r="F349" t="inlineStr">
        <is>
          <t>VÄRMLANDS LÄN</t>
        </is>
      </c>
      <c r="G349" t="inlineStr">
        <is>
          <t>HAGFORS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60648-2025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45996</v>
      </c>
      <c r="E350" s="1" t="n">
        <v>46266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46266</v>
      </c>
      <c r="F351" t="inlineStr">
        <is>
          <t>VÄRMLANDS LÄN</t>
        </is>
      </c>
      <c r="G351" t="inlineStr">
        <is>
          <t>HAGFORS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45510</v>
      </c>
      <c r="E352" s="1" t="n">
        <v>46266</v>
      </c>
      <c r="F352" t="inlineStr">
        <is>
          <t>VÄRMLANDS LÄN</t>
        </is>
      </c>
      <c r="G352" t="inlineStr">
        <is>
          <t>HAGFORS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15538-2024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45401</v>
      </c>
      <c r="E353" s="1" t="n">
        <v>46266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45425</v>
      </c>
      <c r="E354" s="1" t="n">
        <v>46266</v>
      </c>
      <c r="F354" t="inlineStr">
        <is>
          <t>VÄRMLANDS LÄN</t>
        </is>
      </c>
      <c r="G354" t="inlineStr">
        <is>
          <t>HAGFORS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60974-2024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46266</v>
      </c>
      <c r="F355" t="inlineStr">
        <is>
          <t>VÄRMLANDS LÄN</t>
        </is>
      </c>
      <c r="G355" t="inlineStr">
        <is>
          <t>HAGFORS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61843-2025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46003</v>
      </c>
      <c r="E356" s="1" t="n">
        <v>46266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61850-2025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46003</v>
      </c>
      <c r="E357" s="1" t="n">
        <v>46266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62546-2022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44924</v>
      </c>
      <c r="E358" s="1" t="n">
        <v>46266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61718-2025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46002</v>
      </c>
      <c r="E359" s="1" t="n">
        <v>46266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45699</v>
      </c>
      <c r="E360" s="1" t="n">
        <v>46266</v>
      </c>
      <c r="F360" t="inlineStr">
        <is>
          <t>VÄRMLANDS LÄN</t>
        </is>
      </c>
      <c r="G360" t="inlineStr">
        <is>
          <t>HAGFORS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61787-2025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46002</v>
      </c>
      <c r="E361" s="1" t="n">
        <v>46266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61998-2025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46003</v>
      </c>
      <c r="E362" s="1" t="n">
        <v>46266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44951</v>
      </c>
      <c r="E363" s="1" t="n">
        <v>46266</v>
      </c>
      <c r="F363" t="inlineStr">
        <is>
          <t>VÄRMLANDS LÄN</t>
        </is>
      </c>
      <c r="G363" t="inlineStr">
        <is>
          <t>HAGFORS</t>
        </is>
      </c>
      <c r="H363" t="inlineStr">
        <is>
          <t>Kyrkan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61910-2025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46003</v>
      </c>
      <c r="E364" s="1" t="n">
        <v>46266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46266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46006</v>
      </c>
      <c r="E366" s="1" t="n">
        <v>46266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45772</v>
      </c>
      <c r="E367" s="1" t="n">
        <v>46266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62168-2025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46006</v>
      </c>
      <c r="E368" s="1" t="n">
        <v>46266</v>
      </c>
      <c r="F368" t="inlineStr">
        <is>
          <t>VÄRMLANDS LÄN</t>
        </is>
      </c>
      <c r="G368" t="inlineStr">
        <is>
          <t>HAGFORS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46006</v>
      </c>
      <c r="E369" s="1" t="n">
        <v>46266</v>
      </c>
      <c r="F369" t="inlineStr">
        <is>
          <t>VÄRMLANDS LÄN</t>
        </is>
      </c>
      <c r="G369" t="inlineStr">
        <is>
          <t>HAGFORS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46006</v>
      </c>
      <c r="E370" s="1" t="n">
        <v>46266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62632-2025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46266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62749-2025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46266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46266</v>
      </c>
      <c r="F373" t="inlineStr">
        <is>
          <t>VÄRMLANDS LÄN</t>
        </is>
      </c>
      <c r="G373" t="inlineStr">
        <is>
          <t>HAGFORS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45266</v>
      </c>
      <c r="E374" s="1" t="n">
        <v>46266</v>
      </c>
      <c r="F374" t="inlineStr">
        <is>
          <t>VÄRMLANDS LÄN</t>
        </is>
      </c>
      <c r="G374" t="inlineStr">
        <is>
          <t>HAGFORS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63301-2025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46266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3963-2025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45684</v>
      </c>
      <c r="E376" s="1" t="n">
        <v>46266</v>
      </c>
      <c r="F376" t="inlineStr">
        <is>
          <t>VÄRMLANDS LÄN</t>
        </is>
      </c>
      <c r="G376" t="inlineStr">
        <is>
          <t>HAGFORS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12434-2022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44638</v>
      </c>
      <c r="E377" s="1" t="n">
        <v>46266</v>
      </c>
      <c r="F377" t="inlineStr">
        <is>
          <t>VÄRMLANDS LÄN</t>
        </is>
      </c>
      <c r="G377" t="inlineStr">
        <is>
          <t>HAGFORS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63361-2025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46010</v>
      </c>
      <c r="E378" s="1" t="n">
        <v>46266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63285-2025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46010</v>
      </c>
      <c r="E379" s="1" t="n">
        <v>46266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40692-2022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44824</v>
      </c>
      <c r="E380" s="1" t="n">
        <v>46266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59449-2024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45638</v>
      </c>
      <c r="E381" s="1" t="n">
        <v>46266</v>
      </c>
      <c r="F381" t="inlineStr">
        <is>
          <t>VÄRMLANDS LÄN</t>
        </is>
      </c>
      <c r="G381" t="inlineStr">
        <is>
          <t>HAGFORS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46020</v>
      </c>
      <c r="E382" s="1" t="n">
        <v>46266</v>
      </c>
      <c r="F382" t="inlineStr">
        <is>
          <t>VÄRMLANDS LÄN</t>
        </is>
      </c>
      <c r="G382" t="inlineStr">
        <is>
          <t>HAGFORS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63831-2025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46020</v>
      </c>
      <c r="E383" s="1" t="n">
        <v>46266</v>
      </c>
      <c r="F383" t="inlineStr">
        <is>
          <t>VÄRMLANDS LÄN</t>
        </is>
      </c>
      <c r="G383" t="inlineStr">
        <is>
          <t>HAGFORS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46018</v>
      </c>
      <c r="E384" s="1" t="n">
        <v>46266</v>
      </c>
      <c r="F384" t="inlineStr">
        <is>
          <t>VÄRMLANDS LÄN</t>
        </is>
      </c>
      <c r="G384" t="inlineStr">
        <is>
          <t>HAGFORS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63765-2025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46018</v>
      </c>
      <c r="E385" s="1" t="n">
        <v>46266</v>
      </c>
      <c r="F385" t="inlineStr">
        <is>
          <t>VÄRMLANDS LÄN</t>
        </is>
      </c>
      <c r="G385" t="inlineStr">
        <is>
          <t>HAGFORS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47021-2023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45201</v>
      </c>
      <c r="E386" s="1" t="n">
        <v>46266</v>
      </c>
      <c r="F386" t="inlineStr">
        <is>
          <t>VÄRMLANDS LÄN</t>
        </is>
      </c>
      <c r="G386" t="inlineStr">
        <is>
          <t>HAGFORS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63875-2025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46020</v>
      </c>
      <c r="E387" s="1" t="n">
        <v>46266</v>
      </c>
      <c r="F387" t="inlineStr">
        <is>
          <t>VÄRMLANDS LÄN</t>
        </is>
      </c>
      <c r="G387" t="inlineStr">
        <is>
          <t>HAGFORS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71447-2021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44540</v>
      </c>
      <c r="E388" s="1" t="n">
        <v>46266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48807-2025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45937</v>
      </c>
      <c r="E389" s="1" t="n">
        <v>46266</v>
      </c>
      <c r="F389" t="inlineStr">
        <is>
          <t>VÄRMLANDS LÄN</t>
        </is>
      </c>
      <c r="G389" t="inlineStr">
        <is>
          <t>HAGFORS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46266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22.7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45720</v>
      </c>
      <c r="E391" s="1" t="n">
        <v>46266</v>
      </c>
      <c r="F391" t="inlineStr">
        <is>
          <t>VÄRMLANDS LÄN</t>
        </is>
      </c>
      <c r="G391" t="inlineStr">
        <is>
          <t>HAGFORS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45121</v>
      </c>
      <c r="E392" s="1" t="n">
        <v>46266</v>
      </c>
      <c r="F392" t="inlineStr">
        <is>
          <t>VÄRMLANDS LÄN</t>
        </is>
      </c>
      <c r="G392" t="inlineStr">
        <is>
          <t>HAGFORS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975-2026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46030</v>
      </c>
      <c r="E393" s="1" t="n">
        <v>46266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46266</v>
      </c>
      <c r="F394" t="inlineStr">
        <is>
          <t>VÄRMLANDS LÄN</t>
        </is>
      </c>
      <c r="G394" t="inlineStr">
        <is>
          <t>HAGFORS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46266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16.8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46266</v>
      </c>
      <c r="F396" t="inlineStr">
        <is>
          <t>VÄRMLANDS LÄN</t>
        </is>
      </c>
      <c r="G396" t="inlineStr">
        <is>
          <t>HAGFORS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31812-2024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45509</v>
      </c>
      <c r="E397" s="1" t="n">
        <v>46266</v>
      </c>
      <c r="F397" t="inlineStr">
        <is>
          <t>VÄRMLANDS LÄN</t>
        </is>
      </c>
      <c r="G397" t="inlineStr">
        <is>
          <t>HAGFORS</t>
        </is>
      </c>
      <c r="H397" t="inlineStr">
        <is>
          <t>Kommuner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55758-2024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45623</v>
      </c>
      <c r="E398" s="1" t="n">
        <v>46266</v>
      </c>
      <c r="F398" t="inlineStr">
        <is>
          <t>VÄRMLANDS LÄN</t>
        </is>
      </c>
      <c r="G398" t="inlineStr">
        <is>
          <t>HAGFORS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44937</v>
      </c>
      <c r="E399" s="1" t="n">
        <v>46266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45087</v>
      </c>
      <c r="E400" s="1" t="n">
        <v>46266</v>
      </c>
      <c r="F400" t="inlineStr">
        <is>
          <t>VÄRMLANDS LÄN</t>
        </is>
      </c>
      <c r="G400" t="inlineStr">
        <is>
          <t>HAGFORS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35088-2024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45527</v>
      </c>
      <c r="E401" s="1" t="n">
        <v>46266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44938</v>
      </c>
      <c r="E402" s="1" t="n">
        <v>46266</v>
      </c>
      <c r="F402" t="inlineStr">
        <is>
          <t>VÄRMLANDS LÄN</t>
        </is>
      </c>
      <c r="G402" t="inlineStr">
        <is>
          <t>HAGFORS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29373-2023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45106</v>
      </c>
      <c r="E403" s="1" t="n">
        <v>46266</v>
      </c>
      <c r="F403" t="inlineStr">
        <is>
          <t>VÄRMLANDS LÄN</t>
        </is>
      </c>
      <c r="G403" t="inlineStr">
        <is>
          <t>HAGFORS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46266</v>
      </c>
      <c r="F404" t="inlineStr">
        <is>
          <t>VÄRMLANDS LÄN</t>
        </is>
      </c>
      <c r="G404" t="inlineStr">
        <is>
          <t>HAGFORS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46266</v>
      </c>
      <c r="F405" t="inlineStr">
        <is>
          <t>VÄRMLANDS LÄN</t>
        </is>
      </c>
      <c r="G405" t="inlineStr">
        <is>
          <t>HAGFORS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46266</v>
      </c>
      <c r="F406" t="inlineStr">
        <is>
          <t>VÄRMLANDS LÄN</t>
        </is>
      </c>
      <c r="G406" t="inlineStr">
        <is>
          <t>HAGFORS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46266</v>
      </c>
      <c r="F407" t="inlineStr">
        <is>
          <t>VÄRMLANDS LÄN</t>
        </is>
      </c>
      <c r="G407" t="inlineStr">
        <is>
          <t>HAGFORS</t>
        </is>
      </c>
      <c r="I407" t="n">
        <v>13.1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8842-2025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45713</v>
      </c>
      <c r="E408" s="1" t="n">
        <v>46266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46049</v>
      </c>
      <c r="E409" s="1" t="n">
        <v>46266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53192-2022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44876</v>
      </c>
      <c r="E410" s="1" t="n">
        <v>46266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46050</v>
      </c>
      <c r="E411" s="1" t="n">
        <v>46266</v>
      </c>
      <c r="F411" t="inlineStr">
        <is>
          <t>VÄRMLANDS LÄN</t>
        </is>
      </c>
      <c r="G411" t="inlineStr">
        <is>
          <t>HAGFORS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45084</v>
      </c>
      <c r="E412" s="1" t="n">
        <v>46266</v>
      </c>
      <c r="F412" t="inlineStr">
        <is>
          <t>VÄRMLANDS LÄN</t>
        </is>
      </c>
      <c r="G412" t="inlineStr">
        <is>
          <t>HAGFORS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46266</v>
      </c>
      <c r="F413" t="inlineStr">
        <is>
          <t>VÄRMLANDS LÄN</t>
        </is>
      </c>
      <c r="G413" t="inlineStr">
        <is>
          <t>HAGFORS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46266</v>
      </c>
      <c r="F414" t="inlineStr">
        <is>
          <t>VÄRMLANDS LÄN</t>
        </is>
      </c>
      <c r="G414" t="inlineStr">
        <is>
          <t>HAGFORS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61902-2021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44502</v>
      </c>
      <c r="E415" s="1" t="n">
        <v>46266</v>
      </c>
      <c r="F415" t="inlineStr">
        <is>
          <t>VÄRMLANDS LÄN</t>
        </is>
      </c>
      <c r="G415" t="inlineStr">
        <is>
          <t>HAGFORS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45006</v>
      </c>
      <c r="E416" s="1" t="n">
        <v>46266</v>
      </c>
      <c r="F416" t="inlineStr">
        <is>
          <t>VÄRMLANDS LÄN</t>
        </is>
      </c>
      <c r="G416" t="inlineStr">
        <is>
          <t>HAGFORS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46266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46266</v>
      </c>
      <c r="F418" t="inlineStr">
        <is>
          <t>VÄRMLANDS LÄN</t>
        </is>
      </c>
      <c r="G418" t="inlineStr">
        <is>
          <t>HAGFORS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46266</v>
      </c>
      <c r="F419" t="inlineStr">
        <is>
          <t>VÄRMLANDS LÄN</t>
        </is>
      </c>
      <c r="G419" t="inlineStr">
        <is>
          <t>HAGFORS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46266</v>
      </c>
      <c r="F420" t="inlineStr">
        <is>
          <t>VÄRMLANDS LÄN</t>
        </is>
      </c>
      <c r="G420" t="inlineStr">
        <is>
          <t>HAGFORS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45562</v>
      </c>
      <c r="E421" s="1" t="n">
        <v>46266</v>
      </c>
      <c r="F421" t="inlineStr">
        <is>
          <t>VÄRMLANDS LÄN</t>
        </is>
      </c>
      <c r="G421" t="inlineStr">
        <is>
          <t>HAGFORS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45036</v>
      </c>
      <c r="E422" s="1" t="n">
        <v>46266</v>
      </c>
      <c r="F422" t="inlineStr">
        <is>
          <t>VÄRMLANDS LÄN</t>
        </is>
      </c>
      <c r="G422" t="inlineStr">
        <is>
          <t>HAGFORS</t>
        </is>
      </c>
      <c r="H422" t="inlineStr">
        <is>
          <t>Kommuner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46266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44613</v>
      </c>
      <c r="E424" s="1" t="n">
        <v>46266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46266</v>
      </c>
      <c r="F425" t="inlineStr">
        <is>
          <t>VÄRMLANDS LÄN</t>
        </is>
      </c>
      <c r="G425" t="inlineStr">
        <is>
          <t>HAGFORS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61169-2024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45645</v>
      </c>
      <c r="E426" s="1" t="n">
        <v>46266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45461</v>
      </c>
      <c r="E427" s="1" t="n">
        <v>46266</v>
      </c>
      <c r="F427" t="inlineStr">
        <is>
          <t>VÄRMLANDS LÄN</t>
        </is>
      </c>
      <c r="G427" t="inlineStr">
        <is>
          <t>HAGFORS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45152</v>
      </c>
      <c r="E428" s="1" t="n">
        <v>46266</v>
      </c>
      <c r="F428" t="inlineStr">
        <is>
          <t>VÄRMLANDS LÄN</t>
        </is>
      </c>
      <c r="G428" t="inlineStr">
        <is>
          <t>HAGFORS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8555-2026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46266</v>
      </c>
      <c r="F429" t="inlineStr">
        <is>
          <t>VÄRMLANDS LÄN</t>
        </is>
      </c>
      <c r="G429" t="inlineStr">
        <is>
          <t>HAGFORS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20444-2024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45435</v>
      </c>
      <c r="E430" s="1" t="n">
        <v>46266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46266</v>
      </c>
      <c r="F431" t="inlineStr">
        <is>
          <t>VÄRMLANDS LÄN</t>
        </is>
      </c>
      <c r="G431" t="inlineStr">
        <is>
          <t>HAGFORS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59048-2022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44903</v>
      </c>
      <c r="E432" s="1" t="n">
        <v>46266</v>
      </c>
      <c r="F432" t="inlineStr">
        <is>
          <t>VÄRMLANDS LÄN</t>
        </is>
      </c>
      <c r="G432" t="inlineStr">
        <is>
          <t>HAGFORS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46072</v>
      </c>
      <c r="E433" s="1" t="n">
        <v>46266</v>
      </c>
      <c r="F433" t="inlineStr">
        <is>
          <t>VÄRMLANDS LÄN</t>
        </is>
      </c>
      <c r="G433" t="inlineStr">
        <is>
          <t>HAGFORS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46266</v>
      </c>
      <c r="F434" t="inlineStr">
        <is>
          <t>VÄRMLANDS LÄN</t>
        </is>
      </c>
      <c r="G434" t="inlineStr">
        <is>
          <t>HAGFORS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10271-2026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46266</v>
      </c>
      <c r="F435" t="inlineStr">
        <is>
          <t>VÄRMLANDS LÄN</t>
        </is>
      </c>
      <c r="G435" t="inlineStr">
        <is>
          <t>HAGFORS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21155-2023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45057</v>
      </c>
      <c r="E436" s="1" t="n">
        <v>46266</v>
      </c>
      <c r="F436" t="inlineStr">
        <is>
          <t>VÄRMLANDS LÄN</t>
        </is>
      </c>
      <c r="G436" t="inlineStr">
        <is>
          <t>HAGFORS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46266</v>
      </c>
      <c r="F437" t="inlineStr">
        <is>
          <t>VÄRMLANDS LÄN</t>
        </is>
      </c>
      <c r="G437" t="inlineStr">
        <is>
          <t>HAGFORS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19554-2024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45429</v>
      </c>
      <c r="E438" s="1" t="n">
        <v>46266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44763</v>
      </c>
      <c r="E439" s="1" t="n">
        <v>46266</v>
      </c>
      <c r="F439" t="inlineStr">
        <is>
          <t>VÄRMLANDS LÄN</t>
        </is>
      </c>
      <c r="G439" t="inlineStr">
        <is>
          <t>HAGFORS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52830-2023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45226</v>
      </c>
      <c r="E440" s="1" t="n">
        <v>46266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45476</v>
      </c>
      <c r="E441" s="1" t="n">
        <v>46266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18213-2024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45420</v>
      </c>
      <c r="E442" s="1" t="n">
        <v>46266</v>
      </c>
      <c r="F442" t="inlineStr">
        <is>
          <t>VÄRMLANDS LÄN</t>
        </is>
      </c>
      <c r="G442" t="inlineStr">
        <is>
          <t>HAGFORS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46090</v>
      </c>
      <c r="E443" s="1" t="n">
        <v>46266</v>
      </c>
      <c r="F443" t="inlineStr">
        <is>
          <t>VÄRMLANDS LÄN</t>
        </is>
      </c>
      <c r="G443" t="inlineStr">
        <is>
          <t>HAGFORS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46266</v>
      </c>
      <c r="F444" t="inlineStr">
        <is>
          <t>VÄRMLANDS LÄN</t>
        </is>
      </c>
      <c r="G444" t="inlineStr">
        <is>
          <t>HAGFORS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46266</v>
      </c>
      <c r="F445" t="inlineStr">
        <is>
          <t>VÄRMLANDS LÄN</t>
        </is>
      </c>
      <c r="G445" t="inlineStr">
        <is>
          <t>HAGFORS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6437-2024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45338</v>
      </c>
      <c r="E446" s="1" t="n">
        <v>46266</v>
      </c>
      <c r="F446" t="inlineStr">
        <is>
          <t>VÄRMLANDS LÄN</t>
        </is>
      </c>
      <c r="G446" t="inlineStr">
        <is>
          <t>HAGFORS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9795-2023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44984</v>
      </c>
      <c r="E447" s="1" t="n">
        <v>46266</v>
      </c>
      <c r="F447" t="inlineStr">
        <is>
          <t>VÄRMLANDS LÄN</t>
        </is>
      </c>
      <c r="G447" t="inlineStr">
        <is>
          <t>HAGFORS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34540-2024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45525</v>
      </c>
      <c r="E448" s="1" t="n">
        <v>46266</v>
      </c>
      <c r="F448" t="inlineStr">
        <is>
          <t>VÄRMLANDS LÄN</t>
        </is>
      </c>
      <c r="G448" t="inlineStr">
        <is>
          <t>HAGFORS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46091</v>
      </c>
      <c r="E449" s="1" t="n">
        <v>46266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46266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46266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13419-2026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46094</v>
      </c>
      <c r="E452" s="1" t="n">
        <v>46266</v>
      </c>
      <c r="F452" t="inlineStr">
        <is>
          <t>VÄRMLANDS LÄN</t>
        </is>
      </c>
      <c r="G452" t="inlineStr">
        <is>
          <t>HAGFORS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13411-2026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46266</v>
      </c>
      <c r="F453" t="inlineStr">
        <is>
          <t>VÄRMLANDS LÄN</t>
        </is>
      </c>
      <c r="G453" t="inlineStr">
        <is>
          <t>HAGFORS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35994-2024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45533</v>
      </c>
      <c r="E454" s="1" t="n">
        <v>46266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65065-2023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45287</v>
      </c>
      <c r="E455" s="1" t="n">
        <v>46266</v>
      </c>
      <c r="F455" t="inlineStr">
        <is>
          <t>VÄRMLANDS LÄN</t>
        </is>
      </c>
      <c r="G455" t="inlineStr">
        <is>
          <t>HAGFORS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13466-2026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46266</v>
      </c>
      <c r="F456" t="inlineStr">
        <is>
          <t>VÄRMLANDS LÄN</t>
        </is>
      </c>
      <c r="G456" t="inlineStr">
        <is>
          <t>HAGFORS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46266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46266</v>
      </c>
      <c r="F458" t="inlineStr">
        <is>
          <t>VÄRMLANDS LÄN</t>
        </is>
      </c>
      <c r="G458" t="inlineStr">
        <is>
          <t>HAGFORS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46266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53443-2024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45614</v>
      </c>
      <c r="E460" s="1" t="n">
        <v>46266</v>
      </c>
      <c r="F460" t="inlineStr">
        <is>
          <t>VÄRMLANDS LÄN</t>
        </is>
      </c>
      <c r="G460" t="inlineStr">
        <is>
          <t>HAGFORS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46266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14284-2026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46099</v>
      </c>
      <c r="E462" s="1" t="n">
        <v>46266</v>
      </c>
      <c r="F462" t="inlineStr">
        <is>
          <t>VÄRMLANDS LÄN</t>
        </is>
      </c>
      <c r="G462" t="inlineStr">
        <is>
          <t>HAGFORS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19072-2025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45765</v>
      </c>
      <c r="E463" s="1" t="n">
        <v>46266</v>
      </c>
      <c r="F463" t="inlineStr">
        <is>
          <t>VÄRMLANDS LÄN</t>
        </is>
      </c>
      <c r="G463" t="inlineStr">
        <is>
          <t>HAGFORS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46266</v>
      </c>
      <c r="F464" t="inlineStr">
        <is>
          <t>VÄRMLANDS LÄN</t>
        </is>
      </c>
      <c r="G464" t="inlineStr">
        <is>
          <t>HAGFORS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14832-2026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46266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46101</v>
      </c>
      <c r="E466" s="1" t="n">
        <v>46266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15031-2026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46266</v>
      </c>
      <c r="F467" t="inlineStr">
        <is>
          <t>VÄRMLANDS LÄN</t>
        </is>
      </c>
      <c r="G467" t="inlineStr">
        <is>
          <t>HAGFORS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46266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46101</v>
      </c>
      <c r="E469" s="1" t="n">
        <v>46266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45624</v>
      </c>
      <c r="E470" s="1" t="n">
        <v>46266</v>
      </c>
      <c r="F470" t="inlineStr">
        <is>
          <t>VÄRMLANDS LÄN</t>
        </is>
      </c>
      <c r="G470" t="inlineStr">
        <is>
          <t>HAGFORS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46106</v>
      </c>
      <c r="E471" s="1" t="n">
        <v>46266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15504-2026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46266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45741</v>
      </c>
      <c r="E473" s="1" t="n">
        <v>46266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15639-2026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46266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46266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27826-2024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45475</v>
      </c>
      <c r="E476" s="1" t="n">
        <v>46266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27827-2024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45475</v>
      </c>
      <c r="E477" s="1" t="n">
        <v>46266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46266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45534</v>
      </c>
      <c r="E479" s="1" t="n">
        <v>46266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36228-2024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45534</v>
      </c>
      <c r="E480" s="1" t="n">
        <v>46266</v>
      </c>
      <c r="F480" t="inlineStr">
        <is>
          <t>VÄRMLANDS LÄN</t>
        </is>
      </c>
      <c r="G480" t="inlineStr">
        <is>
          <t>HAGFORS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15213-2026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46266</v>
      </c>
      <c r="F481" t="inlineStr">
        <is>
          <t>VÄRMLANDS LÄN</t>
        </is>
      </c>
      <c r="G481" t="inlineStr">
        <is>
          <t>HAGFORS</t>
        </is>
      </c>
      <c r="H481" t="inlineStr">
        <is>
          <t>Kyrkan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44582</v>
      </c>
      <c r="E482" s="1" t="n">
        <v>46266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46266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15577-2026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46266</v>
      </c>
      <c r="F484" t="inlineStr">
        <is>
          <t>VÄRMLANDS LÄN</t>
        </is>
      </c>
      <c r="G484" t="inlineStr">
        <is>
          <t>HAGFORS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20103-2024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45434</v>
      </c>
      <c r="E485" s="1" t="n">
        <v>46266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16146-2026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46266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45725</v>
      </c>
      <c r="E487" s="1" t="n">
        <v>46266</v>
      </c>
      <c r="F487" t="inlineStr">
        <is>
          <t>VÄRMLANDS LÄN</t>
        </is>
      </c>
      <c r="G487" t="inlineStr">
        <is>
          <t>HAGFORS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15270-2024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45400</v>
      </c>
      <c r="E488" s="1" t="n">
        <v>46266</v>
      </c>
      <c r="F488" t="inlineStr">
        <is>
          <t>VÄRMLANDS LÄN</t>
        </is>
      </c>
      <c r="G488" t="inlineStr">
        <is>
          <t>HAGFORS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46426-2024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45582</v>
      </c>
      <c r="E489" s="1" t="n">
        <v>46266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46266</v>
      </c>
      <c r="F490" t="inlineStr">
        <is>
          <t>VÄRMLANDS LÄN</t>
        </is>
      </c>
      <c r="G490" t="inlineStr">
        <is>
          <t>HAGFORS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46266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9.4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44567</v>
      </c>
      <c r="E492" s="1" t="n">
        <v>46266</v>
      </c>
      <c r="F492" t="inlineStr">
        <is>
          <t>VÄRMLANDS LÄN</t>
        </is>
      </c>
      <c r="G492" t="inlineStr">
        <is>
          <t>HAGFORS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34636-2024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45526</v>
      </c>
      <c r="E493" s="1" t="n">
        <v>46266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15587-2026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46106</v>
      </c>
      <c r="E494" s="1" t="n">
        <v>46266</v>
      </c>
      <c r="F494" t="inlineStr">
        <is>
          <t>VÄRMLANDS LÄN</t>
        </is>
      </c>
      <c r="G494" t="inlineStr">
        <is>
          <t>HAGFORS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45140</v>
      </c>
      <c r="E495" s="1" t="n">
        <v>46266</v>
      </c>
      <c r="F495" t="inlineStr">
        <is>
          <t>VÄRMLANDS LÄN</t>
        </is>
      </c>
      <c r="G495" t="inlineStr">
        <is>
          <t>HAGFORS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45741</v>
      </c>
      <c r="E496" s="1" t="n">
        <v>46266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54757-2022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44883</v>
      </c>
      <c r="E497" s="1" t="n">
        <v>46266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17.9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17815-2026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46122</v>
      </c>
      <c r="E498" s="1" t="n">
        <v>46266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45238-2024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45575</v>
      </c>
      <c r="E499" s="1" t="n">
        <v>46266</v>
      </c>
      <c r="F499" t="inlineStr">
        <is>
          <t>VÄRMLANDS LÄN</t>
        </is>
      </c>
      <c r="G499" t="inlineStr">
        <is>
          <t>HAGFORS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17843-2026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46122</v>
      </c>
      <c r="E500" s="1" t="n">
        <v>46266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46266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37085-2023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45155</v>
      </c>
      <c r="E502" s="1" t="n">
        <v>46266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37463-2022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44809</v>
      </c>
      <c r="E503" s="1" t="n">
        <v>46266</v>
      </c>
      <c r="F503" t="inlineStr">
        <is>
          <t>VÄRMLANDS LÄN</t>
        </is>
      </c>
      <c r="G503" t="inlineStr">
        <is>
          <t>HAGFORS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45268</v>
      </c>
      <c r="E504" s="1" t="n">
        <v>46266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45057</v>
      </c>
      <c r="E505" s="1" t="n">
        <v>46266</v>
      </c>
      <c r="F505" t="inlineStr">
        <is>
          <t>VÄRMLANDS LÄN</t>
        </is>
      </c>
      <c r="G505" t="inlineStr">
        <is>
          <t>HAGFORS</t>
        </is>
      </c>
      <c r="H505" t="inlineStr">
        <is>
          <t>Kyrkan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18217-2026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46266</v>
      </c>
      <c r="F506" t="inlineStr">
        <is>
          <t>VÄRMLANDS LÄN</t>
        </is>
      </c>
      <c r="G506" t="inlineStr">
        <is>
          <t>HAGFORS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45615</v>
      </c>
      <c r="E507" s="1" t="n">
        <v>46266</v>
      </c>
      <c r="F507" t="inlineStr">
        <is>
          <t>VÄRMLANDS LÄN</t>
        </is>
      </c>
      <c r="G507" t="inlineStr">
        <is>
          <t>HAGFORS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18895-2026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46129</v>
      </c>
      <c r="E508" s="1" t="n">
        <v>46266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46127</v>
      </c>
      <c r="E509" s="1" t="n">
        <v>46266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14.1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46266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45470</v>
      </c>
      <c r="E511" s="1" t="n">
        <v>46266</v>
      </c>
      <c r="F511" t="inlineStr">
        <is>
          <t>VÄRMLANDS LÄN</t>
        </is>
      </c>
      <c r="G511" t="inlineStr">
        <is>
          <t>HAGFORS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18797-2026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46128</v>
      </c>
      <c r="E512" s="1" t="n">
        <v>46266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45562</v>
      </c>
      <c r="E513" s="1" t="n">
        <v>46266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19363-2026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46133</v>
      </c>
      <c r="E514" s="1" t="n">
        <v>46266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46133</v>
      </c>
      <c r="E515" s="1" t="n">
        <v>46266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19307-2026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46266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25258-2023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45079</v>
      </c>
      <c r="E517" s="1" t="n">
        <v>46266</v>
      </c>
      <c r="F517" t="inlineStr">
        <is>
          <t>VÄRMLANDS LÄN</t>
        </is>
      </c>
      <c r="G517" t="inlineStr">
        <is>
          <t>HAGFORS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19350-2026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46266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19056-2026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46132</v>
      </c>
      <c r="E519" s="1" t="n">
        <v>46266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19421-2026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46133</v>
      </c>
      <c r="E520" s="1" t="n">
        <v>46266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46266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45441</v>
      </c>
      <c r="E522" s="1" t="n">
        <v>46266</v>
      </c>
      <c r="F522" t="inlineStr">
        <is>
          <t>VÄRMLANDS LÄN</t>
        </is>
      </c>
      <c r="G522" t="inlineStr">
        <is>
          <t>HAGFORS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32147-2023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46266</v>
      </c>
      <c r="F523" t="inlineStr">
        <is>
          <t>VÄRMLANDS LÄN</t>
        </is>
      </c>
      <c r="G523" t="inlineStr">
        <is>
          <t>HAGFORS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19530-2026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46134</v>
      </c>
      <c r="E524" s="1" t="n">
        <v>46266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49766-2023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45212</v>
      </c>
      <c r="E525" s="1" t="n">
        <v>46266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19459-2026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46266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47516-2023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45203</v>
      </c>
      <c r="E527" s="1" t="n">
        <v>46266</v>
      </c>
      <c r="F527" t="inlineStr">
        <is>
          <t>VÄRMLANDS LÄN</t>
        </is>
      </c>
      <c r="G527" t="inlineStr">
        <is>
          <t>HAGFORS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31657-2024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45506</v>
      </c>
      <c r="E528" s="1" t="n">
        <v>46266</v>
      </c>
      <c r="F528" t="inlineStr">
        <is>
          <t>VÄRMLANDS LÄN</t>
        </is>
      </c>
      <c r="G528" t="inlineStr">
        <is>
          <t>HAGFORS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20260-2026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46139</v>
      </c>
      <c r="E529" s="1" t="n">
        <v>46266</v>
      </c>
      <c r="F529" t="inlineStr">
        <is>
          <t>VÄRMLANDS LÄN</t>
        </is>
      </c>
      <c r="G529" t="inlineStr">
        <is>
          <t>HAGFORS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63868-2025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46020</v>
      </c>
      <c r="E530" s="1" t="n">
        <v>46266</v>
      </c>
      <c r="F530" t="inlineStr">
        <is>
          <t>VÄRMLANDS LÄN</t>
        </is>
      </c>
      <c r="G530" t="inlineStr">
        <is>
          <t>HAGFORS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44951</v>
      </c>
      <c r="E531" s="1" t="n">
        <v>46266</v>
      </c>
      <c r="F531" t="inlineStr">
        <is>
          <t>VÄRMLANDS LÄN</t>
        </is>
      </c>
      <c r="G531" t="inlineStr">
        <is>
          <t>HAGFORS</t>
        </is>
      </c>
      <c r="H531" t="inlineStr">
        <is>
          <t>Kommuner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64936-2023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45282</v>
      </c>
      <c r="E532" s="1" t="n">
        <v>46266</v>
      </c>
      <c r="F532" t="inlineStr">
        <is>
          <t>VÄRMLANDS LÄN</t>
        </is>
      </c>
      <c r="G532" t="inlineStr">
        <is>
          <t>HAGFORS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45684</v>
      </c>
      <c r="E533" s="1" t="n">
        <v>46266</v>
      </c>
      <c r="F533" t="inlineStr">
        <is>
          <t>VÄRMLANDS LÄN</t>
        </is>
      </c>
      <c r="G533" t="inlineStr">
        <is>
          <t>HAGFORS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12778-2025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45733</v>
      </c>
      <c r="E534" s="1" t="n">
        <v>46266</v>
      </c>
      <c r="F534" t="inlineStr">
        <is>
          <t>VÄRMLANDS LÄN</t>
        </is>
      </c>
      <c r="G534" t="inlineStr">
        <is>
          <t>HAGFORS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45840</v>
      </c>
      <c r="E535" s="1" t="n">
        <v>46266</v>
      </c>
      <c r="F535" t="inlineStr">
        <is>
          <t>VÄRMLANDS LÄN</t>
        </is>
      </c>
      <c r="G535" t="inlineStr">
        <is>
          <t>HAGFORS</t>
        </is>
      </c>
      <c r="I535" t="n">
        <v>18.2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45436</v>
      </c>
      <c r="E536" s="1" t="n">
        <v>46266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46266</v>
      </c>
      <c r="F537" t="inlineStr">
        <is>
          <t>VÄRMLANDS LÄN</t>
        </is>
      </c>
      <c r="G537" t="inlineStr">
        <is>
          <t>HAGFORS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30327-2022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44760</v>
      </c>
      <c r="E538" s="1" t="n">
        <v>46266</v>
      </c>
      <c r="F538" t="inlineStr">
        <is>
          <t>VÄRMLANDS LÄN</t>
        </is>
      </c>
      <c r="G538" t="inlineStr">
        <is>
          <t>HAGFORS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45469</v>
      </c>
      <c r="E539" s="1" t="n">
        <v>46266</v>
      </c>
      <c r="F539" t="inlineStr">
        <is>
          <t>VÄRMLANDS LÄN</t>
        </is>
      </c>
      <c r="G539" t="inlineStr">
        <is>
          <t>HAGFORS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29492-2024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45484</v>
      </c>
      <c r="E540" s="1" t="n">
        <v>46266</v>
      </c>
      <c r="F540" t="inlineStr">
        <is>
          <t>VÄRMLANDS LÄN</t>
        </is>
      </c>
      <c r="G540" t="inlineStr">
        <is>
          <t>HAGFORS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19993-2026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46136</v>
      </c>
      <c r="E541" s="1" t="n">
        <v>46266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22346-2025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46266</v>
      </c>
      <c r="F542" t="inlineStr">
        <is>
          <t>VÄRMLANDS LÄN</t>
        </is>
      </c>
      <c r="G542" t="inlineStr">
        <is>
          <t>HAGFORS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23179-2025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46266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19583-2023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45050</v>
      </c>
      <c r="E544" s="1" t="n">
        <v>46266</v>
      </c>
      <c r="F544" t="inlineStr">
        <is>
          <t>VÄRMLANDS LÄN</t>
        </is>
      </c>
      <c r="G544" t="inlineStr">
        <is>
          <t>HAGFORS</t>
        </is>
      </c>
      <c r="H544" t="inlineStr">
        <is>
          <t>Kommuner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32688-2025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46266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45819</v>
      </c>
      <c r="E546" s="1" t="n">
        <v>46266</v>
      </c>
      <c r="F546" t="inlineStr">
        <is>
          <t>VÄRMLANDS LÄN</t>
        </is>
      </c>
      <c r="G546" t="inlineStr">
        <is>
          <t>HAGFORS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24000-2025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45796</v>
      </c>
      <c r="E547" s="1" t="n">
        <v>46266</v>
      </c>
      <c r="F547" t="inlineStr">
        <is>
          <t>VÄRMLANDS LÄN</t>
        </is>
      </c>
      <c r="G547" t="inlineStr">
        <is>
          <t>HAGFORS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23047-2024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45450</v>
      </c>
      <c r="E548" s="1" t="n">
        <v>46266</v>
      </c>
      <c r="F548" t="inlineStr">
        <is>
          <t>VÄRMLANDS LÄN</t>
        </is>
      </c>
      <c r="G548" t="inlineStr">
        <is>
          <t>HAGFORS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21724-2025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45783</v>
      </c>
      <c r="E549" s="1" t="n">
        <v>46266</v>
      </c>
      <c r="F549" t="inlineStr">
        <is>
          <t>VÄRMLANDS LÄN</t>
        </is>
      </c>
      <c r="G549" t="inlineStr">
        <is>
          <t>HAGFORS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39029-2022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44817</v>
      </c>
      <c r="E550" s="1" t="n">
        <v>46266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45681</v>
      </c>
      <c r="E551" s="1" t="n">
        <v>46266</v>
      </c>
      <c r="F551" t="inlineStr">
        <is>
          <t>VÄRMLANDS LÄN</t>
        </is>
      </c>
      <c r="G551" t="inlineStr">
        <is>
          <t>HAGFORS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15228-2024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45400</v>
      </c>
      <c r="E552" s="1" t="n">
        <v>46266</v>
      </c>
      <c r="F552" t="inlineStr">
        <is>
          <t>VÄRMLANDS LÄN</t>
        </is>
      </c>
      <c r="G552" t="inlineStr">
        <is>
          <t>HAGFORS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32690-2025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45839</v>
      </c>
      <c r="E553" s="1" t="n">
        <v>46266</v>
      </c>
      <c r="F553" t="inlineStr">
        <is>
          <t>VÄRMLANDS LÄN</t>
        </is>
      </c>
      <c r="G553" t="inlineStr">
        <is>
          <t>HAGFORS</t>
        </is>
      </c>
      <c r="H553" t="inlineStr">
        <is>
          <t>Kyrkan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45873</v>
      </c>
      <c r="E554" s="1" t="n">
        <v>46266</v>
      </c>
      <c r="F554" t="inlineStr">
        <is>
          <t>VÄRMLANDS LÄN</t>
        </is>
      </c>
      <c r="G554" t="inlineStr">
        <is>
          <t>HAGFORS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45373</v>
      </c>
      <c r="E555" s="1" t="n">
        <v>46266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26615-2024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46266</v>
      </c>
      <c r="F556" t="inlineStr">
        <is>
          <t>VÄRMLANDS LÄN</t>
        </is>
      </c>
      <c r="G556" t="inlineStr">
        <is>
          <t>HAGFORS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45525</v>
      </c>
      <c r="E557" s="1" t="n">
        <v>46266</v>
      </c>
      <c r="F557" t="inlineStr">
        <is>
          <t>VÄRMLANDS LÄN</t>
        </is>
      </c>
      <c r="G557" t="inlineStr">
        <is>
          <t>HAGFORS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34281-2025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45846</v>
      </c>
      <c r="E558" s="1" t="n">
        <v>46266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46266</v>
      </c>
      <c r="F559" t="inlineStr">
        <is>
          <t>VÄRMLANDS LÄN</t>
        </is>
      </c>
      <c r="G559" t="inlineStr">
        <is>
          <t>HAGFORS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45847</v>
      </c>
      <c r="E560" s="1" t="n">
        <v>46266</v>
      </c>
      <c r="F560" t="inlineStr">
        <is>
          <t>VÄRMLANDS LÄN</t>
        </is>
      </c>
      <c r="G560" t="inlineStr">
        <is>
          <t>HAGFORS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68252-2021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44526</v>
      </c>
      <c r="E561" s="1" t="n">
        <v>46266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58808-2022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44903</v>
      </c>
      <c r="E562" s="1" t="n">
        <v>46266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27410-2023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45097</v>
      </c>
      <c r="E563" s="1" t="n">
        <v>46266</v>
      </c>
      <c r="F563" t="inlineStr">
        <is>
          <t>VÄRMLANDS LÄN</t>
        </is>
      </c>
      <c r="G563" t="inlineStr">
        <is>
          <t>HAGFORS</t>
        </is>
      </c>
      <c r="H563" t="inlineStr">
        <is>
          <t>Kyrkan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20652-2022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44700</v>
      </c>
      <c r="E564" s="1" t="n">
        <v>46266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46266</v>
      </c>
      <c r="F565" t="inlineStr">
        <is>
          <t>VÄRMLANDS LÄN</t>
        </is>
      </c>
      <c r="G565" t="inlineStr">
        <is>
          <t>HAGFORS</t>
        </is>
      </c>
      <c r="I565" t="n">
        <v>6.2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20756-2026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46266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8.300000000000001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45420</v>
      </c>
      <c r="E567" s="1" t="n">
        <v>46266</v>
      </c>
      <c r="F567" t="inlineStr">
        <is>
          <t>VÄRMLANDS LÄN</t>
        </is>
      </c>
      <c r="G567" t="inlineStr">
        <is>
          <t>HAGFORS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58132-2024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45632</v>
      </c>
      <c r="E568" s="1" t="n">
        <v>46266</v>
      </c>
      <c r="F568" t="inlineStr">
        <is>
          <t>VÄRMLANDS LÄN</t>
        </is>
      </c>
      <c r="G568" t="inlineStr">
        <is>
          <t>HAGFORS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20594-2026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46140</v>
      </c>
      <c r="E569" s="1" t="n">
        <v>46266</v>
      </c>
      <c r="F569" t="inlineStr">
        <is>
          <t>VÄRMLANDS LÄN</t>
        </is>
      </c>
      <c r="G569" t="inlineStr">
        <is>
          <t>HAGFORS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45679</v>
      </c>
      <c r="E570" s="1" t="n">
        <v>46266</v>
      </c>
      <c r="F570" t="inlineStr">
        <is>
          <t>VÄRMLANDS LÄN</t>
        </is>
      </c>
      <c r="G570" t="inlineStr">
        <is>
          <t>HAGFORS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20706-2026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46266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20759-2026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46141</v>
      </c>
      <c r="E572" s="1" t="n">
        <v>46266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61265-2022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44915</v>
      </c>
      <c r="E573" s="1" t="n">
        <v>46266</v>
      </c>
      <c r="F573" t="inlineStr">
        <is>
          <t>VÄRMLANDS LÄN</t>
        </is>
      </c>
      <c r="G573" t="inlineStr">
        <is>
          <t>HAGFORS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46266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14897-2024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45398</v>
      </c>
      <c r="E575" s="1" t="n">
        <v>46266</v>
      </c>
      <c r="F575" t="inlineStr">
        <is>
          <t>VÄRMLANDS LÄN</t>
        </is>
      </c>
      <c r="G575" t="inlineStr">
        <is>
          <t>HAGFORS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31618-2025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45833</v>
      </c>
      <c r="E576" s="1" t="n">
        <v>46266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20798-2026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46266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20752-2026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46141</v>
      </c>
      <c r="E578" s="1" t="n">
        <v>46266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46266</v>
      </c>
      <c r="F579" t="inlineStr">
        <is>
          <t>VÄRMLANDS LÄN</t>
        </is>
      </c>
      <c r="G579" t="inlineStr">
        <is>
          <t>HAGFORS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7087-2026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46266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20494-2026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46140</v>
      </c>
      <c r="E581" s="1" t="n">
        <v>46266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20729-2026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46266</v>
      </c>
      <c r="F582" t="inlineStr">
        <is>
          <t>VÄRMLANDS LÄN</t>
        </is>
      </c>
      <c r="G582" t="inlineStr">
        <is>
          <t>HAGFORS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56808-2023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46266</v>
      </c>
      <c r="F583" t="inlineStr">
        <is>
          <t>VÄRMLANDS LÄN</t>
        </is>
      </c>
      <c r="G583" t="inlineStr">
        <is>
          <t>HAGFORS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5749-2022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44596</v>
      </c>
      <c r="E584" s="1" t="n">
        <v>46266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20880-2026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46142</v>
      </c>
      <c r="E585" s="1" t="n">
        <v>46266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10.6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20870-2026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46142</v>
      </c>
      <c r="E586" s="1" t="n">
        <v>46266</v>
      </c>
      <c r="F586" t="inlineStr">
        <is>
          <t>VÄRMLANDS LÄN</t>
        </is>
      </c>
      <c r="G586" t="inlineStr">
        <is>
          <t>HAGFORS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20911-2026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46142</v>
      </c>
      <c r="E587" s="1" t="n">
        <v>46266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52378-2021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44465</v>
      </c>
      <c r="E588" s="1" t="n">
        <v>46266</v>
      </c>
      <c r="F588" t="inlineStr">
        <is>
          <t>VÄRMLANDS LÄN</t>
        </is>
      </c>
      <c r="G588" t="inlineStr">
        <is>
          <t>HAGFORS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46266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20060-2023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45054</v>
      </c>
      <c r="E590" s="1" t="n">
        <v>46266</v>
      </c>
      <c r="F590" t="inlineStr">
        <is>
          <t>VÄRMLANDS LÄN</t>
        </is>
      </c>
      <c r="G590" t="inlineStr">
        <is>
          <t>HAGFORS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49753-2023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45212</v>
      </c>
      <c r="E591" s="1" t="n">
        <v>46266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21728-2026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46266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45645</v>
      </c>
      <c r="E593" s="1" t="n">
        <v>46266</v>
      </c>
      <c r="F593" t="inlineStr">
        <is>
          <t>VÄRMLANDS LÄN</t>
        </is>
      </c>
      <c r="G593" t="inlineStr">
        <is>
          <t>HAGFORS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56888-2023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46266</v>
      </c>
      <c r="F594" t="inlineStr">
        <is>
          <t>VÄRMLANDS LÄN</t>
        </is>
      </c>
      <c r="G594" t="inlineStr">
        <is>
          <t>HAGFORS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8304-2022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44610</v>
      </c>
      <c r="E595" s="1" t="n">
        <v>46266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21879-2026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46150</v>
      </c>
      <c r="E596" s="1" t="n">
        <v>46266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21762-2026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46150</v>
      </c>
      <c r="E597" s="1" t="n">
        <v>46266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46266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44950</v>
      </c>
      <c r="E599" s="1" t="n">
        <v>46266</v>
      </c>
      <c r="F599" t="inlineStr">
        <is>
          <t>VÄRMLANDS LÄN</t>
        </is>
      </c>
      <c r="G599" t="inlineStr">
        <is>
          <t>HAGFORS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3566-2023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44950</v>
      </c>
      <c r="E600" s="1" t="n">
        <v>46266</v>
      </c>
      <c r="F600" t="inlineStr">
        <is>
          <t>VÄRMLANDS LÄN</t>
        </is>
      </c>
      <c r="G600" t="inlineStr">
        <is>
          <t>HAGFORS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8129-2024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45351</v>
      </c>
      <c r="E601" s="1" t="n">
        <v>46266</v>
      </c>
      <c r="F601" t="inlineStr">
        <is>
          <t>VÄRMLANDS LÄN</t>
        </is>
      </c>
      <c r="G601" t="inlineStr">
        <is>
          <t>HAGFORS</t>
        </is>
      </c>
      <c r="H601" t="inlineStr">
        <is>
          <t>Kyrkan</t>
        </is>
      </c>
      <c r="I601" t="n">
        <v>10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46266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22588-2026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46155</v>
      </c>
      <c r="E603" s="1" t="n">
        <v>46266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6.7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46266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22667-2026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46266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33146-2024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45518</v>
      </c>
      <c r="E606" s="1" t="n">
        <v>46266</v>
      </c>
      <c r="F606" t="inlineStr">
        <is>
          <t>VÄRMLANDS LÄN</t>
        </is>
      </c>
      <c r="G606" t="inlineStr">
        <is>
          <t>HAGFORS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42223-2022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44830</v>
      </c>
      <c r="E607" s="1" t="n">
        <v>46266</v>
      </c>
      <c r="F607" t="inlineStr">
        <is>
          <t>VÄRMLANDS LÄN</t>
        </is>
      </c>
      <c r="G607" t="inlineStr">
        <is>
          <t>HAGFORS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19125-2024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45428</v>
      </c>
      <c r="E608" s="1" t="n">
        <v>46266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19.5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46155</v>
      </c>
      <c r="E609" s="1" t="n">
        <v>46266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22556-2026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46155</v>
      </c>
      <c r="E610" s="1" t="n">
        <v>46266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46160</v>
      </c>
      <c r="E611" s="1" t="n">
        <v>46266</v>
      </c>
      <c r="F611" t="inlineStr">
        <is>
          <t>VÄRMLANDS LÄN</t>
        </is>
      </c>
      <c r="G611" t="inlineStr">
        <is>
          <t>HAGFORS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46266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8.800000000000001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11241-2024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45371</v>
      </c>
      <c r="E613" s="1" t="n">
        <v>46266</v>
      </c>
      <c r="F613" t="inlineStr">
        <is>
          <t>VÄRMLANDS LÄN</t>
        </is>
      </c>
      <c r="G613" t="inlineStr">
        <is>
          <t>HAGFORS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18585-2025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45763</v>
      </c>
      <c r="E614" s="1" t="n">
        <v>46266</v>
      </c>
      <c r="F614" t="inlineStr">
        <is>
          <t>VÄRMLANDS LÄN</t>
        </is>
      </c>
      <c r="G614" t="inlineStr">
        <is>
          <t>HAGFORS</t>
        </is>
      </c>
      <c r="H614" t="inlineStr">
        <is>
          <t>Kyrkan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46161</v>
      </c>
      <c r="E615" s="1" t="n">
        <v>46266</v>
      </c>
      <c r="F615" t="inlineStr">
        <is>
          <t>VÄRMLANDS LÄN</t>
        </is>
      </c>
      <c r="G615" t="inlineStr">
        <is>
          <t>HAGFORS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23129-2026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46161</v>
      </c>
      <c r="E616" s="1" t="n">
        <v>46266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8.699999999999999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22925-2026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46266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46160</v>
      </c>
      <c r="E618" s="1" t="n">
        <v>46266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31087-2024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45502</v>
      </c>
      <c r="E619" s="1" t="n">
        <v>46266</v>
      </c>
      <c r="F619" t="inlineStr">
        <is>
          <t>VÄRMLANDS LÄN</t>
        </is>
      </c>
      <c r="G619" t="inlineStr">
        <is>
          <t>HAGFORS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46266</v>
      </c>
      <c r="F620" t="inlineStr">
        <is>
          <t>VÄRMLANDS LÄN</t>
        </is>
      </c>
      <c r="G620" t="inlineStr">
        <is>
          <t>HAGFORS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23549-2026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46163</v>
      </c>
      <c r="E621" s="1" t="n">
        <v>46266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51015-2025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45947</v>
      </c>
      <c r="E622" s="1" t="n">
        <v>46266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8.9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60664-2023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45259</v>
      </c>
      <c r="E623" s="1" t="n">
        <v>46266</v>
      </c>
      <c r="F623" t="inlineStr">
        <is>
          <t>VÄRMLANDS LÄN</t>
        </is>
      </c>
      <c r="G623" t="inlineStr">
        <is>
          <t>HAGFORS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36494-2025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45869</v>
      </c>
      <c r="E624" s="1" t="n">
        <v>46266</v>
      </c>
      <c r="F624" t="inlineStr">
        <is>
          <t>VÄRMLANDS LÄN</t>
        </is>
      </c>
      <c r="G624" t="inlineStr">
        <is>
          <t>HAGFORS</t>
        </is>
      </c>
      <c r="H624" t="inlineStr">
        <is>
          <t>Kyrkan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35775-2024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45532</v>
      </c>
      <c r="E625" s="1" t="n">
        <v>46266</v>
      </c>
      <c r="F625" t="inlineStr">
        <is>
          <t>VÄRMLANDS LÄN</t>
        </is>
      </c>
      <c r="G625" t="inlineStr">
        <is>
          <t>HAGFORS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23525-2026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46163</v>
      </c>
      <c r="E626" s="1" t="n">
        <v>46266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46266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50929-2023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45211</v>
      </c>
      <c r="E628" s="1" t="n">
        <v>46266</v>
      </c>
      <c r="F628" t="inlineStr">
        <is>
          <t>VÄRMLANDS LÄN</t>
        </is>
      </c>
      <c r="G628" t="inlineStr">
        <is>
          <t>HAGFORS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23728-2026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46164</v>
      </c>
      <c r="E629" s="1" t="n">
        <v>46266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57359-2022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44896</v>
      </c>
      <c r="E630" s="1" t="n">
        <v>46266</v>
      </c>
      <c r="F630" t="inlineStr">
        <is>
          <t>VÄRMLANDS LÄN</t>
        </is>
      </c>
      <c r="G630" t="inlineStr">
        <is>
          <t>HAGFORS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41092-2024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45559</v>
      </c>
      <c r="E631" s="1" t="n">
        <v>46266</v>
      </c>
      <c r="F631" t="inlineStr">
        <is>
          <t>VÄRMLANDS LÄN</t>
        </is>
      </c>
      <c r="G631" t="inlineStr">
        <is>
          <t>HAGFORS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23678-2026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46164</v>
      </c>
      <c r="E632" s="1" t="n">
        <v>46266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45831</v>
      </c>
      <c r="E633" s="1" t="n">
        <v>46266</v>
      </c>
      <c r="F633" t="inlineStr">
        <is>
          <t>VÄRMLANDS LÄN</t>
        </is>
      </c>
      <c r="G633" t="inlineStr">
        <is>
          <t>HAGFORS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30642-2025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45831</v>
      </c>
      <c r="E634" s="1" t="n">
        <v>46266</v>
      </c>
      <c r="F634" t="inlineStr">
        <is>
          <t>VÄRMLANDS LÄN</t>
        </is>
      </c>
      <c r="G634" t="inlineStr">
        <is>
          <t>HAGFORS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46266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24240-2026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46266</v>
      </c>
      <c r="F636" t="inlineStr">
        <is>
          <t>VÄRMLANDS LÄN</t>
        </is>
      </c>
      <c r="G636" t="inlineStr">
        <is>
          <t>HAGFORS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58084-2024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45632</v>
      </c>
      <c r="E637" s="1" t="n">
        <v>46266</v>
      </c>
      <c r="F637" t="inlineStr">
        <is>
          <t>VÄRMLANDS LÄN</t>
        </is>
      </c>
      <c r="G637" t="inlineStr">
        <is>
          <t>HAGFORS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19702-2022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44694</v>
      </c>
      <c r="E638" s="1" t="n">
        <v>46266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24625-2026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46171</v>
      </c>
      <c r="E639" s="1" t="n">
        <v>46266</v>
      </c>
      <c r="F639" t="inlineStr">
        <is>
          <t>VÄRMLANDS LÄN</t>
        </is>
      </c>
      <c r="G639" t="inlineStr">
        <is>
          <t>HAGFORS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24862-2026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46174</v>
      </c>
      <c r="E640" s="1" t="n">
        <v>46266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9.699999999999999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24677-2026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46171</v>
      </c>
      <c r="E641" s="1" t="n">
        <v>46266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24761-2026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46171</v>
      </c>
      <c r="E642" s="1" t="n">
        <v>46266</v>
      </c>
      <c r="F642" t="inlineStr">
        <is>
          <t>VÄRMLANDS LÄN</t>
        </is>
      </c>
      <c r="G642" t="inlineStr">
        <is>
          <t>HAGFORS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22503-2024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45447</v>
      </c>
      <c r="E643" s="1" t="n">
        <v>46266</v>
      </c>
      <c r="F643" t="inlineStr">
        <is>
          <t>VÄRMLANDS LÄN</t>
        </is>
      </c>
      <c r="G643" t="inlineStr">
        <is>
          <t>HAGFORS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24628-2026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46171</v>
      </c>
      <c r="E644" s="1" t="n">
        <v>46266</v>
      </c>
      <c r="F644" t="inlineStr">
        <is>
          <t>VÄRMLANDS LÄN</t>
        </is>
      </c>
      <c r="G644" t="inlineStr">
        <is>
          <t>HAGFORS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45324</v>
      </c>
      <c r="E645" s="1" t="n">
        <v>46266</v>
      </c>
      <c r="F645" t="inlineStr">
        <is>
          <t>VÄRMLANDS LÄN</t>
        </is>
      </c>
      <c r="G645" t="inlineStr">
        <is>
          <t>HAGFORS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920-2022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44571</v>
      </c>
      <c r="E646" s="1" t="n">
        <v>46266</v>
      </c>
      <c r="F646" t="inlineStr">
        <is>
          <t>VÄRMLANDS LÄN</t>
        </is>
      </c>
      <c r="G646" t="inlineStr">
        <is>
          <t>HAGFORS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24778-2026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46171</v>
      </c>
      <c r="E647" s="1" t="n">
        <v>46266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45446</v>
      </c>
      <c r="E648" s="1" t="n">
        <v>46266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24699-2026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46171</v>
      </c>
      <c r="E649" s="1" t="n">
        <v>46266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12426-2024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45379</v>
      </c>
      <c r="E650" s="1" t="n">
        <v>46266</v>
      </c>
      <c r="F650" t="inlineStr">
        <is>
          <t>VÄRMLANDS LÄN</t>
        </is>
      </c>
      <c r="G650" t="inlineStr">
        <is>
          <t>HAGFORS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8922-2025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45713</v>
      </c>
      <c r="E651" s="1" t="n">
        <v>46266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24626-2026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46171</v>
      </c>
      <c r="E652" s="1" t="n">
        <v>46266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24713-2026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46171</v>
      </c>
      <c r="E653" s="1" t="n">
        <v>46266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17882-2025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45758</v>
      </c>
      <c r="E654" s="1" t="n">
        <v>46266</v>
      </c>
      <c r="F654" t="inlineStr">
        <is>
          <t>VÄRMLANDS LÄN</t>
        </is>
      </c>
      <c r="G654" t="inlineStr">
        <is>
          <t>HAGFORS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7332-2025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45703</v>
      </c>
      <c r="E655" s="1" t="n">
        <v>46266</v>
      </c>
      <c r="F655" t="inlineStr">
        <is>
          <t>VÄRMLANDS LÄN</t>
        </is>
      </c>
      <c r="G655" t="inlineStr">
        <is>
          <t>HAGFORS</t>
        </is>
      </c>
      <c r="H655" t="inlineStr">
        <is>
          <t>Kyrkan</t>
        </is>
      </c>
      <c r="I655" t="n">
        <v>15.9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17329-2024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45414</v>
      </c>
      <c r="E656" s="1" t="n">
        <v>46266</v>
      </c>
      <c r="F656" t="inlineStr">
        <is>
          <t>VÄRMLANDS LÄN</t>
        </is>
      </c>
      <c r="G656" t="inlineStr">
        <is>
          <t>HAGFORS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3980-2025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45684</v>
      </c>
      <c r="E657" s="1" t="n">
        <v>46266</v>
      </c>
      <c r="F657" t="inlineStr">
        <is>
          <t>VÄRMLANDS LÄN</t>
        </is>
      </c>
      <c r="G657" t="inlineStr">
        <is>
          <t>HAGFORS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25276-2026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46176</v>
      </c>
      <c r="E658" s="1" t="n">
        <v>46266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46266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52924-2023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45226</v>
      </c>
      <c r="E660" s="1" t="n">
        <v>46266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25890-2026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46266</v>
      </c>
      <c r="F661" t="inlineStr">
        <is>
          <t>VÄRMLANDS LÄN</t>
        </is>
      </c>
      <c r="G661" t="inlineStr">
        <is>
          <t>HAGFORS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25589-2026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46266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25560-2026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46266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45671</v>
      </c>
      <c r="E664" s="1" t="n">
        <v>46266</v>
      </c>
      <c r="F664" t="inlineStr">
        <is>
          <t>VÄRMLANDS LÄN</t>
        </is>
      </c>
      <c r="G664" t="inlineStr">
        <is>
          <t>HAGFORS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48276-2024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45590</v>
      </c>
      <c r="E665" s="1" t="n">
        <v>46266</v>
      </c>
      <c r="F665" t="inlineStr">
        <is>
          <t>VÄRMLANDS LÄN</t>
        </is>
      </c>
      <c r="G665" t="inlineStr">
        <is>
          <t>HAGFORS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54751-2022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44883</v>
      </c>
      <c r="E666" s="1" t="n">
        <v>46266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46266</v>
      </c>
      <c r="F667" t="inlineStr">
        <is>
          <t>VÄRMLANDS LÄN</t>
        </is>
      </c>
      <c r="G667" t="inlineStr">
        <is>
          <t>HAGFORS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46266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36.8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52494-2024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45609</v>
      </c>
      <c r="E669" s="1" t="n">
        <v>46266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26012-2026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46266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5338-2025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45692</v>
      </c>
      <c r="E671" s="1" t="n">
        <v>46266</v>
      </c>
      <c r="F671" t="inlineStr">
        <is>
          <t>VÄRMLANDS LÄN</t>
        </is>
      </c>
      <c r="G671" t="inlineStr">
        <is>
          <t>HAGFORS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26019-2026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46266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10562-2024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45366</v>
      </c>
      <c r="E673" s="1" t="n">
        <v>46266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5482-2022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44595</v>
      </c>
      <c r="E674" s="1" t="n">
        <v>46266</v>
      </c>
      <c r="F674" t="inlineStr">
        <is>
          <t>VÄRMLANDS LÄN</t>
        </is>
      </c>
      <c r="G674" t="inlineStr">
        <is>
          <t>HAGFORS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26265-2026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46182</v>
      </c>
      <c r="E675" s="1" t="n">
        <v>46266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26350-2026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46182</v>
      </c>
      <c r="E676" s="1" t="n">
        <v>46266</v>
      </c>
      <c r="F676" t="inlineStr">
        <is>
          <t>VÄRMLANDS LÄN</t>
        </is>
      </c>
      <c r="G676" t="inlineStr">
        <is>
          <t>HAGFORS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46266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60167-2023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45258</v>
      </c>
      <c r="E678" s="1" t="n">
        <v>46266</v>
      </c>
      <c r="F678" t="inlineStr">
        <is>
          <t>VÄRMLANDS LÄN</t>
        </is>
      </c>
      <c r="G678" t="inlineStr">
        <is>
          <t>HAGFORS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60178-2023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45258</v>
      </c>
      <c r="E679" s="1" t="n">
        <v>46266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46225</v>
      </c>
      <c r="E680" s="1" t="n">
        <v>46266</v>
      </c>
      <c r="F680" t="inlineStr">
        <is>
          <t>VÄRMLANDS LÄN</t>
        </is>
      </c>
      <c r="G680" t="inlineStr">
        <is>
          <t>HAGFORS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4748-2024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45328</v>
      </c>
      <c r="E681" s="1" t="n">
        <v>46266</v>
      </c>
      <c r="F681" t="inlineStr">
        <is>
          <t>VÄRMLANDS LÄN</t>
        </is>
      </c>
      <c r="G681" t="inlineStr">
        <is>
          <t>HAGFORS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26740-2026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46184</v>
      </c>
      <c r="E682" s="1" t="n">
        <v>46266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9.5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16525-2023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45029</v>
      </c>
      <c r="E683" s="1" t="n">
        <v>46266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41603-2023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45175</v>
      </c>
      <c r="E684" s="1" t="n">
        <v>46266</v>
      </c>
      <c r="F684" t="inlineStr">
        <is>
          <t>VÄRMLANDS LÄN</t>
        </is>
      </c>
      <c r="G684" t="inlineStr">
        <is>
          <t>HAGFORS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46226</v>
      </c>
      <c r="E685" s="1" t="n">
        <v>46266</v>
      </c>
      <c r="F685" t="inlineStr">
        <is>
          <t>VÄRMLANDS LÄN</t>
        </is>
      </c>
      <c r="G685" t="inlineStr">
        <is>
          <t>HAGFORS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46226</v>
      </c>
      <c r="E686" s="1" t="n">
        <v>46266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46225</v>
      </c>
      <c r="E687" s="1" t="n">
        <v>46266</v>
      </c>
      <c r="F687" t="inlineStr">
        <is>
          <t>VÄRMLANDS LÄN</t>
        </is>
      </c>
      <c r="G687" t="inlineStr">
        <is>
          <t>HAGFORS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26660-2026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46184</v>
      </c>
      <c r="E688" s="1" t="n">
        <v>46266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26612-2026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46266</v>
      </c>
      <c r="F689" t="inlineStr">
        <is>
          <t>VÄRMLANDS LÄN</t>
        </is>
      </c>
      <c r="G689" t="inlineStr">
        <is>
          <t>HAGFORS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11367-2025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45726</v>
      </c>
      <c r="E690" s="1" t="n">
        <v>46266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56895-2023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45244</v>
      </c>
      <c r="E691" s="1" t="n">
        <v>46266</v>
      </c>
      <c r="F691" t="inlineStr">
        <is>
          <t>VÄRMLANDS LÄN</t>
        </is>
      </c>
      <c r="G691" t="inlineStr">
        <is>
          <t>HAGFORS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2371-2025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45673</v>
      </c>
      <c r="E692" s="1" t="n">
        <v>46266</v>
      </c>
      <c r="F692" t="inlineStr">
        <is>
          <t>VÄRMLANDS LÄN</t>
        </is>
      </c>
      <c r="G692" t="inlineStr">
        <is>
          <t>HAGFORS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46266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26859-2026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46266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27210-2026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46188</v>
      </c>
      <c r="E695" s="1" t="n">
        <v>46266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17.2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42150-2024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45562</v>
      </c>
      <c r="E696" s="1" t="n">
        <v>46266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27306-2026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46188</v>
      </c>
      <c r="E697" s="1" t="n">
        <v>46266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27268-2026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46266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40835-2023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45172</v>
      </c>
      <c r="E699" s="1" t="n">
        <v>46266</v>
      </c>
      <c r="F699" t="inlineStr">
        <is>
          <t>VÄRMLANDS LÄN</t>
        </is>
      </c>
      <c r="G699" t="inlineStr">
        <is>
          <t>HAGFORS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26864-2026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46266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47028-2023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45201</v>
      </c>
      <c r="E701" s="1" t="n">
        <v>46266</v>
      </c>
      <c r="F701" t="inlineStr">
        <is>
          <t>VÄRMLANDS LÄN</t>
        </is>
      </c>
      <c r="G701" t="inlineStr">
        <is>
          <t>HAGFORS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30520-2024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45492</v>
      </c>
      <c r="E702" s="1" t="n">
        <v>46266</v>
      </c>
      <c r="F702" t="inlineStr">
        <is>
          <t>VÄRMLANDS LÄN</t>
        </is>
      </c>
      <c r="G702" t="inlineStr">
        <is>
          <t>HAGFORS</t>
        </is>
      </c>
      <c r="H702" t="inlineStr">
        <is>
          <t>Kyrkan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26846-2026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46266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18.2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26858-2026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46266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45519</v>
      </c>
      <c r="E705" s="1" t="n">
        <v>46266</v>
      </c>
      <c r="F705" t="inlineStr">
        <is>
          <t>VÄRMLANDS LÄN</t>
        </is>
      </c>
      <c r="G705" t="inlineStr">
        <is>
          <t>HAGFORS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10236-2022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44622</v>
      </c>
      <c r="E706" s="1" t="n">
        <v>46266</v>
      </c>
      <c r="F706" t="inlineStr">
        <is>
          <t>VÄRMLANDS LÄN</t>
        </is>
      </c>
      <c r="G706" t="inlineStr">
        <is>
          <t>HAGFORS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32043-2026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46266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27472-2026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46266</v>
      </c>
      <c r="F708" t="inlineStr">
        <is>
          <t>VÄRMLANDS LÄN</t>
        </is>
      </c>
      <c r="G708" t="inlineStr">
        <is>
          <t>HAGFORS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46792-2022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44851</v>
      </c>
      <c r="E709" s="1" t="n">
        <v>46266</v>
      </c>
      <c r="F709" t="inlineStr">
        <is>
          <t>VÄRMLANDS LÄN</t>
        </is>
      </c>
      <c r="G709" t="inlineStr">
        <is>
          <t>HAGFORS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32033-2024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45510</v>
      </c>
      <c r="E710" s="1" t="n">
        <v>46266</v>
      </c>
      <c r="F710" t="inlineStr">
        <is>
          <t>VÄRMLANDS LÄN</t>
        </is>
      </c>
      <c r="G710" t="inlineStr">
        <is>
          <t>HAGFORS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32036-2026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46233</v>
      </c>
      <c r="E711" s="1" t="n">
        <v>46266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54744-2024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45618</v>
      </c>
      <c r="E712" s="1" t="n">
        <v>46266</v>
      </c>
      <c r="F712" t="inlineStr">
        <is>
          <t>VÄRMLANDS LÄN</t>
        </is>
      </c>
      <c r="G712" t="inlineStr">
        <is>
          <t>HAGFORS</t>
        </is>
      </c>
      <c r="H712" t="inlineStr">
        <is>
          <t>Kyrkan</t>
        </is>
      </c>
      <c r="I712" t="n">
        <v>8.800000000000001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46189</v>
      </c>
      <c r="E713" s="1" t="n">
        <v>46266</v>
      </c>
      <c r="F713" t="inlineStr">
        <is>
          <t>VÄRMLANDS LÄN</t>
        </is>
      </c>
      <c r="G713" t="inlineStr">
        <is>
          <t>HAGFORS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39640-2022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44817</v>
      </c>
      <c r="E714" s="1" t="n">
        <v>46266</v>
      </c>
      <c r="F714" t="inlineStr">
        <is>
          <t>VÄRMLANDS LÄN</t>
        </is>
      </c>
      <c r="G714" t="inlineStr">
        <is>
          <t>HAGFORS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1931-2024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45308</v>
      </c>
      <c r="E715" s="1" t="n">
        <v>46266</v>
      </c>
      <c r="F715" t="inlineStr">
        <is>
          <t>VÄRMLANDS LÄN</t>
        </is>
      </c>
      <c r="G715" t="inlineStr">
        <is>
          <t>HAGFORS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27929-2026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46191</v>
      </c>
      <c r="E716" s="1" t="n">
        <v>46266</v>
      </c>
      <c r="F716" t="inlineStr">
        <is>
          <t>VÄRMLANDS LÄN</t>
        </is>
      </c>
      <c r="G716" t="inlineStr">
        <is>
          <t>HAGFORS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57159-2024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45629</v>
      </c>
      <c r="E717" s="1" t="n">
        <v>46266</v>
      </c>
      <c r="F717" t="inlineStr">
        <is>
          <t>VÄRMLANDS LÄN</t>
        </is>
      </c>
      <c r="G717" t="inlineStr">
        <is>
          <t>HAGFORS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27799-2026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46266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32483-2026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46239</v>
      </c>
      <c r="E719" s="1" t="n">
        <v>46266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46239</v>
      </c>
      <c r="E720" s="1" t="n">
        <v>46266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19.3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34404-2023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45132</v>
      </c>
      <c r="E721" s="1" t="n">
        <v>46266</v>
      </c>
      <c r="F721" t="inlineStr">
        <is>
          <t>VÄRMLANDS LÄN</t>
        </is>
      </c>
      <c r="G721" t="inlineStr">
        <is>
          <t>HAGFORS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11160-2025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45723</v>
      </c>
      <c r="E722" s="1" t="n">
        <v>46266</v>
      </c>
      <c r="F722" t="inlineStr">
        <is>
          <t>VÄRMLANDS LÄN</t>
        </is>
      </c>
      <c r="G722" t="inlineStr">
        <is>
          <t>HAGFORS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43998-2024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45572</v>
      </c>
      <c r="E723" s="1" t="n">
        <v>46266</v>
      </c>
      <c r="F723" t="inlineStr">
        <is>
          <t>VÄRMLANDS LÄN</t>
        </is>
      </c>
      <c r="G723" t="inlineStr">
        <is>
          <t>HAGFORS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13282-2024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45386</v>
      </c>
      <c r="E724" s="1" t="n">
        <v>46266</v>
      </c>
      <c r="F724" t="inlineStr">
        <is>
          <t>VÄRMLANDS LÄN</t>
        </is>
      </c>
      <c r="G724" t="inlineStr">
        <is>
          <t>HAGFORS</t>
        </is>
      </c>
      <c r="H724" t="inlineStr">
        <is>
          <t>Kommuner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32507-2026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46239</v>
      </c>
      <c r="E725" s="1" t="n">
        <v>46266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32535-2026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46239</v>
      </c>
      <c r="E726" s="1" t="n">
        <v>46266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44728-2023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45190</v>
      </c>
      <c r="E727" s="1" t="n">
        <v>46266</v>
      </c>
      <c r="F727" t="inlineStr">
        <is>
          <t>VÄRMLANDS LÄN</t>
        </is>
      </c>
      <c r="G727" t="inlineStr">
        <is>
          <t>HAGFORS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42168-2024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45562</v>
      </c>
      <c r="E728" s="1" t="n">
        <v>46266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42170-2024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45562</v>
      </c>
      <c r="E729" s="1" t="n">
        <v>46266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42171-2024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45562</v>
      </c>
      <c r="E730" s="1" t="n">
        <v>46266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42243-2024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46266</v>
      </c>
      <c r="F731" t="inlineStr">
        <is>
          <t>VÄRMLANDS LÄN</t>
        </is>
      </c>
      <c r="G731" t="inlineStr">
        <is>
          <t>HAGFORS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6980-2022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44603</v>
      </c>
      <c r="E732" s="1" t="n">
        <v>46266</v>
      </c>
      <c r="F732" t="inlineStr">
        <is>
          <t>VÄRMLANDS LÄN</t>
        </is>
      </c>
      <c r="G732" t="inlineStr">
        <is>
          <t>HAGFORS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28185-2026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46266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9.6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36013-2023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45149</v>
      </c>
      <c r="E734" s="1" t="n">
        <v>46266</v>
      </c>
      <c r="F734" t="inlineStr">
        <is>
          <t>VÄRMLANDS LÄN</t>
        </is>
      </c>
      <c r="G734" t="inlineStr">
        <is>
          <t>HAGFORS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61311-2023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45264</v>
      </c>
      <c r="E735" s="1" t="n">
        <v>46266</v>
      </c>
      <c r="F735" t="inlineStr">
        <is>
          <t>VÄRMLANDS LÄN</t>
        </is>
      </c>
      <c r="G735" t="inlineStr">
        <is>
          <t>HAGFORS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61315-2023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45264</v>
      </c>
      <c r="E736" s="1" t="n">
        <v>46266</v>
      </c>
      <c r="F736" t="inlineStr">
        <is>
          <t>VÄRMLANDS LÄN</t>
        </is>
      </c>
      <c r="G736" t="inlineStr">
        <is>
          <t>HAGFORS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32712-2026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46241</v>
      </c>
      <c r="E737" s="1" t="n">
        <v>46266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18907-2025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45764</v>
      </c>
      <c r="E738" s="1" t="n">
        <v>46266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32721-2026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46241</v>
      </c>
      <c r="E739" s="1" t="n">
        <v>46266</v>
      </c>
      <c r="F739" t="inlineStr">
        <is>
          <t>VÄRMLANDS LÄN</t>
        </is>
      </c>
      <c r="G739" t="inlineStr">
        <is>
          <t>HAGFORS</t>
        </is>
      </c>
      <c r="I739" t="n">
        <v>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28788-2026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46266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9.699999999999999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28720-2026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46198</v>
      </c>
      <c r="E741" s="1" t="n">
        <v>46266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46266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28625-2026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46266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32713-2026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46241</v>
      </c>
      <c r="E744" s="1" t="n">
        <v>46266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7.5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29102-2026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46200</v>
      </c>
      <c r="E745" s="1" t="n">
        <v>46266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46200</v>
      </c>
      <c r="E746" s="1" t="n">
        <v>46266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27855-2026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46191</v>
      </c>
      <c r="E747" s="1" t="n">
        <v>46266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33073-2026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46245</v>
      </c>
      <c r="E748" s="1" t="n">
        <v>46266</v>
      </c>
      <c r="F748" t="inlineStr">
        <is>
          <t>VÄRMLANDS LÄN</t>
        </is>
      </c>
      <c r="G748" t="inlineStr">
        <is>
          <t>HAGFORS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29580-2026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46204</v>
      </c>
      <c r="E749" s="1" t="n">
        <v>46266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29422-2026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46203</v>
      </c>
      <c r="E750" s="1" t="n">
        <v>46266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29430-2026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46203</v>
      </c>
      <c r="E751" s="1" t="n">
        <v>46266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29428-2026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46203</v>
      </c>
      <c r="E752" s="1" t="n">
        <v>46266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29427-2026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46203</v>
      </c>
      <c r="E753" s="1" t="n">
        <v>46266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29438-2026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46266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29400-2026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46203</v>
      </c>
      <c r="E755" s="1" t="n">
        <v>46266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33833-2026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46266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5.8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33635-2026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46248</v>
      </c>
      <c r="E757" s="1" t="n">
        <v>46266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30141-2026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46266</v>
      </c>
      <c r="F758" t="inlineStr">
        <is>
          <t>VÄRMLANDS LÄN</t>
        </is>
      </c>
      <c r="G758" t="inlineStr">
        <is>
          <t>HAGFORS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29950-2026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46266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7.4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33627-2026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46248</v>
      </c>
      <c r="E760" s="1" t="n">
        <v>46266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30167-2026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46266</v>
      </c>
      <c r="F761" t="inlineStr">
        <is>
          <t>VÄRMLANDS LÄN</t>
        </is>
      </c>
      <c r="G761" t="inlineStr">
        <is>
          <t>HAGFORS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46251</v>
      </c>
      <c r="E762" s="1" t="n">
        <v>46266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14.4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46206</v>
      </c>
      <c r="E763" s="1" t="n">
        <v>46266</v>
      </c>
      <c r="F763" t="inlineStr">
        <is>
          <t>VÄRMLANDS LÄN</t>
        </is>
      </c>
      <c r="G763" t="inlineStr">
        <is>
          <t>HAGFORS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33515-2026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46248</v>
      </c>
      <c r="E764" s="1" t="n">
        <v>46266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6.5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30436-2026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46209</v>
      </c>
      <c r="E765" s="1" t="n">
        <v>46266</v>
      </c>
      <c r="F765" t="inlineStr">
        <is>
          <t>VÄRMLANDS LÄN</t>
        </is>
      </c>
      <c r="G765" t="inlineStr">
        <is>
          <t>HAGFORS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30437-2026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46209</v>
      </c>
      <c r="E766" s="1" t="n">
        <v>46266</v>
      </c>
      <c r="F766" t="inlineStr">
        <is>
          <t>VÄRMLANDS LÄN</t>
        </is>
      </c>
      <c r="G766" t="inlineStr">
        <is>
          <t>HAGFORS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34014-2026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46252</v>
      </c>
      <c r="E767" s="1" t="n">
        <v>46266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46266</v>
      </c>
      <c r="F768" t="inlineStr">
        <is>
          <t>VÄRMLANDS LÄN</t>
        </is>
      </c>
      <c r="G768" t="inlineStr">
        <is>
          <t>HAGFORS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34523-2026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46255</v>
      </c>
      <c r="E769" s="1" t="n">
        <v>46266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34399-2026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46254</v>
      </c>
      <c r="E770" s="1" t="n">
        <v>46266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34522-2026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46255</v>
      </c>
      <c r="E771" s="1" t="n">
        <v>46266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34443-2026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46254</v>
      </c>
      <c r="E772" s="1" t="n">
        <v>46266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34552-2026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46255</v>
      </c>
      <c r="E773" s="1" t="n">
        <v>46266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30629-2026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46211</v>
      </c>
      <c r="E774" s="1" t="n">
        <v>46266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34456-2026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46254</v>
      </c>
      <c r="E775" s="1" t="n">
        <v>46266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30914-2026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46213</v>
      </c>
      <c r="E776" s="1" t="n">
        <v>46266</v>
      </c>
      <c r="F776" t="inlineStr">
        <is>
          <t>VÄRMLANDS LÄN</t>
        </is>
      </c>
      <c r="G776" t="inlineStr">
        <is>
          <t>HAGFORS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34797-2026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46258</v>
      </c>
      <c r="E777" s="1" t="n">
        <v>46266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35184-2026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46260</v>
      </c>
      <c r="E778" s="1" t="n">
        <v>46266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46260</v>
      </c>
      <c r="E779" s="1" t="n">
        <v>46266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35386-2026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46261</v>
      </c>
      <c r="E780" s="1" t="n">
        <v>46266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35310-2026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46261</v>
      </c>
      <c r="E781" s="1" t="n">
        <v>46266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14.9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46260</v>
      </c>
      <c r="E782" s="1" t="n">
        <v>46266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35781-2026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46265</v>
      </c>
      <c r="E783" s="1" t="n">
        <v>46266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35749-2026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46265</v>
      </c>
      <c r="E784" s="1" t="n">
        <v>46266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46266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6.3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2225-2020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44127</v>
      </c>
      <c r="E786" s="1" t="n">
        <v>46266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2050-2022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44671</v>
      </c>
      <c r="E787" s="1" t="n">
        <v>46266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12.3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4419-2023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45266</v>
      </c>
      <c r="E788" s="1" t="n">
        <v>46266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35.6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4420-2023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45266</v>
      </c>
      <c r="E789" s="1" t="n">
        <v>46266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44.2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937-2022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44606</v>
      </c>
      <c r="E790" s="1" t="n">
        <v>46266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59.4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4426-2023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46266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9.699999999999999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5512-2022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44834</v>
      </c>
      <c r="E792" s="1" t="n">
        <v>46266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29.9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931-2022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44606</v>
      </c>
      <c r="E793" s="1" t="n">
        <v>46266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49.5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4415-2023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46266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9.199999999999999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262-2022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44578</v>
      </c>
      <c r="E795" s="1" t="n">
        <v>46266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78.90000000000001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6970-2022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44901</v>
      </c>
      <c r="E796" s="1" t="n">
        <v>46266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29.3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4408-2023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45266</v>
      </c>
      <c r="E797" s="1" t="n">
        <v>46266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6968-2022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46266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4423-2023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46266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4418-2023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45266</v>
      </c>
      <c r="E800" s="1" t="n">
        <v>46266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46266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651-2024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45356</v>
      </c>
      <c r="E802" s="1" t="n">
        <v>46266</v>
      </c>
      <c r="F802" t="inlineStr">
        <is>
          <t>VÄRMLANDS LÄN</t>
        </is>
      </c>
      <c r="G802" t="inlineStr">
        <is>
          <t>HAGFORS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913-2022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46266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4145-2023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45247</v>
      </c>
      <c r="E804" s="1" t="n">
        <v>46266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26.1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6967-2022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44901</v>
      </c>
      <c r="E805" s="1" t="n">
        <v>46266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89-2025</t>
        </is>
      </c>
      <c r="B806" t="inlineStr">
        <is>
          <t>samrådsanmälan</t>
        </is>
      </c>
      <c r="C806" t="inlineStr">
        <is>
          <t>Åtgärd i nyckelbiotop</t>
        </is>
      </c>
      <c r="D806" s="1" t="n">
        <v>45316</v>
      </c>
      <c r="E806" s="1" t="n">
        <v>46266</v>
      </c>
      <c r="F806" t="inlineStr">
        <is>
          <t>VÄRMLANDS LÄN</t>
        </is>
      </c>
      <c r="G806" t="inlineStr">
        <is>
          <t>HAGFORS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6969-2022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46266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220-2025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45680</v>
      </c>
      <c r="E808" s="1" t="n">
        <v>46266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898-2022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44606</v>
      </c>
      <c r="E809" s="1" t="n">
        <v>46266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4150-2023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46266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4410-2023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46266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900-2022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46266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27.3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914-2022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46266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4409-2023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46266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24.9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4155-2023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45247</v>
      </c>
      <c r="E815" s="1" t="n">
        <v>46266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40.9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46266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36.5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6977-2022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46266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6973-2022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46266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4143-2023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45247</v>
      </c>
      <c r="E819" s="1" t="n">
        <v>46266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4407-2023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45266</v>
      </c>
      <c r="E820" s="1" t="n">
        <v>46266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6965-2022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44901</v>
      </c>
      <c r="E821" s="1" t="n">
        <v>46266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45716</v>
      </c>
      <c r="E822" s="1" t="n">
        <v>46266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52.4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108-2026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46037</v>
      </c>
      <c r="E823" s="1" t="n">
        <v>46266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204.4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46036</v>
      </c>
      <c r="E824" s="1" t="n">
        <v>46266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57.9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46013</v>
      </c>
      <c r="E825" s="1" t="n">
        <v>46266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382-2025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45691</v>
      </c>
      <c r="E826" s="1" t="n">
        <v>46266</v>
      </c>
      <c r="F826" t="inlineStr">
        <is>
          <t>VÄRMLANDS LÄN</t>
        </is>
      </c>
      <c r="G826" t="inlineStr">
        <is>
          <t>HAGFORS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2026-09-01T02:06:36Z</dcterms:created>
  <dcterms:modified xmlns:dcterms="http://purl.org/dc/terms/" xmlns:xsi="http://www.w3.org/2001/XMLSchema-instance" xsi:type="dcterms:W3CDTF">2026-09-01T02:06:37Z</dcterms:modified>
</cp:coreProperties>
</file>