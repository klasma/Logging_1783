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46304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46304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46304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46304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46304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46304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46304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46304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46304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46304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46304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33848-2025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46304</v>
      </c>
      <c r="F35" t="inlineStr">
        <is>
          <t>VÄRMLANDS LÄN</t>
        </is>
      </c>
      <c r="G35" t="inlineStr">
        <is>
          <t>HAGFORS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HYPERLINK("https://klasma.github.io/Logging_1783/artfynd/A 33848-2025 artfynd.xlsx", "A 33848-2025")</f>
        <v/>
      </c>
      <c r="X35">
        <f>HYPERLINK("https://klasma.github.io/Logging_1783/kartor/A 33848-2025 karta.png", "A 33848-2025")</f>
        <v/>
      </c>
      <c r="Y35">
        <f>HYPERLINK("https://klasma.github.io/Logging_1783/kartor_geotiff/A 33848-2025 georefererad karta.tif", "A 33848-2025")</f>
        <v/>
      </c>
      <c r="AA35">
        <f>HYPERLINK("https://klasma.github.io/Logging_1783/klagomål/A 33848-2025 FSC-klagomål.docx", "A 33848-2025")</f>
        <v/>
      </c>
      <c r="AB35">
        <f>HYPERLINK("https://klasma.github.io/Logging_1783/klagomålsmail/A 33848-2025 FSC-klagomål mail.docx", "A 33848-2025")</f>
        <v/>
      </c>
      <c r="AC35">
        <f>HYPERLINK("https://klasma.github.io/Logging_1783/tillsyn/A 33848-2025 tillsynsbegäran.docx", "A 33848-2025")</f>
        <v/>
      </c>
      <c r="AD35">
        <f>HYPERLINK("https://klasma.github.io/Logging_1783/tillsynsmail/A 33848-2025 tillsynsbegäran mail.docx", "A 33848-2025")</f>
        <v/>
      </c>
    </row>
    <row r="36" ht="15" customHeight="1">
      <c r="A36" t="inlineStr">
        <is>
          <t>A 12445-2026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46304</v>
      </c>
      <c r="F36" t="inlineStr">
        <is>
          <t>VÄRMLANDS LÄN</t>
        </is>
      </c>
      <c r="G36" t="inlineStr">
        <is>
          <t>HAGFORS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HYPERLINK("https://klasma.github.io/Logging_1783/artfynd/A 12445-2026 artfynd.xlsx", "A 12445-2026")</f>
        <v/>
      </c>
      <c r="X36">
        <f>HYPERLINK("https://klasma.github.io/Logging_1783/kartor/A 12445-2026 karta.png", "A 12445-2026")</f>
        <v/>
      </c>
      <c r="Y36">
        <f>HYPERLINK("https://klasma.github.io/Logging_1783/kartor_geotiff/A 12445-2026 georefererad karta.tif", "A 12445-2026")</f>
        <v/>
      </c>
      <c r="AA36">
        <f>HYPERLINK("https://klasma.github.io/Logging_1783/klagomål/A 12445-2026 FSC-klagomål.docx", "A 12445-2026")</f>
        <v/>
      </c>
      <c r="AB36">
        <f>HYPERLINK("https://klasma.github.io/Logging_1783/klagomålsmail/A 12445-2026 FSC-klagomål mail.docx", "A 12445-2026")</f>
        <v/>
      </c>
      <c r="AC36">
        <f>HYPERLINK("https://klasma.github.io/Logging_1783/tillsyn/A 12445-2026 tillsynsbegäran.docx", "A 12445-2026")</f>
        <v/>
      </c>
      <c r="AD36">
        <f>HYPERLINK("https://klasma.github.io/Logging_1783/tillsynsmail/A 12445-2026 tillsynsbegäran mail.docx", "A 12445-2026")</f>
        <v/>
      </c>
      <c r="AE36">
        <f>HYPERLINK("https://klasma.github.io/Logging_1783/fåglar/A 12445-2026 prioriterade fågelarter.docx", "A 12445-2026")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46304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46304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51194-2022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46304</v>
      </c>
      <c r="F39" t="inlineStr">
        <is>
          <t>VÄRMLANDS LÄN</t>
        </is>
      </c>
      <c r="G39" t="inlineStr">
        <is>
          <t>HAGFORS</t>
        </is>
      </c>
      <c r="I39" t="n">
        <v>1.6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HYPERLINK("https://klasma.github.io/Logging_1783/artfynd/A 51194-2022 artfynd.xlsx", "A 51194-2022")</f>
        <v/>
      </c>
      <c r="X39">
        <f>HYPERLINK("https://klasma.github.io/Logging_1783/kartor/A 51194-2022 karta.png", "A 51194-2022")</f>
        <v/>
      </c>
      <c r="Y39">
        <f>HYPERLINK("https://klasma.github.io/Logging_1783/kartor_geotiff/A 51194-2022 georefererad karta.tif", "A 51194-2022")</f>
        <v/>
      </c>
      <c r="AA39">
        <f>HYPERLINK("https://klasma.github.io/Logging_1783/klagomål/A 51194-2022 FSC-klagomål.docx", "A 51194-2022")</f>
        <v/>
      </c>
      <c r="AB39">
        <f>HYPERLINK("https://klasma.github.io/Logging_1783/klagomålsmail/A 51194-2022 FSC-klagomål mail.docx", "A 51194-2022")</f>
        <v/>
      </c>
      <c r="AC39">
        <f>HYPERLINK("https://klasma.github.io/Logging_1783/tillsyn/A 51194-2022 tillsynsbegäran.docx", "A 51194-2022")</f>
        <v/>
      </c>
      <c r="AD39">
        <f>HYPERLINK("https://klasma.github.io/Logging_1783/tillsynsmail/A 51194-2022 tillsynsbegäran mail.docx", "A 51194-2022")</f>
        <v/>
      </c>
    </row>
    <row r="40" ht="15" customHeight="1">
      <c r="A40" t="inlineStr">
        <is>
          <t>A 15219-2025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45744</v>
      </c>
      <c r="E40" s="1" t="n">
        <v>46304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15.8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Borsttagging</t>
        </is>
      </c>
      <c r="W40">
        <f>HYPERLINK("https://klasma.github.io/Logging_1783/artfynd/A 15219-2025 artfynd.xlsx", "A 15219-2025")</f>
        <v/>
      </c>
      <c r="X40">
        <f>HYPERLINK("https://klasma.github.io/Logging_1783/kartor/A 15219-2025 karta.png", "A 15219-2025")</f>
        <v/>
      </c>
      <c r="Y40">
        <f>HYPERLINK("https://klasma.github.io/Logging_1783/kartor_geotiff/A 15219-2025 georefererad karta.tif", "A 15219-2025")</f>
        <v/>
      </c>
      <c r="AA40">
        <f>HYPERLINK("https://klasma.github.io/Logging_1783/klagomål/A 15219-2025 FSC-klagomål.docx", "A 15219-2025")</f>
        <v/>
      </c>
      <c r="AB40">
        <f>HYPERLINK("https://klasma.github.io/Logging_1783/klagomålsmail/A 15219-2025 FSC-klagomål mail.docx", "A 15219-2025")</f>
        <v/>
      </c>
      <c r="AC40">
        <f>HYPERLINK("https://klasma.github.io/Logging_1783/tillsyn/A 15219-2025 tillsynsbegäran.docx", "A 15219-2025")</f>
        <v/>
      </c>
      <c r="AD40">
        <f>HYPERLINK("https://klasma.github.io/Logging_1783/tillsynsmail/A 15219-2025 tillsynsbegäran mail.docx", "A 15219-2025")</f>
        <v/>
      </c>
    </row>
    <row r="41" ht="15" customHeight="1">
      <c r="A41" t="inlineStr">
        <is>
          <t>A 44095-2023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46304</v>
      </c>
      <c r="F41" t="inlineStr">
        <is>
          <t>VÄRMLANDS LÄN</t>
        </is>
      </c>
      <c r="G41" t="inlineStr">
        <is>
          <t>HAGFORS</t>
        </is>
      </c>
      <c r="I41" t="n">
        <v>3.6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44095-2023 artfynd.xlsx", "A 44095-2023")</f>
        <v/>
      </c>
      <c r="X41">
        <f>HYPERLINK("https://klasma.github.io/Logging_1783/kartor/A 44095-2023 karta.png", "A 44095-2023")</f>
        <v/>
      </c>
      <c r="Y41">
        <f>HYPERLINK("https://klasma.github.io/Logging_1783/kartor_geotiff/A 44095-2023 georefererad karta.tif", "A 44095-2023")</f>
        <v/>
      </c>
      <c r="AA41">
        <f>HYPERLINK("https://klasma.github.io/Logging_1783/klagomål/A 44095-2023 FSC-klagomål.docx", "A 44095-2023")</f>
        <v/>
      </c>
      <c r="AB41">
        <f>HYPERLINK("https://klasma.github.io/Logging_1783/klagomålsmail/A 44095-2023 FSC-klagomål mail.docx", "A 44095-2023")</f>
        <v/>
      </c>
      <c r="AC41">
        <f>HYPERLINK("https://klasma.github.io/Logging_1783/tillsyn/A 44095-2023 tillsynsbegäran.docx", "A 44095-2023")</f>
        <v/>
      </c>
      <c r="AD41">
        <f>HYPERLINK("https://klasma.github.io/Logging_1783/tillsynsmail/A 44095-2023 tillsynsbegäran mail.docx", "A 44095-2023")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46304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46304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16319-2023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45028</v>
      </c>
      <c r="E44" s="1" t="n">
        <v>46304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16319-2023 artfynd.xlsx", "A 16319-2023")</f>
        <v/>
      </c>
      <c r="X44">
        <f>HYPERLINK("https://klasma.github.io/Logging_1783/kartor/A 16319-2023 karta.png", "A 16319-2023")</f>
        <v/>
      </c>
      <c r="Y44">
        <f>HYPERLINK("https://klasma.github.io/Logging_1783/kartor_geotiff/A 16319-2023 georefererad karta.tif", "A 16319-2023")</f>
        <v/>
      </c>
      <c r="AA44">
        <f>HYPERLINK("https://klasma.github.io/Logging_1783/klagomål/A 16319-2023 FSC-klagomål.docx", "A 16319-2023")</f>
        <v/>
      </c>
      <c r="AB44">
        <f>HYPERLINK("https://klasma.github.io/Logging_1783/klagomålsmail/A 16319-2023 FSC-klagomål mail.docx", "A 16319-2023")</f>
        <v/>
      </c>
      <c r="AC44">
        <f>HYPERLINK("https://klasma.github.io/Logging_1783/tillsyn/A 16319-2023 tillsynsbegäran.docx", "A 16319-2023")</f>
        <v/>
      </c>
      <c r="AD44">
        <f>HYPERLINK("https://klasma.github.io/Logging_1783/tillsynsmail/A 16319-2023 tillsynsbegäran mail.docx", "A 16319-2023")</f>
        <v/>
      </c>
    </row>
    <row r="45" ht="15" customHeight="1">
      <c r="A45" t="inlineStr">
        <is>
          <t>A 19362-2026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46133</v>
      </c>
      <c r="E45" s="1" t="n">
        <v>46304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19362-2026 artfynd.xlsx", "A 19362-2026")</f>
        <v/>
      </c>
      <c r="X45">
        <f>HYPERLINK("https://klasma.github.io/Logging_1783/kartor/A 19362-2026 karta.png", "A 19362-2026")</f>
        <v/>
      </c>
      <c r="Y45">
        <f>HYPERLINK("https://klasma.github.io/Logging_1783/kartor_geotiff/A 19362-2026 georefererad karta.tif", "A 19362-2026")</f>
        <v/>
      </c>
      <c r="AA45">
        <f>HYPERLINK("https://klasma.github.io/Logging_1783/klagomål/A 19362-2026 FSC-klagomål.docx", "A 19362-2026")</f>
        <v/>
      </c>
      <c r="AB45">
        <f>HYPERLINK("https://klasma.github.io/Logging_1783/klagomålsmail/A 19362-2026 FSC-klagomål mail.docx", "A 19362-2026")</f>
        <v/>
      </c>
      <c r="AC45">
        <f>HYPERLINK("https://klasma.github.io/Logging_1783/tillsyn/A 19362-2026 tillsynsbegäran.docx", "A 19362-2026")</f>
        <v/>
      </c>
      <c r="AD45">
        <f>HYPERLINK("https://klasma.github.io/Logging_1783/tillsynsmail/A 19362-2026 tillsynsbegäran mail.docx", "A 19362-2026")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46304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34158-2025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45845</v>
      </c>
      <c r="E47" s="1" t="n">
        <v>46304</v>
      </c>
      <c r="F47" t="inlineStr">
        <is>
          <t>VÄRMLANDS LÄN</t>
        </is>
      </c>
      <c r="G47" t="inlineStr">
        <is>
          <t>HAGFORS</t>
        </is>
      </c>
      <c r="I47" t="n">
        <v>5.8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Korallblylav</t>
        </is>
      </c>
      <c r="W47">
        <f>HYPERLINK("https://klasma.github.io/Logging_1783/artfynd/A 34158-2025 artfynd.xlsx", "A 34158-2025")</f>
        <v/>
      </c>
      <c r="X47">
        <f>HYPERLINK("https://klasma.github.io/Logging_1783/kartor/A 34158-2025 karta.png", "A 34158-2025")</f>
        <v/>
      </c>
      <c r="Y47">
        <f>HYPERLINK("https://klasma.github.io/Logging_1783/kartor_geotiff/A 34158-2025 georefererad karta.tif", "A 34158-2025")</f>
        <v/>
      </c>
      <c r="AA47">
        <f>HYPERLINK("https://klasma.github.io/Logging_1783/klagomål/A 34158-2025 FSC-klagomål.docx", "A 34158-2025")</f>
        <v/>
      </c>
      <c r="AB47">
        <f>HYPERLINK("https://klasma.github.io/Logging_1783/klagomålsmail/A 34158-2025 FSC-klagomål mail.docx", "A 34158-2025")</f>
        <v/>
      </c>
      <c r="AC47">
        <f>HYPERLINK("https://klasma.github.io/Logging_1783/tillsyn/A 34158-2025 tillsynsbegäran.docx", "A 34158-2025")</f>
        <v/>
      </c>
      <c r="AD47">
        <f>HYPERLINK("https://klasma.github.io/Logging_1783/tillsynsmail/A 34158-2025 tillsynsbegäran mail.docx", "A 34158-2025")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46304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46304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46304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HYPERLINK("https://klasma.github.io/Logging_1783/artfynd/A 38267-2024 artfynd.xlsx", "A 38267-2024")</f>
        <v/>
      </c>
      <c r="X50">
        <f>HYPERLINK("https://klasma.github.io/Logging_1783/kartor/A 38267-2024 karta.png", "A 38267-2024")</f>
        <v/>
      </c>
      <c r="Y50">
        <f>HYPERLINK("https://klasma.github.io/Logging_1783/kartor_geotiff/A 38267-2024 georefererad karta.tif", "A 38267-2024")</f>
        <v/>
      </c>
      <c r="AA50">
        <f>HYPERLINK("https://klasma.github.io/Logging_1783/klagomål/A 38267-2024 FSC-klagomål.docx", "A 38267-2024")</f>
        <v/>
      </c>
      <c r="AB50">
        <f>HYPERLINK("https://klasma.github.io/Logging_1783/klagomålsmail/A 38267-2024 FSC-klagomål mail.docx", "A 38267-2024")</f>
        <v/>
      </c>
      <c r="AC50">
        <f>HYPERLINK("https://klasma.github.io/Logging_1783/tillsyn/A 38267-2024 tillsynsbegäran.docx", "A 38267-2024")</f>
        <v/>
      </c>
      <c r="AD50">
        <f>HYPERLINK("https://klasma.github.io/Logging_1783/tillsynsmail/A 38267-2024 tillsynsbegäran mail.docx", "A 38267-2024")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46304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46304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46304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46304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46304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46304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46304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12673-2024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45384</v>
      </c>
      <c r="E58" s="1" t="n">
        <v>46304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12673-2024 artfynd.xlsx", "A 12673-2024")</f>
        <v/>
      </c>
      <c r="X58">
        <f>HYPERLINK("https://klasma.github.io/Logging_1783/kartor/A 12673-2024 karta.png", "A 12673-2024")</f>
        <v/>
      </c>
      <c r="Y58">
        <f>HYPERLINK("https://klasma.github.io/Logging_1783/kartor_geotiff/A 12673-2024 georefererad karta.tif", "A 12673-2024")</f>
        <v/>
      </c>
      <c r="AA58">
        <f>HYPERLINK("https://klasma.github.io/Logging_1783/klagomål/A 12673-2024 FSC-klagomål.docx", "A 12673-2024")</f>
        <v/>
      </c>
      <c r="AB58">
        <f>HYPERLINK("https://klasma.github.io/Logging_1783/klagomålsmail/A 12673-2024 FSC-klagomål mail.docx", "A 12673-2024")</f>
        <v/>
      </c>
      <c r="AC58">
        <f>HYPERLINK("https://klasma.github.io/Logging_1783/tillsyn/A 12673-2024 tillsynsbegäran.docx", "A 12673-2024")</f>
        <v/>
      </c>
      <c r="AD58">
        <f>HYPERLINK("https://klasma.github.io/Logging_1783/tillsynsmail/A 12673-2024 tillsynsbegäran mail.docx", "A 12673-2024")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46304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36223-2026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46304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8.699999999999999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HYPERLINK("https://klasma.github.io/Logging_1783/artfynd/A 36223-2026 artfynd.xlsx", "A 36223-2026")</f>
        <v/>
      </c>
      <c r="X60">
        <f>HYPERLINK("https://klasma.github.io/Logging_1783/kartor/A 36223-2026 karta.png", "A 36223-2026")</f>
        <v/>
      </c>
      <c r="Y60">
        <f>HYPERLINK("https://klasma.github.io/Logging_1783/kartor_geotiff/A 36223-2026 georefererad karta.tif", "A 36223-2026")</f>
        <v/>
      </c>
      <c r="AA60">
        <f>HYPERLINK("https://klasma.github.io/Logging_1783/klagomål/A 36223-2026 FSC-klagomål.docx", "A 36223-2026")</f>
        <v/>
      </c>
      <c r="AB60">
        <f>HYPERLINK("https://klasma.github.io/Logging_1783/klagomålsmail/A 36223-2026 FSC-klagomål mail.docx", "A 36223-2026")</f>
        <v/>
      </c>
      <c r="AC60">
        <f>HYPERLINK("https://klasma.github.io/Logging_1783/tillsyn/A 36223-2026 tillsynsbegäran.docx", "A 36223-2026")</f>
        <v/>
      </c>
      <c r="AD60">
        <f>HYPERLINK("https://klasma.github.io/Logging_1783/tillsynsmail/A 36223-2026 tillsynsbegäran mail.docx", "A 36223-2026")</f>
        <v/>
      </c>
      <c r="AE60">
        <f>HYPERLINK("https://klasma.github.io/Logging_1783/fåglar/A 36223-2026 prioriterade fågelarter.docx", "A 36223-2026")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46304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46304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A 24885-2025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46304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Mörk husmossa</t>
        </is>
      </c>
      <c r="W63">
        <f>HYPERLINK("https://klasma.github.io/Logging_1783/artfynd/A 24885-2025 artfynd.xlsx", "A 24885-2025")</f>
        <v/>
      </c>
      <c r="X63">
        <f>HYPERLINK("https://klasma.github.io/Logging_1783/kartor/A 24885-2025 karta.png", "A 24885-2025")</f>
        <v/>
      </c>
      <c r="Y63">
        <f>HYPERLINK("https://klasma.github.io/Logging_1783/kartor_geotiff/A 24885-2025 georefererad karta.tif", "A 24885-2025")</f>
        <v/>
      </c>
      <c r="AA63">
        <f>HYPERLINK("https://klasma.github.io/Logging_1783/klagomål/A 24885-2025 FSC-klagomål.docx", "A 24885-2025")</f>
        <v/>
      </c>
      <c r="AB63">
        <f>HYPERLINK("https://klasma.github.io/Logging_1783/klagomålsmail/A 24885-2025 FSC-klagomål mail.docx", "A 24885-2025")</f>
        <v/>
      </c>
      <c r="AC63">
        <f>HYPERLINK("https://klasma.github.io/Logging_1783/tillsyn/A 24885-2025 tillsynsbegäran.docx", "A 24885-2025")</f>
        <v/>
      </c>
      <c r="AD63">
        <f>HYPERLINK("https://klasma.github.io/Logging_1783/tillsynsmail/A 24885-2025 tillsynsbegäran mail.docx", "A 24885-2025")</f>
        <v/>
      </c>
    </row>
    <row r="64" ht="15" customHeight="1">
      <c r="A64" t="inlineStr">
        <is>
          <t>A 26624-2025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45810</v>
      </c>
      <c r="E64" s="1" t="n">
        <v>46304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1.4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HYPERLINK("https://klasma.github.io/Logging_1783/artfynd/A 26624-2025 artfynd.xlsx", "A 26624-2025")</f>
        <v/>
      </c>
      <c r="X64">
        <f>HYPERLINK("https://klasma.github.io/Logging_1783/kartor/A 26624-2025 karta.png", "A 26624-2025")</f>
        <v/>
      </c>
      <c r="Y64">
        <f>HYPERLINK("https://klasma.github.io/Logging_1783/kartor_geotiff/A 26624-2025 georefererad karta.tif", "A 26624-2025")</f>
        <v/>
      </c>
      <c r="AA64">
        <f>HYPERLINK("https://klasma.github.io/Logging_1783/klagomål/A 26624-2025 FSC-klagomål.docx", "A 26624-2025")</f>
        <v/>
      </c>
      <c r="AB64">
        <f>HYPERLINK("https://klasma.github.io/Logging_1783/klagomålsmail/A 26624-2025 FSC-klagomål mail.docx", "A 26624-2025")</f>
        <v/>
      </c>
      <c r="AC64">
        <f>HYPERLINK("https://klasma.github.io/Logging_1783/tillsyn/A 26624-2025 tillsynsbegäran.docx", "A 26624-2025")</f>
        <v/>
      </c>
      <c r="AD64">
        <f>HYPERLINK("https://klasma.github.io/Logging_1783/tillsynsmail/A 26624-2025 tillsynsbegäran mail.docx", "A 26624-2025")</f>
        <v/>
      </c>
    </row>
    <row r="65" ht="15" customHeight="1">
      <c r="A65" t="inlineStr">
        <is>
          <t>A 40211-2026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46304</v>
      </c>
      <c r="F65" t="inlineStr">
        <is>
          <t>VÄRMLANDS LÄN</t>
        </is>
      </c>
      <c r="G65" t="inlineStr">
        <is>
          <t>HAGFORS</t>
        </is>
      </c>
      <c r="I65" t="n">
        <v>2.3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40211-2026 artfynd.xlsx", "A 40211-2026")</f>
        <v/>
      </c>
      <c r="X65">
        <f>HYPERLINK("https://klasma.github.io/Logging_1783/kartor/A 40211-2026 karta.png", "A 40211-2026")</f>
        <v/>
      </c>
      <c r="Y65">
        <f>HYPERLINK("https://klasma.github.io/Logging_1783/kartor_geotiff/A 40211-2026 georefererad karta.tif", "A 40211-2026")</f>
        <v/>
      </c>
      <c r="AA65">
        <f>HYPERLINK("https://klasma.github.io/Logging_1783/klagomål/A 40211-2026 FSC-klagomål.docx", "A 40211-2026")</f>
        <v/>
      </c>
      <c r="AB65">
        <f>HYPERLINK("https://klasma.github.io/Logging_1783/klagomålsmail/A 40211-2026 FSC-klagomål mail.docx", "A 40211-2026")</f>
        <v/>
      </c>
      <c r="AC65">
        <f>HYPERLINK("https://klasma.github.io/Logging_1783/tillsyn/A 40211-2026 tillsynsbegäran.docx", "A 40211-2026")</f>
        <v/>
      </c>
      <c r="AD65">
        <f>HYPERLINK("https://klasma.github.io/Logging_1783/tillsynsmail/A 40211-2026 tillsynsbegäran mail.docx", "A 40211-2026")</f>
        <v/>
      </c>
    </row>
    <row r="66" ht="15" customHeight="1">
      <c r="A66" t="inlineStr">
        <is>
          <t>A 35256-2026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46261</v>
      </c>
      <c r="E66" s="1" t="n">
        <v>46304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Vedticka</t>
        </is>
      </c>
      <c r="W66">
        <f>HYPERLINK("https://klasma.github.io/Logging_1783/artfynd/A 35256-2026 artfynd.xlsx", "A 35256-2026")</f>
        <v/>
      </c>
      <c r="X66">
        <f>HYPERLINK("https://klasma.github.io/Logging_1783/kartor/A 35256-2026 karta.png", "A 35256-2026")</f>
        <v/>
      </c>
      <c r="Y66">
        <f>HYPERLINK("https://klasma.github.io/Logging_1783/kartor_geotiff/A 35256-2026 georefererad karta.tif", "A 35256-2026")</f>
        <v/>
      </c>
      <c r="AA66">
        <f>HYPERLINK("https://klasma.github.io/Logging_1783/klagomål/A 35256-2026 FSC-klagomål.docx", "A 35256-2026")</f>
        <v/>
      </c>
      <c r="AB66">
        <f>HYPERLINK("https://klasma.github.io/Logging_1783/klagomålsmail/A 35256-2026 FSC-klagomål mail.docx", "A 35256-2026")</f>
        <v/>
      </c>
      <c r="AC66">
        <f>HYPERLINK("https://klasma.github.io/Logging_1783/tillsyn/A 35256-2026 tillsynsbegäran.docx", "A 35256-2026")</f>
        <v/>
      </c>
      <c r="AD66">
        <f>HYPERLINK("https://klasma.github.io/Logging_1783/tillsynsmail/A 35256-2026 tillsynsbegäran mail.docx", "A 35256-2026")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46304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46304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46304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46304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46304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46304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46304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46304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46304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46304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46304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46304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46304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46304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46304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46304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46304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46304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46304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46304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46304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46304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46304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46304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46304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46304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46304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46304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46304</v>
      </c>
      <c r="F113" t="inlineStr">
        <is>
          <t>VÄRMLANDS LÄN</t>
        </is>
      </c>
      <c r="G113" t="inlineStr">
        <is>
          <t>HAGFORS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46304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45489</v>
      </c>
      <c r="E115" s="1" t="n">
        <v>46304</v>
      </c>
      <c r="F115" t="inlineStr">
        <is>
          <t>VÄRMLANDS LÄN</t>
        </is>
      </c>
      <c r="G115" t="inlineStr">
        <is>
          <t>HAGFORS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46304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46304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46304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46304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46304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46304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46304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46304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46304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46304</v>
      </c>
      <c r="F125" t="inlineStr">
        <is>
          <t>VÄRMLANDS LÄN</t>
        </is>
      </c>
      <c r="G125" t="inlineStr">
        <is>
          <t>HAGFORS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45037</v>
      </c>
      <c r="E126" s="1" t="n">
        <v>46304</v>
      </c>
      <c r="F126" t="inlineStr">
        <is>
          <t>VÄRMLANDS LÄN</t>
        </is>
      </c>
      <c r="G126" t="inlineStr">
        <is>
          <t>HAGFORS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46304</v>
      </c>
      <c r="F127" t="inlineStr">
        <is>
          <t>VÄRMLANDS LÄN</t>
        </is>
      </c>
      <c r="G127" t="inlineStr">
        <is>
          <t>HAGFORS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46304</v>
      </c>
      <c r="F128" t="inlineStr">
        <is>
          <t>VÄRMLANDS LÄN</t>
        </is>
      </c>
      <c r="G128" t="inlineStr">
        <is>
          <t>HAGFORS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46304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46304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58210-2022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44901</v>
      </c>
      <c r="E131" s="1" t="n">
        <v>46304</v>
      </c>
      <c r="F131" t="inlineStr">
        <is>
          <t>VÄRMLANDS LÄN</t>
        </is>
      </c>
      <c r="G131" t="inlineStr">
        <is>
          <t>HAGFORS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46304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46304</v>
      </c>
      <c r="F133" t="inlineStr">
        <is>
          <t>VÄRMLANDS LÄN</t>
        </is>
      </c>
      <c r="G133" t="inlineStr">
        <is>
          <t>HAGFORS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46304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46304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46304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46304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46304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60221-2023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45258</v>
      </c>
      <c r="E139" s="1" t="n">
        <v>46304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46304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46304</v>
      </c>
      <c r="F141" t="inlineStr">
        <is>
          <t>VÄRMLANDS LÄN</t>
        </is>
      </c>
      <c r="G141" t="inlineStr">
        <is>
          <t>HAGFORS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46304</v>
      </c>
      <c r="F142" t="inlineStr">
        <is>
          <t>VÄRMLANDS LÄN</t>
        </is>
      </c>
      <c r="G142" t="inlineStr">
        <is>
          <t>HAGFORS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46304</v>
      </c>
      <c r="F143" t="inlineStr">
        <is>
          <t>VÄRMLANDS LÄN</t>
        </is>
      </c>
      <c r="G143" t="inlineStr">
        <is>
          <t>HAGFORS</t>
        </is>
      </c>
      <c r="H143" t="inlineStr">
        <is>
          <t>Kommuner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46304</v>
      </c>
      <c r="F144" t="inlineStr">
        <is>
          <t>VÄRMLANDS LÄN</t>
        </is>
      </c>
      <c r="G144" t="inlineStr">
        <is>
          <t>HAGFORS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46304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46304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46304</v>
      </c>
      <c r="F147" t="inlineStr">
        <is>
          <t>VÄRMLANDS LÄN</t>
        </is>
      </c>
      <c r="G147" t="inlineStr">
        <is>
          <t>HAGFORS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46304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46304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46304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46304</v>
      </c>
      <c r="F151" t="inlineStr">
        <is>
          <t>VÄRMLANDS LÄN</t>
        </is>
      </c>
      <c r="G151" t="inlineStr">
        <is>
          <t>HAGFORS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46304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46304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45055</v>
      </c>
      <c r="E154" s="1" t="n">
        <v>46304</v>
      </c>
      <c r="F154" t="inlineStr">
        <is>
          <t>VÄRMLANDS LÄN</t>
        </is>
      </c>
      <c r="G154" t="inlineStr">
        <is>
          <t>HAGFORS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45461</v>
      </c>
      <c r="E155" s="1" t="n">
        <v>46304</v>
      </c>
      <c r="F155" t="inlineStr">
        <is>
          <t>VÄRMLANDS LÄN</t>
        </is>
      </c>
      <c r="G155" t="inlineStr">
        <is>
          <t>HAGFORS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46304</v>
      </c>
      <c r="F156" t="inlineStr">
        <is>
          <t>VÄRMLANDS LÄN</t>
        </is>
      </c>
      <c r="G156" t="inlineStr">
        <is>
          <t>HAGFORS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46304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46304</v>
      </c>
      <c r="F158" t="inlineStr">
        <is>
          <t>VÄRMLANDS LÄN</t>
        </is>
      </c>
      <c r="G158" t="inlineStr">
        <is>
          <t>HAGFORS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46304</v>
      </c>
      <c r="F159" t="inlineStr">
        <is>
          <t>VÄRMLANDS LÄN</t>
        </is>
      </c>
      <c r="G159" t="inlineStr">
        <is>
          <t>HAGFORS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46304</v>
      </c>
      <c r="F160" t="inlineStr">
        <is>
          <t>VÄRMLANDS LÄN</t>
        </is>
      </c>
      <c r="G160" t="inlineStr">
        <is>
          <t>HAGFORS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46304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61140-2023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45261</v>
      </c>
      <c r="E162" s="1" t="n">
        <v>46304</v>
      </c>
      <c r="F162" t="inlineStr">
        <is>
          <t>VÄRMLANDS LÄN</t>
        </is>
      </c>
      <c r="G162" t="inlineStr">
        <is>
          <t>HAGFORS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46304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46304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46304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44566</v>
      </c>
      <c r="E166" s="1" t="n">
        <v>46304</v>
      </c>
      <c r="F166" t="inlineStr">
        <is>
          <t>VÄRMLANDS LÄN</t>
        </is>
      </c>
      <c r="G166" t="inlineStr">
        <is>
          <t>HAGFORS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45250</v>
      </c>
      <c r="E167" s="1" t="n">
        <v>46304</v>
      </c>
      <c r="F167" t="inlineStr">
        <is>
          <t>VÄRMLANDS LÄN</t>
        </is>
      </c>
      <c r="G167" t="inlineStr">
        <is>
          <t>HAGFORS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57379-2022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44896</v>
      </c>
      <c r="E168" s="1" t="n">
        <v>46304</v>
      </c>
      <c r="F168" t="inlineStr">
        <is>
          <t>VÄRMLANDS LÄN</t>
        </is>
      </c>
      <c r="G168" t="inlineStr">
        <is>
          <t>HAGFORS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46304</v>
      </c>
      <c r="F169" t="inlineStr">
        <is>
          <t>VÄRMLANDS LÄN</t>
        </is>
      </c>
      <c r="G169" t="inlineStr">
        <is>
          <t>HAGFORS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45224</v>
      </c>
      <c r="E170" s="1" t="n">
        <v>46304</v>
      </c>
      <c r="F170" t="inlineStr">
        <is>
          <t>VÄRMLANDS LÄN</t>
        </is>
      </c>
      <c r="G170" t="inlineStr">
        <is>
          <t>HAGFORS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46304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46304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33440-2025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45841</v>
      </c>
      <c r="E173" s="1" t="n">
        <v>46304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46304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45433</v>
      </c>
      <c r="E175" s="1" t="n">
        <v>46304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46304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46304</v>
      </c>
      <c r="F177" t="inlineStr">
        <is>
          <t>VÄRMLANDS LÄN</t>
        </is>
      </c>
      <c r="G177" t="inlineStr">
        <is>
          <t>HAGFORS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46304</v>
      </c>
      <c r="F178" t="inlineStr">
        <is>
          <t>VÄRMLANDS LÄN</t>
        </is>
      </c>
      <c r="G178" t="inlineStr">
        <is>
          <t>HAGFORS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46304</v>
      </c>
      <c r="F179" t="inlineStr">
        <is>
          <t>VÄRMLANDS LÄN</t>
        </is>
      </c>
      <c r="G179" t="inlineStr">
        <is>
          <t>HAGFORS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45770</v>
      </c>
      <c r="E180" s="1" t="n">
        <v>46304</v>
      </c>
      <c r="F180" t="inlineStr">
        <is>
          <t>VÄRMLANDS LÄN</t>
        </is>
      </c>
      <c r="G180" t="inlineStr">
        <is>
          <t>HAGFORS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45093</v>
      </c>
      <c r="E181" s="1" t="n">
        <v>46304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46087</v>
      </c>
      <c r="E182" s="1" t="n">
        <v>46304</v>
      </c>
      <c r="F182" t="inlineStr">
        <is>
          <t>VÄRMLANDS LÄN</t>
        </is>
      </c>
      <c r="G182" t="inlineStr">
        <is>
          <t>HAGFORS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46304</v>
      </c>
      <c r="F183" t="inlineStr">
        <is>
          <t>VÄRMLANDS LÄN</t>
        </is>
      </c>
      <c r="G183" t="inlineStr">
        <is>
          <t>HAGFORS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46304</v>
      </c>
      <c r="F184" t="inlineStr">
        <is>
          <t>VÄRMLANDS LÄN</t>
        </is>
      </c>
      <c r="G184" t="inlineStr">
        <is>
          <t>HAGFORS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45784</v>
      </c>
      <c r="E185" s="1" t="n">
        <v>46304</v>
      </c>
      <c r="F185" t="inlineStr">
        <is>
          <t>VÄRMLANDS LÄN</t>
        </is>
      </c>
      <c r="G185" t="inlineStr">
        <is>
          <t>HAGFORS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46304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46304</v>
      </c>
      <c r="F187" t="inlineStr">
        <is>
          <t>VÄRMLANDS LÄN</t>
        </is>
      </c>
      <c r="G187" t="inlineStr">
        <is>
          <t>HAGFORS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46304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45854</v>
      </c>
      <c r="E189" s="1" t="n">
        <v>46304</v>
      </c>
      <c r="F189" t="inlineStr">
        <is>
          <t>VÄRMLANDS LÄN</t>
        </is>
      </c>
      <c r="G189" t="inlineStr">
        <is>
          <t>HAGFORS</t>
        </is>
      </c>
      <c r="H189" t="inlineStr">
        <is>
          <t>Kyrkan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46304</v>
      </c>
      <c r="F190" t="inlineStr">
        <is>
          <t>VÄRMLANDS LÄN</t>
        </is>
      </c>
      <c r="G190" t="inlineStr">
        <is>
          <t>HAGFORS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45854</v>
      </c>
      <c r="E191" s="1" t="n">
        <v>46304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46304</v>
      </c>
      <c r="F192" t="inlineStr">
        <is>
          <t>VÄRMLANDS LÄN</t>
        </is>
      </c>
      <c r="G192" t="inlineStr">
        <is>
          <t>HAGFORS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46304</v>
      </c>
      <c r="F193" t="inlineStr">
        <is>
          <t>VÄRMLANDS LÄN</t>
        </is>
      </c>
      <c r="G193" t="inlineStr">
        <is>
          <t>HAGFORS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44904</v>
      </c>
      <c r="E194" s="1" t="n">
        <v>46304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46304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46304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64155-2023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46304</v>
      </c>
      <c r="F197" t="inlineStr">
        <is>
          <t>VÄRMLANDS LÄN</t>
        </is>
      </c>
      <c r="G197" t="inlineStr">
        <is>
          <t>HAGFORS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46304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46304</v>
      </c>
      <c r="F199" t="inlineStr">
        <is>
          <t>VÄRMLANDS LÄN</t>
        </is>
      </c>
      <c r="G199" t="inlineStr">
        <is>
          <t>HAGFORS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46304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46091</v>
      </c>
      <c r="E201" s="1" t="n">
        <v>46304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46304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46304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46304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46304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45874</v>
      </c>
      <c r="E206" s="1" t="n">
        <v>46304</v>
      </c>
      <c r="F206" t="inlineStr">
        <is>
          <t>VÄRMLANDS LÄN</t>
        </is>
      </c>
      <c r="G206" t="inlineStr">
        <is>
          <t>HAGFORS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46304</v>
      </c>
      <c r="F207" t="inlineStr">
        <is>
          <t>VÄRMLANDS LÄN</t>
        </is>
      </c>
      <c r="G207" t="inlineStr">
        <is>
          <t>HAGFORS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46304</v>
      </c>
      <c r="F208" t="inlineStr">
        <is>
          <t>VÄRMLANDS LÄN</t>
        </is>
      </c>
      <c r="G208" t="inlineStr">
        <is>
          <t>HAGFORS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11104-2022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44628</v>
      </c>
      <c r="E209" s="1" t="n">
        <v>46304</v>
      </c>
      <c r="F209" t="inlineStr">
        <is>
          <t>VÄRMLANDS LÄN</t>
        </is>
      </c>
      <c r="G209" t="inlineStr">
        <is>
          <t>HAGFORS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46304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46304</v>
      </c>
      <c r="F211" t="inlineStr">
        <is>
          <t>VÄRMLANDS LÄN</t>
        </is>
      </c>
      <c r="G211" t="inlineStr">
        <is>
          <t>HAGFORS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46304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46304</v>
      </c>
      <c r="F213" t="inlineStr">
        <is>
          <t>VÄRMLANDS LÄN</t>
        </is>
      </c>
      <c r="G213" t="inlineStr">
        <is>
          <t>HAGFORS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45033</v>
      </c>
      <c r="E214" s="1" t="n">
        <v>46304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45201</v>
      </c>
      <c r="E215" s="1" t="n">
        <v>46304</v>
      </c>
      <c r="F215" t="inlineStr">
        <is>
          <t>VÄRMLANDS LÄN</t>
        </is>
      </c>
      <c r="G215" t="inlineStr">
        <is>
          <t>HAGFORS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46304</v>
      </c>
      <c r="F216" t="inlineStr">
        <is>
          <t>VÄRMLANDS LÄN</t>
        </is>
      </c>
      <c r="G216" t="inlineStr">
        <is>
          <t>HAGFORS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46304</v>
      </c>
      <c r="F217" t="inlineStr">
        <is>
          <t>VÄRMLANDS LÄN</t>
        </is>
      </c>
      <c r="G217" t="inlineStr">
        <is>
          <t>HAGFORS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46304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46304</v>
      </c>
      <c r="F219" t="inlineStr">
        <is>
          <t>VÄRMLANDS LÄN</t>
        </is>
      </c>
      <c r="G219" t="inlineStr">
        <is>
          <t>HAGFORS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46304</v>
      </c>
      <c r="F220" t="inlineStr">
        <is>
          <t>VÄRMLANDS LÄN</t>
        </is>
      </c>
      <c r="G220" t="inlineStr">
        <is>
          <t>HAGFORS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46304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41739-2025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45902</v>
      </c>
      <c r="E222" s="1" t="n">
        <v>46304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46304</v>
      </c>
      <c r="F223" t="inlineStr">
        <is>
          <t>VÄRMLANDS LÄN</t>
        </is>
      </c>
      <c r="G223" t="inlineStr">
        <is>
          <t>HAGFORS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46304</v>
      </c>
      <c r="F224" t="inlineStr">
        <is>
          <t>VÄRMLANDS LÄN</t>
        </is>
      </c>
      <c r="G224" t="inlineStr">
        <is>
          <t>HAGFORS</t>
        </is>
      </c>
      <c r="H224" t="inlineStr">
        <is>
          <t>Kyrkan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46304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46304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46304</v>
      </c>
      <c r="F227" t="inlineStr">
        <is>
          <t>VÄRMLANDS LÄN</t>
        </is>
      </c>
      <c r="G227" t="inlineStr">
        <is>
          <t>HAGFORS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46304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46304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46304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46304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46304</v>
      </c>
      <c r="F232" t="inlineStr">
        <is>
          <t>VÄRMLANDS LÄN</t>
        </is>
      </c>
      <c r="G232" t="inlineStr">
        <is>
          <t>HAGFORS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46304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46304</v>
      </c>
      <c r="F234" t="inlineStr">
        <is>
          <t>VÄRMLANDS LÄN</t>
        </is>
      </c>
      <c r="G234" t="inlineStr">
        <is>
          <t>HAGFORS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46304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46304</v>
      </c>
      <c r="F236" t="inlineStr">
        <is>
          <t>VÄRMLANDS LÄN</t>
        </is>
      </c>
      <c r="G236" t="inlineStr">
        <is>
          <t>HAGFORS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46098</v>
      </c>
      <c r="E237" s="1" t="n">
        <v>46304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46304</v>
      </c>
      <c r="F238" t="inlineStr">
        <is>
          <t>VÄRMLANDS LÄN</t>
        </is>
      </c>
      <c r="G238" t="inlineStr">
        <is>
          <t>HAGFORS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46304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46304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46304</v>
      </c>
      <c r="F241" t="inlineStr">
        <is>
          <t>VÄRMLANDS LÄN</t>
        </is>
      </c>
      <c r="G241" t="inlineStr">
        <is>
          <t>HAGFORS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44757</v>
      </c>
      <c r="E242" s="1" t="n">
        <v>46304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46304</v>
      </c>
      <c r="F243" t="inlineStr">
        <is>
          <t>VÄRMLANDS LÄN</t>
        </is>
      </c>
      <c r="G243" t="inlineStr">
        <is>
          <t>HAGFORS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46304</v>
      </c>
      <c r="F244" t="inlineStr">
        <is>
          <t>VÄRMLANDS LÄN</t>
        </is>
      </c>
      <c r="G244" t="inlineStr">
        <is>
          <t>HAGFORS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46304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46304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46304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46304</v>
      </c>
      <c r="F248" t="inlineStr">
        <is>
          <t>VÄRMLANDS LÄN</t>
        </is>
      </c>
      <c r="G248" t="inlineStr">
        <is>
          <t>HAGFORS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46304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46304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46304</v>
      </c>
      <c r="F251" t="inlineStr">
        <is>
          <t>VÄRMLANDS LÄN</t>
        </is>
      </c>
      <c r="G251" t="inlineStr">
        <is>
          <t>HAGFORS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46304</v>
      </c>
      <c r="F252" t="inlineStr">
        <is>
          <t>VÄRMLANDS LÄN</t>
        </is>
      </c>
      <c r="G252" t="inlineStr">
        <is>
          <t>HAGFORS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46304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44687</v>
      </c>
      <c r="E254" s="1" t="n">
        <v>46304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46304</v>
      </c>
      <c r="F255" t="inlineStr">
        <is>
          <t>VÄRMLANDS LÄN</t>
        </is>
      </c>
      <c r="G255" t="inlineStr">
        <is>
          <t>HAGFORS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46304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46304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46280-2025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46304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46304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46304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45928</v>
      </c>
      <c r="E261" s="1" t="n">
        <v>46304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46304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45390</v>
      </c>
      <c r="E263" s="1" t="n">
        <v>46304</v>
      </c>
      <c r="F263" t="inlineStr">
        <is>
          <t>VÄRMLANDS LÄN</t>
        </is>
      </c>
      <c r="G263" t="inlineStr">
        <is>
          <t>HAGFORS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46304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45927</v>
      </c>
      <c r="E265" s="1" t="n">
        <v>46304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45927</v>
      </c>
      <c r="E266" s="1" t="n">
        <v>46304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45149</v>
      </c>
      <c r="E267" s="1" t="n">
        <v>46304</v>
      </c>
      <c r="F267" t="inlineStr">
        <is>
          <t>VÄRMLANDS LÄN</t>
        </is>
      </c>
      <c r="G267" t="inlineStr">
        <is>
          <t>HAGFORS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46304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45145</v>
      </c>
      <c r="E269" s="1" t="n">
        <v>46304</v>
      </c>
      <c r="F269" t="inlineStr">
        <is>
          <t>VÄRMLANDS LÄN</t>
        </is>
      </c>
      <c r="G269" t="inlineStr">
        <is>
          <t>HAGFORS</t>
        </is>
      </c>
      <c r="I269" t="n">
        <v>13.5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38132-2022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46304</v>
      </c>
      <c r="F270" t="inlineStr">
        <is>
          <t>VÄRMLANDS LÄN</t>
        </is>
      </c>
      <c r="G270" t="inlineStr">
        <is>
          <t>HAGFORS</t>
        </is>
      </c>
      <c r="H270" t="inlineStr">
        <is>
          <t>Kyrkan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46304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46304</v>
      </c>
      <c r="F273" t="inlineStr">
        <is>
          <t>VÄRMLANDS LÄN</t>
        </is>
      </c>
      <c r="G273" t="inlineStr">
        <is>
          <t>HAGFORS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46304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46304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46304</v>
      </c>
      <c r="F276" t="inlineStr">
        <is>
          <t>VÄRMLANDS LÄN</t>
        </is>
      </c>
      <c r="G276" t="inlineStr">
        <is>
          <t>HAGFORS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45510</v>
      </c>
      <c r="E277" s="1" t="n">
        <v>46304</v>
      </c>
      <c r="F277" t="inlineStr">
        <is>
          <t>VÄRMLANDS LÄN</t>
        </is>
      </c>
      <c r="G277" t="inlineStr">
        <is>
          <t>HAGFORS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46304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46304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46304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46304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46304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15538-2024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45401</v>
      </c>
      <c r="E283" s="1" t="n">
        <v>46304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46304</v>
      </c>
      <c r="F284" t="inlineStr">
        <is>
          <t>VÄRMLANDS LÄN</t>
        </is>
      </c>
      <c r="G284" t="inlineStr">
        <is>
          <t>HAGFORS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46304</v>
      </c>
      <c r="F285" t="inlineStr">
        <is>
          <t>VÄRMLANDS LÄN</t>
        </is>
      </c>
      <c r="G285" t="inlineStr">
        <is>
          <t>HAGFORS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46304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46304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16157-2026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46108</v>
      </c>
      <c r="E288" s="1" t="n">
        <v>46304</v>
      </c>
      <c r="F288" t="inlineStr">
        <is>
          <t>VÄRMLANDS LÄN</t>
        </is>
      </c>
      <c r="G288" t="inlineStr">
        <is>
          <t>HAGFORS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44924</v>
      </c>
      <c r="E289" s="1" t="n">
        <v>46304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46304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46304</v>
      </c>
      <c r="F291" t="inlineStr">
        <is>
          <t>VÄRMLANDS LÄN</t>
        </is>
      </c>
      <c r="G291" t="inlineStr">
        <is>
          <t>HAGFORS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45699</v>
      </c>
      <c r="E292" s="1" t="n">
        <v>46304</v>
      </c>
      <c r="F292" t="inlineStr">
        <is>
          <t>VÄRMLANDS LÄN</t>
        </is>
      </c>
      <c r="G292" t="inlineStr">
        <is>
          <t>HAGFORS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46304</v>
      </c>
      <c r="F293" t="inlineStr">
        <is>
          <t>VÄRMLANDS LÄN</t>
        </is>
      </c>
      <c r="G293" t="inlineStr">
        <is>
          <t>HAGFORS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44951</v>
      </c>
      <c r="E294" s="1" t="n">
        <v>46304</v>
      </c>
      <c r="F294" t="inlineStr">
        <is>
          <t>VÄRMLANDS LÄN</t>
        </is>
      </c>
      <c r="G294" t="inlineStr">
        <is>
          <t>HAGFORS</t>
        </is>
      </c>
      <c r="H294" t="inlineStr">
        <is>
          <t>Kyrkan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45941</v>
      </c>
      <c r="E295" s="1" t="n">
        <v>46304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45772</v>
      </c>
      <c r="E296" s="1" t="n">
        <v>46304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46304</v>
      </c>
      <c r="F297" t="inlineStr">
        <is>
          <t>VÄRMLANDS LÄN</t>
        </is>
      </c>
      <c r="G297" t="inlineStr">
        <is>
          <t>HAGFORS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46304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46304</v>
      </c>
      <c r="F299" t="inlineStr">
        <is>
          <t>VÄRMLANDS LÄN</t>
        </is>
      </c>
      <c r="G299" t="inlineStr">
        <is>
          <t>HAGFORS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46304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46304</v>
      </c>
      <c r="F301" t="inlineStr">
        <is>
          <t>VÄRMLANDS LÄN</t>
        </is>
      </c>
      <c r="G301" t="inlineStr">
        <is>
          <t>HAGFORS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44638</v>
      </c>
      <c r="E302" s="1" t="n">
        <v>46304</v>
      </c>
      <c r="F302" t="inlineStr">
        <is>
          <t>VÄRMLANDS LÄN</t>
        </is>
      </c>
      <c r="G302" t="inlineStr">
        <is>
          <t>HAGFORS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46304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46304</v>
      </c>
      <c r="F304" t="inlineStr">
        <is>
          <t>VÄRMLANDS LÄN</t>
        </is>
      </c>
      <c r="G304" t="inlineStr">
        <is>
          <t>HAGFORS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46304</v>
      </c>
      <c r="F305" t="inlineStr">
        <is>
          <t>VÄRMLANDS LÄN</t>
        </is>
      </c>
      <c r="G305" t="inlineStr">
        <is>
          <t>HAGFORS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45949</v>
      </c>
      <c r="E306" s="1" t="n">
        <v>46304</v>
      </c>
      <c r="F306" t="inlineStr">
        <is>
          <t>VÄRMLANDS LÄN</t>
        </is>
      </c>
      <c r="G306" t="inlineStr">
        <is>
          <t>HAGFORS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44824</v>
      </c>
      <c r="E307" s="1" t="n">
        <v>46304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46304</v>
      </c>
      <c r="F308" t="inlineStr">
        <is>
          <t>VÄRMLANDS LÄN</t>
        </is>
      </c>
      <c r="G308" t="inlineStr">
        <is>
          <t>HAGFORS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52479-2025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45954</v>
      </c>
      <c r="E309" s="1" t="n">
        <v>46304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46304</v>
      </c>
      <c r="F310" t="inlineStr">
        <is>
          <t>VÄRMLANDS LÄN</t>
        </is>
      </c>
      <c r="G310" t="inlineStr">
        <is>
          <t>HAGFORS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46304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9.800000000000001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46304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71447-2021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44540</v>
      </c>
      <c r="E313" s="1" t="n">
        <v>46304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46304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46304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46304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45961</v>
      </c>
      <c r="E317" s="1" t="n">
        <v>46304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46304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46304</v>
      </c>
      <c r="F319" t="inlineStr">
        <is>
          <t>VÄRMLANDS LÄN</t>
        </is>
      </c>
      <c r="G319" t="inlineStr">
        <is>
          <t>HAGFORS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46304</v>
      </c>
      <c r="F320" t="inlineStr">
        <is>
          <t>VÄRMLANDS LÄN</t>
        </is>
      </c>
      <c r="G320" t="inlineStr">
        <is>
          <t>HAGFORS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46304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46304</v>
      </c>
      <c r="F322" t="inlineStr">
        <is>
          <t>VÄRMLANDS LÄN</t>
        </is>
      </c>
      <c r="G322" t="inlineStr">
        <is>
          <t>HAGFORS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45684</v>
      </c>
      <c r="E323" s="1" t="n">
        <v>46304</v>
      </c>
      <c r="F323" t="inlineStr">
        <is>
          <t>VÄRMLANDS LÄN</t>
        </is>
      </c>
      <c r="G323" t="inlineStr">
        <is>
          <t>HAGFORS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46304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45966</v>
      </c>
      <c r="E325" s="1" t="n">
        <v>46304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46304</v>
      </c>
      <c r="F326" t="inlineStr">
        <is>
          <t>VÄRMLANDS LÄN</t>
        </is>
      </c>
      <c r="G326" t="inlineStr">
        <is>
          <t>HAGFORS</t>
        </is>
      </c>
      <c r="H326" t="inlineStr">
        <is>
          <t>Kommuner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45967</v>
      </c>
      <c r="E327" s="1" t="n">
        <v>46304</v>
      </c>
      <c r="F327" t="inlineStr">
        <is>
          <t>VÄRMLANDS LÄN</t>
        </is>
      </c>
      <c r="G327" t="inlineStr">
        <is>
          <t>HAGFORS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46304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18217-2026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46126</v>
      </c>
      <c r="E329" s="1" t="n">
        <v>46304</v>
      </c>
      <c r="F329" t="inlineStr">
        <is>
          <t>VÄRMLANDS LÄN</t>
        </is>
      </c>
      <c r="G329" t="inlineStr">
        <is>
          <t>HAGFORS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46304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46304</v>
      </c>
      <c r="F331" t="inlineStr">
        <is>
          <t>VÄRMLANDS LÄN</t>
        </is>
      </c>
      <c r="G331" t="inlineStr">
        <is>
          <t>HAGFORS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46304</v>
      </c>
      <c r="F332" t="inlineStr">
        <is>
          <t>VÄRMLANDS LÄN</t>
        </is>
      </c>
      <c r="G332" t="inlineStr">
        <is>
          <t>HAGFORS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44937</v>
      </c>
      <c r="E333" s="1" t="n">
        <v>46304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46304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45087</v>
      </c>
      <c r="E335" s="1" t="n">
        <v>46304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46304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46304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46304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46304</v>
      </c>
      <c r="F339" t="inlineStr">
        <is>
          <t>VÄRMLANDS LÄN</t>
        </is>
      </c>
      <c r="G339" t="inlineStr">
        <is>
          <t>HAGFORS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46304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46304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46304</v>
      </c>
      <c r="F342" t="inlineStr">
        <is>
          <t>VÄRMLANDS LÄN</t>
        </is>
      </c>
      <c r="G342" t="inlineStr">
        <is>
          <t>HAGFORS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46304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46304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46304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46304</v>
      </c>
      <c r="F346" t="inlineStr">
        <is>
          <t>VÄRMLANDS LÄN</t>
        </is>
      </c>
      <c r="G346" t="inlineStr">
        <is>
          <t>HAGFORS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46304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45106</v>
      </c>
      <c r="E348" s="1" t="n">
        <v>46304</v>
      </c>
      <c r="F348" t="inlineStr">
        <is>
          <t>VÄRMLANDS LÄN</t>
        </is>
      </c>
      <c r="G348" t="inlineStr">
        <is>
          <t>HAGFORS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46304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46304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46304</v>
      </c>
      <c r="F351" t="inlineStr">
        <is>
          <t>VÄRMLANDS LÄN</t>
        </is>
      </c>
      <c r="G351" t="inlineStr">
        <is>
          <t>HAGFORS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46304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46304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46304</v>
      </c>
      <c r="F354" t="inlineStr">
        <is>
          <t>VÄRMLANDS LÄN</t>
        </is>
      </c>
      <c r="G354" t="inlineStr">
        <is>
          <t>HAGFORS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46304</v>
      </c>
      <c r="F355" t="inlineStr">
        <is>
          <t>VÄRMLANDS LÄN</t>
        </is>
      </c>
      <c r="G355" t="inlineStr">
        <is>
          <t>HAGFORS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46304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46304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46304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46304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44876</v>
      </c>
      <c r="E360" s="1" t="n">
        <v>46304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45084</v>
      </c>
      <c r="E361" s="1" t="n">
        <v>46304</v>
      </c>
      <c r="F361" t="inlineStr">
        <is>
          <t>VÄRMLANDS LÄN</t>
        </is>
      </c>
      <c r="G361" t="inlineStr">
        <is>
          <t>HAGFORS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44502</v>
      </c>
      <c r="E362" s="1" t="n">
        <v>46304</v>
      </c>
      <c r="F362" t="inlineStr">
        <is>
          <t>VÄRMLANDS LÄN</t>
        </is>
      </c>
      <c r="G362" t="inlineStr">
        <is>
          <t>HAGFORS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45006</v>
      </c>
      <c r="E363" s="1" t="n">
        <v>46304</v>
      </c>
      <c r="F363" t="inlineStr">
        <is>
          <t>VÄRMLANDS LÄN</t>
        </is>
      </c>
      <c r="G363" t="inlineStr">
        <is>
          <t>HAGFORS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59047-2025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45988</v>
      </c>
      <c r="E364" s="1" t="n">
        <v>46304</v>
      </c>
      <c r="F364" t="inlineStr">
        <is>
          <t>VÄRMLANDS LÄN</t>
        </is>
      </c>
      <c r="G364" t="inlineStr">
        <is>
          <t>HAGFORS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46134</v>
      </c>
      <c r="E365" s="1" t="n">
        <v>46304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46304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45562</v>
      </c>
      <c r="E367" s="1" t="n">
        <v>46304</v>
      </c>
      <c r="F367" t="inlineStr">
        <is>
          <t>VÄRMLANDS LÄN</t>
        </is>
      </c>
      <c r="G367" t="inlineStr">
        <is>
          <t>HAGFORS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45036</v>
      </c>
      <c r="E368" s="1" t="n">
        <v>46304</v>
      </c>
      <c r="F368" t="inlineStr">
        <is>
          <t>VÄRMLANDS LÄN</t>
        </is>
      </c>
      <c r="G368" t="inlineStr">
        <is>
          <t>HAGFORS</t>
        </is>
      </c>
      <c r="H368" t="inlineStr">
        <is>
          <t>Kommuner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46304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44613</v>
      </c>
      <c r="E370" s="1" t="n">
        <v>46304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46304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61169-2024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45645</v>
      </c>
      <c r="E372" s="1" t="n">
        <v>46304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46020</v>
      </c>
      <c r="E373" s="1" t="n">
        <v>46304</v>
      </c>
      <c r="F373" t="inlineStr">
        <is>
          <t>VÄRMLANDS LÄN</t>
        </is>
      </c>
      <c r="G373" t="inlineStr">
        <is>
          <t>HAGFORS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46304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46304</v>
      </c>
      <c r="F375" t="inlineStr">
        <is>
          <t>VÄRMLANDS LÄN</t>
        </is>
      </c>
      <c r="G375" t="inlineStr">
        <is>
          <t>HAGFORS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60648-2025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45996</v>
      </c>
      <c r="E376" s="1" t="n">
        <v>46304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45461</v>
      </c>
      <c r="E377" s="1" t="n">
        <v>46304</v>
      </c>
      <c r="F377" t="inlineStr">
        <is>
          <t>VÄRMLANDS LÄN</t>
        </is>
      </c>
      <c r="G377" t="inlineStr">
        <is>
          <t>HAGFORS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45152</v>
      </c>
      <c r="E378" s="1" t="n">
        <v>46304</v>
      </c>
      <c r="F378" t="inlineStr">
        <is>
          <t>VÄRMLANDS LÄN</t>
        </is>
      </c>
      <c r="G378" t="inlineStr">
        <is>
          <t>HAGFORS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46003</v>
      </c>
      <c r="E379" s="1" t="n">
        <v>46304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46304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46304</v>
      </c>
      <c r="F381" t="inlineStr">
        <is>
          <t>VÄRMLANDS LÄN</t>
        </is>
      </c>
      <c r="G381" t="inlineStr">
        <is>
          <t>HAGFORS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61718-2025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46002</v>
      </c>
      <c r="E382" s="1" t="n">
        <v>46304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46304</v>
      </c>
      <c r="F383" t="inlineStr">
        <is>
          <t>VÄRMLANDS LÄN</t>
        </is>
      </c>
      <c r="G383" t="inlineStr">
        <is>
          <t>HAGFORS</t>
        </is>
      </c>
      <c r="I383" t="n">
        <v>18.2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46304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46304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61910-2025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46003</v>
      </c>
      <c r="E386" s="1" t="n">
        <v>46304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46007</v>
      </c>
      <c r="E387" s="1" t="n">
        <v>46304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46304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45469</v>
      </c>
      <c r="E389" s="1" t="n">
        <v>46304</v>
      </c>
      <c r="F389" t="inlineStr">
        <is>
          <t>VÄRMLANDS LÄN</t>
        </is>
      </c>
      <c r="G389" t="inlineStr">
        <is>
          <t>HAGFORS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45435</v>
      </c>
      <c r="E390" s="1" t="n">
        <v>46304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45148</v>
      </c>
      <c r="E391" s="1" t="n">
        <v>46304</v>
      </c>
      <c r="F391" t="inlineStr">
        <is>
          <t>VÄRMLANDS LÄN</t>
        </is>
      </c>
      <c r="G391" t="inlineStr">
        <is>
          <t>HAGFORS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62168-2025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46006</v>
      </c>
      <c r="E392" s="1" t="n">
        <v>46304</v>
      </c>
      <c r="F392" t="inlineStr">
        <is>
          <t>VÄRMLANDS LÄN</t>
        </is>
      </c>
      <c r="G392" t="inlineStr">
        <is>
          <t>HAGFORS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46304</v>
      </c>
      <c r="F393" t="inlineStr">
        <is>
          <t>VÄRMLANDS LÄN</t>
        </is>
      </c>
      <c r="G393" t="inlineStr">
        <is>
          <t>HAGFORS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46304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29492-2024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45484</v>
      </c>
      <c r="E395" s="1" t="n">
        <v>46304</v>
      </c>
      <c r="F395" t="inlineStr">
        <is>
          <t>VÄRMLANDS LÄN</t>
        </is>
      </c>
      <c r="G395" t="inlineStr">
        <is>
          <t>HAGFORS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46304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8.4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45786</v>
      </c>
      <c r="E397" s="1" t="n">
        <v>46304</v>
      </c>
      <c r="F397" t="inlineStr">
        <is>
          <t>VÄRMLANDS LÄN</t>
        </is>
      </c>
      <c r="G397" t="inlineStr">
        <is>
          <t>HAGFORS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45791</v>
      </c>
      <c r="E398" s="1" t="n">
        <v>46304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46304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62749-2025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46304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59048-2022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44903</v>
      </c>
      <c r="E401" s="1" t="n">
        <v>46304</v>
      </c>
      <c r="F401" t="inlineStr">
        <is>
          <t>VÄRMLANDS LÄN</t>
        </is>
      </c>
      <c r="G401" t="inlineStr">
        <is>
          <t>HAGFORS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45328</v>
      </c>
      <c r="E402" s="1" t="n">
        <v>46304</v>
      </c>
      <c r="F402" t="inlineStr">
        <is>
          <t>VÄRMLANDS LÄN</t>
        </is>
      </c>
      <c r="G402" t="inlineStr">
        <is>
          <t>HAGFORS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46304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46304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63361-2025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46304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28571-2025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46304</v>
      </c>
      <c r="F406" t="inlineStr">
        <is>
          <t>VÄRMLANDS LÄN</t>
        </is>
      </c>
      <c r="G406" t="inlineStr">
        <is>
          <t>HAGFORS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45796</v>
      </c>
      <c r="E407" s="1" t="n">
        <v>46304</v>
      </c>
      <c r="F407" t="inlineStr">
        <is>
          <t>VÄRMLANDS LÄN</t>
        </is>
      </c>
      <c r="G407" t="inlineStr">
        <is>
          <t>HAGFORS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46304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59449-2024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46304</v>
      </c>
      <c r="F409" t="inlineStr">
        <is>
          <t>VÄRMLANDS LÄN</t>
        </is>
      </c>
      <c r="G409" t="inlineStr">
        <is>
          <t>HAGFORS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46304</v>
      </c>
      <c r="F410" t="inlineStr">
        <is>
          <t>VÄRMLANDS LÄN</t>
        </is>
      </c>
      <c r="G410" t="inlineStr">
        <is>
          <t>HAGFORS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21724-2025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46304</v>
      </c>
      <c r="F411" t="inlineStr">
        <is>
          <t>VÄRMLANDS LÄN</t>
        </is>
      </c>
      <c r="G411" t="inlineStr">
        <is>
          <t>HAGFORS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45057</v>
      </c>
      <c r="E412" s="1" t="n">
        <v>46304</v>
      </c>
      <c r="F412" t="inlineStr">
        <is>
          <t>VÄRMLANDS LÄN</t>
        </is>
      </c>
      <c r="G412" t="inlineStr">
        <is>
          <t>HAGFORS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46304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19554-2024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45429</v>
      </c>
      <c r="E414" s="1" t="n">
        <v>46304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46304</v>
      </c>
      <c r="F415" t="inlineStr">
        <is>
          <t>VÄRMLANDS LÄN</t>
        </is>
      </c>
      <c r="G415" t="inlineStr">
        <is>
          <t>HAGFORS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46020</v>
      </c>
      <c r="E416" s="1" t="n">
        <v>46304</v>
      </c>
      <c r="F416" t="inlineStr">
        <is>
          <t>VÄRMLANDS LÄN</t>
        </is>
      </c>
      <c r="G416" t="inlineStr">
        <is>
          <t>HAGFORS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45839</v>
      </c>
      <c r="E417" s="1" t="n">
        <v>46304</v>
      </c>
      <c r="F417" t="inlineStr">
        <is>
          <t>VÄRMLANDS LÄN</t>
        </is>
      </c>
      <c r="G417" t="inlineStr">
        <is>
          <t>HAGFORS</t>
        </is>
      </c>
      <c r="H417" t="inlineStr">
        <is>
          <t>Kyrkan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63764-2025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46018</v>
      </c>
      <c r="E418" s="1" t="n">
        <v>46304</v>
      </c>
      <c r="F418" t="inlineStr">
        <is>
          <t>VÄRMLANDS LÄN</t>
        </is>
      </c>
      <c r="G418" t="inlineStr">
        <is>
          <t>HAGFORS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63765-2025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46018</v>
      </c>
      <c r="E419" s="1" t="n">
        <v>46304</v>
      </c>
      <c r="F419" t="inlineStr">
        <is>
          <t>VÄRMLANDS LÄN</t>
        </is>
      </c>
      <c r="G419" t="inlineStr">
        <is>
          <t>HAGFORS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46304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45873</v>
      </c>
      <c r="E421" s="1" t="n">
        <v>46304</v>
      </c>
      <c r="F421" t="inlineStr">
        <is>
          <t>VÄRMLANDS LÄN</t>
        </is>
      </c>
      <c r="G421" t="inlineStr">
        <is>
          <t>HAGFORS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30710-2022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44763</v>
      </c>
      <c r="E422" s="1" t="n">
        <v>46304</v>
      </c>
      <c r="F422" t="inlineStr">
        <is>
          <t>VÄRMLANDS LÄN</t>
        </is>
      </c>
      <c r="G422" t="inlineStr">
        <is>
          <t>HAGFORS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45226</v>
      </c>
      <c r="E423" s="1" t="n">
        <v>46304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46304</v>
      </c>
      <c r="F424" t="inlineStr">
        <is>
          <t>VÄRMLANDS LÄN</t>
        </is>
      </c>
      <c r="G424" t="inlineStr">
        <is>
          <t>HAGFORS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28087-2024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45476</v>
      </c>
      <c r="E425" s="1" t="n">
        <v>46304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48807-2025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45937</v>
      </c>
      <c r="E426" s="1" t="n">
        <v>46304</v>
      </c>
      <c r="F426" t="inlineStr">
        <is>
          <t>VÄRMLANDS LÄN</t>
        </is>
      </c>
      <c r="G426" t="inlineStr">
        <is>
          <t>HAGFORS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45420</v>
      </c>
      <c r="E427" s="1" t="n">
        <v>46304</v>
      </c>
      <c r="F427" t="inlineStr">
        <is>
          <t>VÄRMLANDS LÄN</t>
        </is>
      </c>
      <c r="G427" t="inlineStr">
        <is>
          <t>HAGFORS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46030</v>
      </c>
      <c r="E428" s="1" t="n">
        <v>46304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10382-2025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45720</v>
      </c>
      <c r="E429" s="1" t="n">
        <v>46304</v>
      </c>
      <c r="F429" t="inlineStr">
        <is>
          <t>VÄRMLANDS LÄN</t>
        </is>
      </c>
      <c r="G429" t="inlineStr">
        <is>
          <t>HAGFORS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46304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46304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46304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46304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46304</v>
      </c>
      <c r="F434" t="inlineStr">
        <is>
          <t>VÄRMLANDS LÄN</t>
        </is>
      </c>
      <c r="G434" t="inlineStr">
        <is>
          <t>HAGFORS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45525</v>
      </c>
      <c r="E435" s="1" t="n">
        <v>46304</v>
      </c>
      <c r="F435" t="inlineStr">
        <is>
          <t>VÄRMLANDS LÄN</t>
        </is>
      </c>
      <c r="G435" t="inlineStr">
        <is>
          <t>HAGFORS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45847</v>
      </c>
      <c r="E436" s="1" t="n">
        <v>46304</v>
      </c>
      <c r="F436" t="inlineStr">
        <is>
          <t>VÄRMLANDS LÄN</t>
        </is>
      </c>
      <c r="G436" t="inlineStr">
        <is>
          <t>HAGFORS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68252-2021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46304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45533</v>
      </c>
      <c r="E438" s="1" t="n">
        <v>46304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65065-2023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45287</v>
      </c>
      <c r="E439" s="1" t="n">
        <v>46304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46304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53443-2024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46304</v>
      </c>
      <c r="F441" t="inlineStr">
        <is>
          <t>VÄRMLANDS LÄN</t>
        </is>
      </c>
      <c r="G441" t="inlineStr">
        <is>
          <t>HAGFORS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52923-2023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45226</v>
      </c>
      <c r="E442" s="1" t="n">
        <v>46304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19391-2025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45769</v>
      </c>
      <c r="E443" s="1" t="n">
        <v>46304</v>
      </c>
      <c r="F443" t="inlineStr">
        <is>
          <t>VÄRMLANDS LÄN</t>
        </is>
      </c>
      <c r="G443" t="inlineStr">
        <is>
          <t>HAGFORS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45765</v>
      </c>
      <c r="E444" s="1" t="n">
        <v>46304</v>
      </c>
      <c r="F444" t="inlineStr">
        <is>
          <t>VÄRMLANDS LÄN</t>
        </is>
      </c>
      <c r="G444" t="inlineStr">
        <is>
          <t>HAGFORS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44906-2024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45575</v>
      </c>
      <c r="E445" s="1" t="n">
        <v>46304</v>
      </c>
      <c r="F445" t="inlineStr">
        <is>
          <t>VÄRMLANDS LÄN</t>
        </is>
      </c>
      <c r="G445" t="inlineStr">
        <is>
          <t>HAGFORS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46304</v>
      </c>
      <c r="F446" t="inlineStr">
        <is>
          <t>VÄRMLANDS LÄN</t>
        </is>
      </c>
      <c r="G446" t="inlineStr">
        <is>
          <t>HAGFORS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46304</v>
      </c>
      <c r="F447" t="inlineStr">
        <is>
          <t>VÄRMLANDS LÄN</t>
        </is>
      </c>
      <c r="G447" t="inlineStr">
        <is>
          <t>HAGFORS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46304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8.300000000000001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46304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46304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46304</v>
      </c>
      <c r="F451" t="inlineStr">
        <is>
          <t>VÄRMLANDS LÄN</t>
        </is>
      </c>
      <c r="G451" t="inlineStr">
        <is>
          <t>HAGFORS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46304</v>
      </c>
      <c r="F452" t="inlineStr">
        <is>
          <t>VÄRMLANDS LÄN</t>
        </is>
      </c>
      <c r="G452" t="inlineStr">
        <is>
          <t>HAGFORS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46304</v>
      </c>
      <c r="F453" t="inlineStr">
        <is>
          <t>VÄRMLANDS LÄN</t>
        </is>
      </c>
      <c r="G453" t="inlineStr">
        <is>
          <t>HAGFORS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46304</v>
      </c>
      <c r="F454" t="inlineStr">
        <is>
          <t>VÄRMLANDS LÄN</t>
        </is>
      </c>
      <c r="G454" t="inlineStr">
        <is>
          <t>HAGFORS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56165-2024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45624</v>
      </c>
      <c r="E455" s="1" t="n">
        <v>46304</v>
      </c>
      <c r="F455" t="inlineStr">
        <is>
          <t>VÄRMLANDS LÄN</t>
        </is>
      </c>
      <c r="G455" t="inlineStr">
        <is>
          <t>HAGFORS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46304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46304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46304</v>
      </c>
      <c r="F458" t="inlineStr">
        <is>
          <t>VÄRMLANDS LÄN</t>
        </is>
      </c>
      <c r="G458" t="inlineStr">
        <is>
          <t>HAGFORS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46304</v>
      </c>
      <c r="F459" t="inlineStr">
        <is>
          <t>VÄRMLANDS LÄN</t>
        </is>
      </c>
      <c r="G459" t="inlineStr">
        <is>
          <t>HAGFORS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45741</v>
      </c>
      <c r="E460" s="1" t="n">
        <v>46304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46304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45475</v>
      </c>
      <c r="E462" s="1" t="n">
        <v>46304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36206-2024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46304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45534</v>
      </c>
      <c r="E464" s="1" t="n">
        <v>46304</v>
      </c>
      <c r="F464" t="inlineStr">
        <is>
          <t>VÄRMLANDS LÄN</t>
        </is>
      </c>
      <c r="G464" t="inlineStr">
        <is>
          <t>HAGFORS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46304</v>
      </c>
      <c r="F465" t="inlineStr">
        <is>
          <t>VÄRMLANDS LÄN</t>
        </is>
      </c>
      <c r="G465" t="inlineStr">
        <is>
          <t>HAGFORS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44582</v>
      </c>
      <c r="E466" s="1" t="n">
        <v>46304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45434</v>
      </c>
      <c r="E467" s="1" t="n">
        <v>46304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46304</v>
      </c>
      <c r="F468" t="inlineStr">
        <is>
          <t>VÄRMLANDS LÄN</t>
        </is>
      </c>
      <c r="G468" t="inlineStr">
        <is>
          <t>HAGFORS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45725</v>
      </c>
      <c r="E469" s="1" t="n">
        <v>46304</v>
      </c>
      <c r="F469" t="inlineStr">
        <is>
          <t>VÄRMLANDS LÄN</t>
        </is>
      </c>
      <c r="G469" t="inlineStr">
        <is>
          <t>HAGFORS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46304</v>
      </c>
      <c r="F470" t="inlineStr">
        <is>
          <t>VÄRMLANDS LÄN</t>
        </is>
      </c>
      <c r="G470" t="inlineStr">
        <is>
          <t>HAGFORS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46304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46304</v>
      </c>
      <c r="F472" t="inlineStr">
        <is>
          <t>VÄRMLANDS LÄN</t>
        </is>
      </c>
      <c r="G472" t="inlineStr">
        <is>
          <t>HAGFORS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45582</v>
      </c>
      <c r="E473" s="1" t="n">
        <v>46304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46304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44567</v>
      </c>
      <c r="E475" s="1" t="n">
        <v>46304</v>
      </c>
      <c r="F475" t="inlineStr">
        <is>
          <t>VÄRMLANDS LÄN</t>
        </is>
      </c>
      <c r="G475" t="inlineStr">
        <is>
          <t>HAGFORS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45526</v>
      </c>
      <c r="E476" s="1" t="n">
        <v>46304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45833</v>
      </c>
      <c r="E477" s="1" t="n">
        <v>46304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46304</v>
      </c>
      <c r="F478" t="inlineStr">
        <is>
          <t>VÄRMLANDS LÄN</t>
        </is>
      </c>
      <c r="G478" t="inlineStr">
        <is>
          <t>HAGFORS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45741</v>
      </c>
      <c r="E479" s="1" t="n">
        <v>46304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44883</v>
      </c>
      <c r="E480" s="1" t="n">
        <v>46304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46304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46304</v>
      </c>
      <c r="F482" t="inlineStr">
        <is>
          <t>VÄRMLANDS LÄN</t>
        </is>
      </c>
      <c r="G482" t="inlineStr">
        <is>
          <t>HAGFORS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45238-2024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45575</v>
      </c>
      <c r="E483" s="1" t="n">
        <v>46304</v>
      </c>
      <c r="F483" t="inlineStr">
        <is>
          <t>VÄRMLANDS LÄN</t>
        </is>
      </c>
      <c r="G483" t="inlineStr">
        <is>
          <t>HAGFORS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20752-2026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46141</v>
      </c>
      <c r="E484" s="1" t="n">
        <v>46304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46304</v>
      </c>
      <c r="F485" t="inlineStr">
        <is>
          <t>VÄRMLANDS LÄN</t>
        </is>
      </c>
      <c r="G485" t="inlineStr">
        <is>
          <t>HAGFORS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46304</v>
      </c>
      <c r="F486" t="inlineStr">
        <is>
          <t>VÄRMLANDS LÄN</t>
        </is>
      </c>
      <c r="G486" t="inlineStr">
        <is>
          <t>HAGFORS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37085-2023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45155</v>
      </c>
      <c r="E487" s="1" t="n">
        <v>46304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37463-2022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44809</v>
      </c>
      <c r="E488" s="1" t="n">
        <v>46304</v>
      </c>
      <c r="F488" t="inlineStr">
        <is>
          <t>VÄRMLANDS LÄN</t>
        </is>
      </c>
      <c r="G488" t="inlineStr">
        <is>
          <t>HAGFORS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45684</v>
      </c>
      <c r="E489" s="1" t="n">
        <v>46304</v>
      </c>
      <c r="F489" t="inlineStr">
        <is>
          <t>VÄRMLANDS LÄN</t>
        </is>
      </c>
      <c r="G489" t="inlineStr">
        <is>
          <t>HAGFORS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46304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46304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46304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46304</v>
      </c>
      <c r="F493" t="inlineStr">
        <is>
          <t>VÄRMLANDS LÄN</t>
        </is>
      </c>
      <c r="G493" t="inlineStr">
        <is>
          <t>HAGFORS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46304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46304</v>
      </c>
      <c r="F495" t="inlineStr">
        <is>
          <t>VÄRMLANDS LÄN</t>
        </is>
      </c>
      <c r="G495" t="inlineStr">
        <is>
          <t>HAGFORS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46304</v>
      </c>
      <c r="F496" t="inlineStr">
        <is>
          <t>VÄRMLANDS LÄN</t>
        </is>
      </c>
      <c r="G496" t="inlineStr">
        <is>
          <t>HAGFORS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20880-2026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46142</v>
      </c>
      <c r="E497" s="1" t="n">
        <v>46304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45562</v>
      </c>
      <c r="E498" s="1" t="n">
        <v>46304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46304</v>
      </c>
      <c r="F499" t="inlineStr">
        <is>
          <t>VÄRMLANDS LÄN</t>
        </is>
      </c>
      <c r="G499" t="inlineStr">
        <is>
          <t>HAGFORS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46304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25258-2023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45079</v>
      </c>
      <c r="E501" s="1" t="n">
        <v>46304</v>
      </c>
      <c r="F501" t="inlineStr">
        <is>
          <t>VÄRMLANDS LÄN</t>
        </is>
      </c>
      <c r="G501" t="inlineStr">
        <is>
          <t>HAGFORS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46304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21451-2024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45441</v>
      </c>
      <c r="E503" s="1" t="n">
        <v>46304</v>
      </c>
      <c r="F503" t="inlineStr">
        <is>
          <t>VÄRMLANDS LÄN</t>
        </is>
      </c>
      <c r="G503" t="inlineStr">
        <is>
          <t>HAGFORS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46304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46304</v>
      </c>
      <c r="F505" t="inlineStr">
        <is>
          <t>VÄRMLANDS LÄN</t>
        </is>
      </c>
      <c r="G505" t="inlineStr">
        <is>
          <t>HAGFORS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49766-2023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46304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46304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21762-2026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46150</v>
      </c>
      <c r="E508" s="1" t="n">
        <v>46304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47516-2023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45203</v>
      </c>
      <c r="E509" s="1" t="n">
        <v>46304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45506</v>
      </c>
      <c r="E510" s="1" t="n">
        <v>46304</v>
      </c>
      <c r="F510" t="inlineStr">
        <is>
          <t>VÄRMLANDS LÄN</t>
        </is>
      </c>
      <c r="G510" t="inlineStr">
        <is>
          <t>HAGFORS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21776-2026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46304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45351</v>
      </c>
      <c r="E512" s="1" t="n">
        <v>46304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10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46304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46304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46155</v>
      </c>
      <c r="E515" s="1" t="n">
        <v>46304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46304</v>
      </c>
      <c r="F516" t="inlineStr">
        <is>
          <t>VÄRMLANDS LÄN</t>
        </is>
      </c>
      <c r="G516" t="inlineStr">
        <is>
          <t>HAGFORS</t>
        </is>
      </c>
      <c r="H516" t="inlineStr">
        <is>
          <t>Kommuner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64936-2023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46304</v>
      </c>
      <c r="F517" t="inlineStr">
        <is>
          <t>VÄRMLANDS LÄN</t>
        </is>
      </c>
      <c r="G517" t="inlineStr">
        <is>
          <t>HAGFORS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46304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45684</v>
      </c>
      <c r="E519" s="1" t="n">
        <v>46304</v>
      </c>
      <c r="F519" t="inlineStr">
        <is>
          <t>VÄRMLANDS LÄN</t>
        </is>
      </c>
      <c r="G519" t="inlineStr">
        <is>
          <t>HAGFORS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45436</v>
      </c>
      <c r="E520" s="1" t="n">
        <v>46304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46304</v>
      </c>
      <c r="F521" t="inlineStr">
        <is>
          <t>VÄRMLANDS LÄN</t>
        </is>
      </c>
      <c r="G521" t="inlineStr">
        <is>
          <t>HAGFORS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46304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46304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44760</v>
      </c>
      <c r="E524" s="1" t="n">
        <v>46304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46160</v>
      </c>
      <c r="E525" s="1" t="n">
        <v>46304</v>
      </c>
      <c r="F525" t="inlineStr">
        <is>
          <t>VÄRMLANDS LÄN</t>
        </is>
      </c>
      <c r="G525" t="inlineStr">
        <is>
          <t>HAGFORS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46304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45050</v>
      </c>
      <c r="E527" s="1" t="n">
        <v>46304</v>
      </c>
      <c r="F527" t="inlineStr">
        <is>
          <t>VÄRMLANDS LÄN</t>
        </is>
      </c>
      <c r="G527" t="inlineStr">
        <is>
          <t>HAGFORS</t>
        </is>
      </c>
      <c r="H527" t="inlineStr">
        <is>
          <t>Kommuner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23016-2026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46304</v>
      </c>
      <c r="F528" t="inlineStr">
        <is>
          <t>VÄRMLANDS LÄN</t>
        </is>
      </c>
      <c r="G528" t="inlineStr">
        <is>
          <t>HAGFORS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46304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46304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44817</v>
      </c>
      <c r="E531" s="1" t="n">
        <v>46304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46304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45681</v>
      </c>
      <c r="E533" s="1" t="n">
        <v>46304</v>
      </c>
      <c r="F533" t="inlineStr">
        <is>
          <t>VÄRMLANDS LÄN</t>
        </is>
      </c>
      <c r="G533" t="inlineStr">
        <is>
          <t>HAGFORS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45502</v>
      </c>
      <c r="E534" s="1" t="n">
        <v>46304</v>
      </c>
      <c r="F534" t="inlineStr">
        <is>
          <t>VÄRMLANDS LÄN</t>
        </is>
      </c>
      <c r="G534" t="inlineStr">
        <is>
          <t>HAGFORS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15228-2024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45400</v>
      </c>
      <c r="E535" s="1" t="n">
        <v>46304</v>
      </c>
      <c r="F535" t="inlineStr">
        <is>
          <t>VÄRMLANDS LÄN</t>
        </is>
      </c>
      <c r="G535" t="inlineStr">
        <is>
          <t>HAGFORS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46304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45947</v>
      </c>
      <c r="E537" s="1" t="n">
        <v>46304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8.9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36494-2025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45869</v>
      </c>
      <c r="E538" s="1" t="n">
        <v>46304</v>
      </c>
      <c r="F538" t="inlineStr">
        <is>
          <t>VÄRMLANDS LÄN</t>
        </is>
      </c>
      <c r="G538" t="inlineStr">
        <is>
          <t>HAGFORS</t>
        </is>
      </c>
      <c r="H538" t="inlineStr">
        <is>
          <t>Kyrkan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23525-2026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46304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46304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34541-2024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45525</v>
      </c>
      <c r="E541" s="1" t="n">
        <v>46304</v>
      </c>
      <c r="F541" t="inlineStr">
        <is>
          <t>VÄRMLANDS LÄN</t>
        </is>
      </c>
      <c r="G541" t="inlineStr">
        <is>
          <t>HAGFORS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46304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23728-2026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46164</v>
      </c>
      <c r="E543" s="1" t="n">
        <v>46304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46164</v>
      </c>
      <c r="E544" s="1" t="n">
        <v>46304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30635-2025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45831</v>
      </c>
      <c r="E545" s="1" t="n">
        <v>46304</v>
      </c>
      <c r="F545" t="inlineStr">
        <is>
          <t>VÄRMLANDS LÄN</t>
        </is>
      </c>
      <c r="G545" t="inlineStr">
        <is>
          <t>HAGFORS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46304</v>
      </c>
      <c r="F546" t="inlineStr">
        <is>
          <t>VÄRMLANDS LÄN</t>
        </is>
      </c>
      <c r="G546" t="inlineStr">
        <is>
          <t>HAGFORS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46304</v>
      </c>
      <c r="F547" t="inlineStr">
        <is>
          <t>VÄRMLANDS LÄN</t>
        </is>
      </c>
      <c r="G547" t="inlineStr">
        <is>
          <t>HAGFORS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46304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46304</v>
      </c>
      <c r="F549" t="inlineStr">
        <is>
          <t>VÄRMLANDS LÄN</t>
        </is>
      </c>
      <c r="G549" t="inlineStr">
        <is>
          <t>HAGFORS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58808-2022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44903</v>
      </c>
      <c r="E550" s="1" t="n">
        <v>46304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20652-2022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44700</v>
      </c>
      <c r="E551" s="1" t="n">
        <v>46304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45420</v>
      </c>
      <c r="E552" s="1" t="n">
        <v>46304</v>
      </c>
      <c r="F552" t="inlineStr">
        <is>
          <t>VÄRMLANDS LÄN</t>
        </is>
      </c>
      <c r="G552" t="inlineStr">
        <is>
          <t>HAGFORS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24625-2026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46171</v>
      </c>
      <c r="E553" s="1" t="n">
        <v>46304</v>
      </c>
      <c r="F553" t="inlineStr">
        <is>
          <t>VÄRMLANDS LÄN</t>
        </is>
      </c>
      <c r="G553" t="inlineStr">
        <is>
          <t>HAGFORS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45632</v>
      </c>
      <c r="E554" s="1" t="n">
        <v>46304</v>
      </c>
      <c r="F554" t="inlineStr">
        <is>
          <t>VÄRMLANDS LÄN</t>
        </is>
      </c>
      <c r="G554" t="inlineStr">
        <is>
          <t>HAGFORS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46304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45679</v>
      </c>
      <c r="E556" s="1" t="n">
        <v>46304</v>
      </c>
      <c r="F556" t="inlineStr">
        <is>
          <t>VÄRMLANDS LÄN</t>
        </is>
      </c>
      <c r="G556" t="inlineStr">
        <is>
          <t>HAGFORS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24677-2026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46304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24761-2026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46171</v>
      </c>
      <c r="E558" s="1" t="n">
        <v>46304</v>
      </c>
      <c r="F558" t="inlineStr">
        <is>
          <t>VÄRMLANDS LÄN</t>
        </is>
      </c>
      <c r="G558" t="inlineStr">
        <is>
          <t>HAGFORS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24628-2026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46171</v>
      </c>
      <c r="E559" s="1" t="n">
        <v>46304</v>
      </c>
      <c r="F559" t="inlineStr">
        <is>
          <t>VÄRMLANDS LÄN</t>
        </is>
      </c>
      <c r="G559" t="inlineStr">
        <is>
          <t>HAGFORS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46304</v>
      </c>
      <c r="F560" t="inlineStr">
        <is>
          <t>VÄRMLANDS LÄN</t>
        </is>
      </c>
      <c r="G560" t="inlineStr">
        <is>
          <t>HAGFORS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24699-2026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46171</v>
      </c>
      <c r="E561" s="1" t="n">
        <v>46304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14897-2024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45398</v>
      </c>
      <c r="E562" s="1" t="n">
        <v>46304</v>
      </c>
      <c r="F562" t="inlineStr">
        <is>
          <t>VÄRMLANDS LÄN</t>
        </is>
      </c>
      <c r="G562" t="inlineStr">
        <is>
          <t>HAGFORS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46171</v>
      </c>
      <c r="E563" s="1" t="n">
        <v>46304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46171</v>
      </c>
      <c r="E564" s="1" t="n">
        <v>46304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25276-2026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46304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46304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46304</v>
      </c>
      <c r="F567" t="inlineStr">
        <is>
          <t>VÄRMLANDS LÄN</t>
        </is>
      </c>
      <c r="G567" t="inlineStr">
        <is>
          <t>HAGFORS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56808-2023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45244</v>
      </c>
      <c r="E568" s="1" t="n">
        <v>46304</v>
      </c>
      <c r="F568" t="inlineStr">
        <is>
          <t>VÄRMLANDS LÄN</t>
        </is>
      </c>
      <c r="G568" t="inlineStr">
        <is>
          <t>HAGFORS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44596</v>
      </c>
      <c r="E569" s="1" t="n">
        <v>46304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46304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46304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46304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46304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46304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45054</v>
      </c>
      <c r="E575" s="1" t="n">
        <v>46304</v>
      </c>
      <c r="F575" t="inlineStr">
        <is>
          <t>VÄRMLANDS LÄN</t>
        </is>
      </c>
      <c r="G575" t="inlineStr">
        <is>
          <t>HAGFORS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46304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46304</v>
      </c>
      <c r="F577" t="inlineStr">
        <is>
          <t>VÄRMLANDS LÄN</t>
        </is>
      </c>
      <c r="G577" t="inlineStr">
        <is>
          <t>HAGFORS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45212</v>
      </c>
      <c r="E578" s="1" t="n">
        <v>46304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46304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26740-2026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46304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60991-2024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45645</v>
      </c>
      <c r="E581" s="1" t="n">
        <v>46304</v>
      </c>
      <c r="F581" t="inlineStr">
        <is>
          <t>VÄRMLANDS LÄN</t>
        </is>
      </c>
      <c r="G581" t="inlineStr">
        <is>
          <t>HAGFORS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46304</v>
      </c>
      <c r="F582" t="inlineStr">
        <is>
          <t>VÄRMLANDS LÄN</t>
        </is>
      </c>
      <c r="G582" t="inlineStr">
        <is>
          <t>HAGFORS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8304-2022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44610</v>
      </c>
      <c r="E583" s="1" t="n">
        <v>46304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46304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46304</v>
      </c>
      <c r="F585" t="inlineStr">
        <is>
          <t>VÄRMLANDS LÄN</t>
        </is>
      </c>
      <c r="G585" t="inlineStr">
        <is>
          <t>HAGFORS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46188</v>
      </c>
      <c r="E586" s="1" t="n">
        <v>46304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46304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46304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27306-2026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46304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46304</v>
      </c>
      <c r="F590" t="inlineStr">
        <is>
          <t>VÄRMLANDS LÄN</t>
        </is>
      </c>
      <c r="G590" t="inlineStr">
        <is>
          <t>HAGFORS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44950</v>
      </c>
      <c r="E591" s="1" t="n">
        <v>46304</v>
      </c>
      <c r="F591" t="inlineStr">
        <is>
          <t>VÄRMLANDS LÄN</t>
        </is>
      </c>
      <c r="G591" t="inlineStr">
        <is>
          <t>HAGFORS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46304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46304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46304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18.2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46304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33146-2024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45518</v>
      </c>
      <c r="E596" s="1" t="n">
        <v>46304</v>
      </c>
      <c r="F596" t="inlineStr">
        <is>
          <t>VÄRMLANDS LÄN</t>
        </is>
      </c>
      <c r="G596" t="inlineStr">
        <is>
          <t>HAGFORS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42223-2022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44830</v>
      </c>
      <c r="E597" s="1" t="n">
        <v>46304</v>
      </c>
      <c r="F597" t="inlineStr">
        <is>
          <t>VÄRMLANDS LÄN</t>
        </is>
      </c>
      <c r="G597" t="inlineStr">
        <is>
          <t>HAGFORS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46304</v>
      </c>
      <c r="F598" t="inlineStr">
        <is>
          <t>VÄRMLANDS LÄN</t>
        </is>
      </c>
      <c r="G598" t="inlineStr">
        <is>
          <t>HAGFORS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45428</v>
      </c>
      <c r="E599" s="1" t="n">
        <v>46304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19.5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46189</v>
      </c>
      <c r="E600" s="1" t="n">
        <v>46304</v>
      </c>
      <c r="F600" t="inlineStr">
        <is>
          <t>VÄRMLANDS LÄN</t>
        </is>
      </c>
      <c r="G600" t="inlineStr">
        <is>
          <t>HAGFORS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27929-2026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46304</v>
      </c>
      <c r="F601" t="inlineStr">
        <is>
          <t>VÄRMLANDS LÄN</t>
        </is>
      </c>
      <c r="G601" t="inlineStr">
        <is>
          <t>HAGFORS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46191</v>
      </c>
      <c r="E602" s="1" t="n">
        <v>46304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11241-2024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45371</v>
      </c>
      <c r="E603" s="1" t="n">
        <v>46304</v>
      </c>
      <c r="F603" t="inlineStr">
        <is>
          <t>VÄRMLANDS LÄN</t>
        </is>
      </c>
      <c r="G603" t="inlineStr">
        <is>
          <t>HAGFORS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46304</v>
      </c>
      <c r="F604" t="inlineStr">
        <is>
          <t>VÄRMLANDS LÄN</t>
        </is>
      </c>
      <c r="G604" t="inlineStr">
        <is>
          <t>HAGFORS</t>
        </is>
      </c>
      <c r="H604" t="inlineStr">
        <is>
          <t>Kyrkan</t>
        </is>
      </c>
      <c r="I604" t="n">
        <v>7.9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28185-2026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46304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45201</v>
      </c>
      <c r="E606" s="1" t="n">
        <v>46304</v>
      </c>
      <c r="F606" t="inlineStr">
        <is>
          <t>VÄRMLANDS LÄN</t>
        </is>
      </c>
      <c r="G606" t="inlineStr">
        <is>
          <t>HAGFORS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46304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60664-2023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45259</v>
      </c>
      <c r="E608" s="1" t="n">
        <v>46304</v>
      </c>
      <c r="F608" t="inlineStr">
        <is>
          <t>VÄRMLANDS LÄN</t>
        </is>
      </c>
      <c r="G608" t="inlineStr">
        <is>
          <t>HAGFORS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46304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35775-2024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45532</v>
      </c>
      <c r="E610" s="1" t="n">
        <v>46304</v>
      </c>
      <c r="F610" t="inlineStr">
        <is>
          <t>VÄRMLANDS LÄN</t>
        </is>
      </c>
      <c r="G610" t="inlineStr">
        <is>
          <t>HAGFORS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46304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28625-2026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46304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46200</v>
      </c>
      <c r="E613" s="1" t="n">
        <v>46304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46200</v>
      </c>
      <c r="E614" s="1" t="n">
        <v>46304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27855-2026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46191</v>
      </c>
      <c r="E615" s="1" t="n">
        <v>46304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50929-2023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46304</v>
      </c>
      <c r="F616" t="inlineStr">
        <is>
          <t>VÄRMLANDS LÄN</t>
        </is>
      </c>
      <c r="G616" t="inlineStr">
        <is>
          <t>HAGFORS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57359-2022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44896</v>
      </c>
      <c r="E617" s="1" t="n">
        <v>46304</v>
      </c>
      <c r="F617" t="inlineStr">
        <is>
          <t>VÄRMLANDS LÄN</t>
        </is>
      </c>
      <c r="G617" t="inlineStr">
        <is>
          <t>HAGFORS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41092-2024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45559</v>
      </c>
      <c r="E618" s="1" t="n">
        <v>46304</v>
      </c>
      <c r="F618" t="inlineStr">
        <is>
          <t>VÄRMLANDS LÄN</t>
        </is>
      </c>
      <c r="G618" t="inlineStr">
        <is>
          <t>HAGFORS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46304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29422-2026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46304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46304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46304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46304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46304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46304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46304</v>
      </c>
      <c r="F626" t="inlineStr">
        <is>
          <t>VÄRMLANDS LÄN</t>
        </is>
      </c>
      <c r="G626" t="inlineStr">
        <is>
          <t>HAGFORS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19702-2022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44694</v>
      </c>
      <c r="E627" s="1" t="n">
        <v>46304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46304</v>
      </c>
      <c r="F628" t="inlineStr">
        <is>
          <t>VÄRMLANDS LÄN</t>
        </is>
      </c>
      <c r="G628" t="inlineStr">
        <is>
          <t>HAGFORS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29950-2026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46205</v>
      </c>
      <c r="E629" s="1" t="n">
        <v>46304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7.4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46304</v>
      </c>
      <c r="F630" t="inlineStr">
        <is>
          <t>VÄRMLANDS LÄN</t>
        </is>
      </c>
      <c r="G630" t="inlineStr">
        <is>
          <t>HAGFORS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22503-2024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45447</v>
      </c>
      <c r="E631" s="1" t="n">
        <v>46304</v>
      </c>
      <c r="F631" t="inlineStr">
        <is>
          <t>VÄRMLANDS LÄN</t>
        </is>
      </c>
      <c r="G631" t="inlineStr">
        <is>
          <t>HAGFORS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4279-2024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45324</v>
      </c>
      <c r="E632" s="1" t="n">
        <v>46304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44571</v>
      </c>
      <c r="E633" s="1" t="n">
        <v>46304</v>
      </c>
      <c r="F633" t="inlineStr">
        <is>
          <t>VÄRMLANDS LÄN</t>
        </is>
      </c>
      <c r="G633" t="inlineStr">
        <is>
          <t>HAGFORS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22332-2024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45446</v>
      </c>
      <c r="E634" s="1" t="n">
        <v>46304</v>
      </c>
      <c r="F634" t="inlineStr">
        <is>
          <t>VÄRMLANDS LÄN</t>
        </is>
      </c>
      <c r="G634" t="inlineStr">
        <is>
          <t>HAGFORS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46304</v>
      </c>
      <c r="F635" t="inlineStr">
        <is>
          <t>VÄRMLANDS LÄN</t>
        </is>
      </c>
      <c r="G635" t="inlineStr">
        <is>
          <t>HAGFORS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12426-2024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45379</v>
      </c>
      <c r="E636" s="1" t="n">
        <v>46304</v>
      </c>
      <c r="F636" t="inlineStr">
        <is>
          <t>VÄRMLANDS LÄN</t>
        </is>
      </c>
      <c r="G636" t="inlineStr">
        <is>
          <t>HAGFORS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8922-2025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45713</v>
      </c>
      <c r="E637" s="1" t="n">
        <v>46304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46304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30437-2026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46209</v>
      </c>
      <c r="E639" s="1" t="n">
        <v>46304</v>
      </c>
      <c r="F639" t="inlineStr">
        <is>
          <t>VÄRMLANDS LÄN</t>
        </is>
      </c>
      <c r="G639" t="inlineStr">
        <is>
          <t>HAGFORS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46304</v>
      </c>
      <c r="F640" t="inlineStr">
        <is>
          <t>VÄRMLANDS LÄN</t>
        </is>
      </c>
      <c r="G640" t="inlineStr">
        <is>
          <t>HAGFORS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17882-2025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45758</v>
      </c>
      <c r="E641" s="1" t="n">
        <v>46304</v>
      </c>
      <c r="F641" t="inlineStr">
        <is>
          <t>VÄRMLANDS LÄN</t>
        </is>
      </c>
      <c r="G641" t="inlineStr">
        <is>
          <t>HAGFORS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45703</v>
      </c>
      <c r="E642" s="1" t="n">
        <v>46304</v>
      </c>
      <c r="F642" t="inlineStr">
        <is>
          <t>VÄRMLANDS LÄN</t>
        </is>
      </c>
      <c r="G642" t="inlineStr">
        <is>
          <t>HAGFORS</t>
        </is>
      </c>
      <c r="H642" t="inlineStr">
        <is>
          <t>Kyrkan</t>
        </is>
      </c>
      <c r="I642" t="n">
        <v>15.9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17329-2024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45414</v>
      </c>
      <c r="E643" s="1" t="n">
        <v>46304</v>
      </c>
      <c r="F643" t="inlineStr">
        <is>
          <t>VÄRMLANDS LÄN</t>
        </is>
      </c>
      <c r="G643" t="inlineStr">
        <is>
          <t>HAGFORS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3980-2025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45684</v>
      </c>
      <c r="E644" s="1" t="n">
        <v>46304</v>
      </c>
      <c r="F644" t="inlineStr">
        <is>
          <t>VÄRMLANDS LÄN</t>
        </is>
      </c>
      <c r="G644" t="inlineStr">
        <is>
          <t>HAGFORS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46304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52924-2023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45226</v>
      </c>
      <c r="E646" s="1" t="n">
        <v>46304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46213</v>
      </c>
      <c r="E647" s="1" t="n">
        <v>46304</v>
      </c>
      <c r="F647" t="inlineStr">
        <is>
          <t>VÄRMLANDS LÄN</t>
        </is>
      </c>
      <c r="G647" t="inlineStr">
        <is>
          <t>HAGFORS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45671</v>
      </c>
      <c r="E648" s="1" t="n">
        <v>46304</v>
      </c>
      <c r="F648" t="inlineStr">
        <is>
          <t>VÄRMLANDS LÄN</t>
        </is>
      </c>
      <c r="G648" t="inlineStr">
        <is>
          <t>HAGFORS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48276-2024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45590</v>
      </c>
      <c r="E649" s="1" t="n">
        <v>46304</v>
      </c>
      <c r="F649" t="inlineStr">
        <is>
          <t>VÄRMLANDS LÄN</t>
        </is>
      </c>
      <c r="G649" t="inlineStr">
        <is>
          <t>HAGFORS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44883</v>
      </c>
      <c r="E650" s="1" t="n">
        <v>46304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32149-2023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46304</v>
      </c>
      <c r="F651" t="inlineStr">
        <is>
          <t>VÄRMLANDS LÄN</t>
        </is>
      </c>
      <c r="G651" t="inlineStr">
        <is>
          <t>HAGFORS</t>
        </is>
      </c>
      <c r="I651" t="n">
        <v>9.1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52494-2024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46304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5338-2025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45692</v>
      </c>
      <c r="E653" s="1" t="n">
        <v>46304</v>
      </c>
      <c r="F653" t="inlineStr">
        <is>
          <t>VÄRMLANDS LÄN</t>
        </is>
      </c>
      <c r="G653" t="inlineStr">
        <is>
          <t>HAGFORS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10562-2024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45366</v>
      </c>
      <c r="E654" s="1" t="n">
        <v>46304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7.1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44595</v>
      </c>
      <c r="E655" s="1" t="n">
        <v>46304</v>
      </c>
      <c r="F655" t="inlineStr">
        <is>
          <t>VÄRMLANDS LÄN</t>
        </is>
      </c>
      <c r="G655" t="inlineStr">
        <is>
          <t>HAGFORS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35781-2026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46265</v>
      </c>
      <c r="E656" s="1" t="n">
        <v>46304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46265</v>
      </c>
      <c r="E657" s="1" t="n">
        <v>46304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35574-2026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46304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60167-2023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45258</v>
      </c>
      <c r="E659" s="1" t="n">
        <v>46304</v>
      </c>
      <c r="F659" t="inlineStr">
        <is>
          <t>VÄRMLANDS LÄN</t>
        </is>
      </c>
      <c r="G659" t="inlineStr">
        <is>
          <t>HAGFORS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60178-2023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45258</v>
      </c>
      <c r="E660" s="1" t="n">
        <v>46304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4748-2024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45328</v>
      </c>
      <c r="E661" s="1" t="n">
        <v>46304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46267</v>
      </c>
      <c r="E662" s="1" t="n">
        <v>46304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16525-2023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45029</v>
      </c>
      <c r="E663" s="1" t="n">
        <v>46304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41603-2023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45175</v>
      </c>
      <c r="E664" s="1" t="n">
        <v>46304</v>
      </c>
      <c r="F664" t="inlineStr">
        <is>
          <t>VÄRMLANDS LÄN</t>
        </is>
      </c>
      <c r="G664" t="inlineStr">
        <is>
          <t>HAGFORS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11367-2025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45726</v>
      </c>
      <c r="E665" s="1" t="n">
        <v>46304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56895-2023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45244</v>
      </c>
      <c r="E666" s="1" t="n">
        <v>46304</v>
      </c>
      <c r="F666" t="inlineStr">
        <is>
          <t>VÄRMLANDS LÄN</t>
        </is>
      </c>
      <c r="G666" t="inlineStr">
        <is>
          <t>HAGFORS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46304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45673</v>
      </c>
      <c r="E668" s="1" t="n">
        <v>46304</v>
      </c>
      <c r="F668" t="inlineStr">
        <is>
          <t>VÄRMLANDS LÄN</t>
        </is>
      </c>
      <c r="G668" t="inlineStr">
        <is>
          <t>HAGFORS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36240-2026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46268</v>
      </c>
      <c r="E669" s="1" t="n">
        <v>46304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46268</v>
      </c>
      <c r="E670" s="1" t="n">
        <v>46304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46304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42150-2024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45562</v>
      </c>
      <c r="E672" s="1" t="n">
        <v>46304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46226</v>
      </c>
      <c r="E673" s="1" t="n">
        <v>46304</v>
      </c>
      <c r="F673" t="inlineStr">
        <is>
          <t>VÄRMLANDS LÄN</t>
        </is>
      </c>
      <c r="G673" t="inlineStr">
        <is>
          <t>HAGFORS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46304</v>
      </c>
      <c r="F674" t="inlineStr">
        <is>
          <t>VÄRMLANDS LÄN</t>
        </is>
      </c>
      <c r="G674" t="inlineStr">
        <is>
          <t>HAGFORS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40835-2023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45172</v>
      </c>
      <c r="E675" s="1" t="n">
        <v>46304</v>
      </c>
      <c r="F675" t="inlineStr">
        <is>
          <t>VÄRMLANDS LÄN</t>
        </is>
      </c>
      <c r="G675" t="inlineStr">
        <is>
          <t>HAGFORS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46225</v>
      </c>
      <c r="E676" s="1" t="n">
        <v>46304</v>
      </c>
      <c r="F676" t="inlineStr">
        <is>
          <t>VÄRMLANDS LÄN</t>
        </is>
      </c>
      <c r="G676" t="inlineStr">
        <is>
          <t>HAGFORS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47028-2023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45201</v>
      </c>
      <c r="E677" s="1" t="n">
        <v>46304</v>
      </c>
      <c r="F677" t="inlineStr">
        <is>
          <t>VÄRMLANDS LÄN</t>
        </is>
      </c>
      <c r="G677" t="inlineStr">
        <is>
          <t>HAGFORS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30520-2024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45492</v>
      </c>
      <c r="E678" s="1" t="n">
        <v>46304</v>
      </c>
      <c r="F678" t="inlineStr">
        <is>
          <t>VÄRMLANDS LÄN</t>
        </is>
      </c>
      <c r="G678" t="inlineStr">
        <is>
          <t>HAGFORS</t>
        </is>
      </c>
      <c r="H678" t="inlineStr">
        <is>
          <t>Kyrkan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36446-2026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46269</v>
      </c>
      <c r="E679" s="1" t="n">
        <v>46304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33399-2024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45519</v>
      </c>
      <c r="E680" s="1" t="n">
        <v>46304</v>
      </c>
      <c r="F680" t="inlineStr">
        <is>
          <t>VÄRMLANDS LÄN</t>
        </is>
      </c>
      <c r="G680" t="inlineStr">
        <is>
          <t>HAGFORS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10236-2022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44622</v>
      </c>
      <c r="E681" s="1" t="n">
        <v>46304</v>
      </c>
      <c r="F681" t="inlineStr">
        <is>
          <t>VÄRMLANDS LÄN</t>
        </is>
      </c>
      <c r="G681" t="inlineStr">
        <is>
          <t>HAGFORS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36642-2026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46304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46304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46792-2022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44851</v>
      </c>
      <c r="E684" s="1" t="n">
        <v>46304</v>
      </c>
      <c r="F684" t="inlineStr">
        <is>
          <t>VÄRMLANDS LÄN</t>
        </is>
      </c>
      <c r="G684" t="inlineStr">
        <is>
          <t>HAGFORS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45510</v>
      </c>
      <c r="E685" s="1" t="n">
        <v>46304</v>
      </c>
      <c r="F685" t="inlineStr">
        <is>
          <t>VÄRMLANDS LÄN</t>
        </is>
      </c>
      <c r="G685" t="inlineStr">
        <is>
          <t>HAGFORS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36676-2026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46272</v>
      </c>
      <c r="E686" s="1" t="n">
        <v>46304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46272</v>
      </c>
      <c r="E687" s="1" t="n">
        <v>46304</v>
      </c>
      <c r="F687" t="inlineStr">
        <is>
          <t>VÄRMLANDS LÄN</t>
        </is>
      </c>
      <c r="G687" t="inlineStr">
        <is>
          <t>HAGFORS</t>
        </is>
      </c>
      <c r="H687" t="inlineStr">
        <is>
          <t>Kyrkan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54744-2024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45618</v>
      </c>
      <c r="E688" s="1" t="n">
        <v>46304</v>
      </c>
      <c r="F688" t="inlineStr">
        <is>
          <t>VÄRMLANDS LÄN</t>
        </is>
      </c>
      <c r="G688" t="inlineStr">
        <is>
          <t>HAGFORS</t>
        </is>
      </c>
      <c r="H688" t="inlineStr">
        <is>
          <t>Kyrkan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39640-2022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44817</v>
      </c>
      <c r="E689" s="1" t="n">
        <v>46304</v>
      </c>
      <c r="F689" t="inlineStr">
        <is>
          <t>VÄRMLANDS LÄN</t>
        </is>
      </c>
      <c r="G689" t="inlineStr">
        <is>
          <t>HAGFORS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1931-2024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45308</v>
      </c>
      <c r="E690" s="1" t="n">
        <v>46304</v>
      </c>
      <c r="F690" t="inlineStr">
        <is>
          <t>VÄRMLANDS LÄN</t>
        </is>
      </c>
      <c r="G690" t="inlineStr">
        <is>
          <t>HAGFORS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57159-2024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45629</v>
      </c>
      <c r="E691" s="1" t="n">
        <v>46304</v>
      </c>
      <c r="F691" t="inlineStr">
        <is>
          <t>VÄRMLANDS LÄN</t>
        </is>
      </c>
      <c r="G691" t="inlineStr">
        <is>
          <t>HAGFORS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36221-2026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46268</v>
      </c>
      <c r="E692" s="1" t="n">
        <v>46304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46269</v>
      </c>
      <c r="E693" s="1" t="n">
        <v>46304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36447-2026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46269</v>
      </c>
      <c r="E694" s="1" t="n">
        <v>46304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45132</v>
      </c>
      <c r="E695" s="1" t="n">
        <v>46304</v>
      </c>
      <c r="F695" t="inlineStr">
        <is>
          <t>VÄRMLANDS LÄN</t>
        </is>
      </c>
      <c r="G695" t="inlineStr">
        <is>
          <t>HAGFORS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11160-2025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45723</v>
      </c>
      <c r="E696" s="1" t="n">
        <v>46304</v>
      </c>
      <c r="F696" t="inlineStr">
        <is>
          <t>VÄRMLANDS LÄN</t>
        </is>
      </c>
      <c r="G696" t="inlineStr">
        <is>
          <t>HAGFORS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43998-2024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45572</v>
      </c>
      <c r="E697" s="1" t="n">
        <v>46304</v>
      </c>
      <c r="F697" t="inlineStr">
        <is>
          <t>VÄRMLANDS LÄN</t>
        </is>
      </c>
      <c r="G697" t="inlineStr">
        <is>
          <t>HAGFORS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45386</v>
      </c>
      <c r="E698" s="1" t="n">
        <v>46304</v>
      </c>
      <c r="F698" t="inlineStr">
        <is>
          <t>VÄRMLANDS LÄN</t>
        </is>
      </c>
      <c r="G698" t="inlineStr">
        <is>
          <t>HAGFORS</t>
        </is>
      </c>
      <c r="H698" t="inlineStr">
        <is>
          <t>Kommuner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37497-2026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46304</v>
      </c>
      <c r="F699" t="inlineStr">
        <is>
          <t>VÄRMLANDS LÄN</t>
        </is>
      </c>
      <c r="G699" t="inlineStr">
        <is>
          <t>HAGFORS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46304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46274</v>
      </c>
      <c r="E701" s="1" t="n">
        <v>46304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8.699999999999999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44728-2023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45190</v>
      </c>
      <c r="E702" s="1" t="n">
        <v>46304</v>
      </c>
      <c r="F702" t="inlineStr">
        <is>
          <t>VÄRMLANDS LÄN</t>
        </is>
      </c>
      <c r="G702" t="inlineStr">
        <is>
          <t>HAGFORS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37389-2026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46304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37269-2026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46274</v>
      </c>
      <c r="E704" s="1" t="n">
        <v>46304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42168-2024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45562</v>
      </c>
      <c r="E705" s="1" t="n">
        <v>46304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42170-2024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45562</v>
      </c>
      <c r="E706" s="1" t="n">
        <v>46304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42171-2024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45562</v>
      </c>
      <c r="E707" s="1" t="n">
        <v>46304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42243-2024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45562</v>
      </c>
      <c r="E708" s="1" t="n">
        <v>46304</v>
      </c>
      <c r="F708" t="inlineStr">
        <is>
          <t>VÄRMLANDS LÄN</t>
        </is>
      </c>
      <c r="G708" t="inlineStr">
        <is>
          <t>HAGFORS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6980-2022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44603</v>
      </c>
      <c r="E709" s="1" t="n">
        <v>46304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36110-2026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46267</v>
      </c>
      <c r="E710" s="1" t="n">
        <v>46304</v>
      </c>
      <c r="F710" t="inlineStr">
        <is>
          <t>VÄRMLANDS LÄN</t>
        </is>
      </c>
      <c r="G710" t="inlineStr">
        <is>
          <t>HAGFORS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37399-2026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46275</v>
      </c>
      <c r="E711" s="1" t="n">
        <v>46304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36013-2023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45149</v>
      </c>
      <c r="E712" s="1" t="n">
        <v>46304</v>
      </c>
      <c r="F712" t="inlineStr">
        <is>
          <t>VÄRMLANDS LÄN</t>
        </is>
      </c>
      <c r="G712" t="inlineStr">
        <is>
          <t>HAGFORS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61311-2023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45264</v>
      </c>
      <c r="E713" s="1" t="n">
        <v>46304</v>
      </c>
      <c r="F713" t="inlineStr">
        <is>
          <t>VÄRMLANDS LÄN</t>
        </is>
      </c>
      <c r="G713" t="inlineStr">
        <is>
          <t>HAGFORS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61315-2023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45264</v>
      </c>
      <c r="E714" s="1" t="n">
        <v>46304</v>
      </c>
      <c r="F714" t="inlineStr">
        <is>
          <t>VÄRMLANDS LÄN</t>
        </is>
      </c>
      <c r="G714" t="inlineStr">
        <is>
          <t>HAGFORS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46304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18907-2025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46304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32036-2026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46304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46304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46279</v>
      </c>
      <c r="E719" s="1" t="n">
        <v>46304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17305-2023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45035</v>
      </c>
      <c r="E720" s="1" t="n">
        <v>46304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31178-2022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44770</v>
      </c>
      <c r="E721" s="1" t="n">
        <v>46304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38050-2026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46280</v>
      </c>
      <c r="E722" s="1" t="n">
        <v>46304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46280</v>
      </c>
      <c r="E723" s="1" t="n">
        <v>46304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59552-2024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45638</v>
      </c>
      <c r="E724" s="1" t="n">
        <v>46304</v>
      </c>
      <c r="F724" t="inlineStr">
        <is>
          <t>VÄRMLANDS LÄN</t>
        </is>
      </c>
      <c r="G724" t="inlineStr">
        <is>
          <t>HAGFORS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37963-2026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46280</v>
      </c>
      <c r="E725" s="1" t="n">
        <v>46304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21067-2025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45777</v>
      </c>
      <c r="E726" s="1" t="n">
        <v>46304</v>
      </c>
      <c r="F726" t="inlineStr">
        <is>
          <t>VÄRMLANDS LÄN</t>
        </is>
      </c>
      <c r="G726" t="inlineStr">
        <is>
          <t>HAGFORS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46280</v>
      </c>
      <c r="E727" s="1" t="n">
        <v>46304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37924-2026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46280</v>
      </c>
      <c r="E728" s="1" t="n">
        <v>46304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8.5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46280</v>
      </c>
      <c r="E729" s="1" t="n">
        <v>46304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46280</v>
      </c>
      <c r="E730" s="1" t="n">
        <v>46304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38244-2026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46281</v>
      </c>
      <c r="E731" s="1" t="n">
        <v>46304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21723-2025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45783</v>
      </c>
      <c r="E732" s="1" t="n">
        <v>46304</v>
      </c>
      <c r="F732" t="inlineStr">
        <is>
          <t>VÄRMLANDS LÄN</t>
        </is>
      </c>
      <c r="G732" t="inlineStr">
        <is>
          <t>HAGFORS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24680-2024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45460</v>
      </c>
      <c r="E733" s="1" t="n">
        <v>46304</v>
      </c>
      <c r="F733" t="inlineStr">
        <is>
          <t>VÄRMLANDS LÄN</t>
        </is>
      </c>
      <c r="G733" t="inlineStr">
        <is>
          <t>HAGFORS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17833-2022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44683</v>
      </c>
      <c r="E734" s="1" t="n">
        <v>46304</v>
      </c>
      <c r="F734" t="inlineStr">
        <is>
          <t>VÄRMLANDS LÄN</t>
        </is>
      </c>
      <c r="G734" t="inlineStr">
        <is>
          <t>HAGFORS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46282</v>
      </c>
      <c r="E735" s="1" t="n">
        <v>46304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38573-2026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46283</v>
      </c>
      <c r="E736" s="1" t="n">
        <v>46304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47425-2024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45587</v>
      </c>
      <c r="E737" s="1" t="n">
        <v>46304</v>
      </c>
      <c r="F737" t="inlineStr">
        <is>
          <t>VÄRMLANDS LÄN</t>
        </is>
      </c>
      <c r="G737" t="inlineStr">
        <is>
          <t>HAGFORS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38404-2026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46282</v>
      </c>
      <c r="E738" s="1" t="n">
        <v>46304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46283</v>
      </c>
      <c r="E739" s="1" t="n">
        <v>46304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6.1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46304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40332-2023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45169</v>
      </c>
      <c r="E741" s="1" t="n">
        <v>46304</v>
      </c>
      <c r="F741" t="inlineStr">
        <is>
          <t>VÄRMLANDS LÄN</t>
        </is>
      </c>
      <c r="G741" t="inlineStr">
        <is>
          <t>HAGFORS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46282</v>
      </c>
      <c r="E742" s="1" t="n">
        <v>46304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46239</v>
      </c>
      <c r="E743" s="1" t="n">
        <v>46304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32490-2026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46239</v>
      </c>
      <c r="E744" s="1" t="n">
        <v>46304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19.3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38645-2026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46283</v>
      </c>
      <c r="E745" s="1" t="n">
        <v>46304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18.6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32535-2026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46239</v>
      </c>
      <c r="E746" s="1" t="n">
        <v>46304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22799-2025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45789</v>
      </c>
      <c r="E747" s="1" t="n">
        <v>46304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38342-2026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46282</v>
      </c>
      <c r="E748" s="1" t="n">
        <v>46304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46282</v>
      </c>
      <c r="E749" s="1" t="n">
        <v>46304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46282</v>
      </c>
      <c r="E750" s="1" t="n">
        <v>46304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39070-2026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46304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22461-2025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45786</v>
      </c>
      <c r="E752" s="1" t="n">
        <v>46304</v>
      </c>
      <c r="F752" t="inlineStr">
        <is>
          <t>VÄRMLANDS LÄN</t>
        </is>
      </c>
      <c r="G752" t="inlineStr">
        <is>
          <t>HAGFORS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38951-2026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46286</v>
      </c>
      <c r="E753" s="1" t="n">
        <v>46304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39186-2026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46287</v>
      </c>
      <c r="E754" s="1" t="n">
        <v>46304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23268-2025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45791</v>
      </c>
      <c r="E755" s="1" t="n">
        <v>46304</v>
      </c>
      <c r="F755" t="inlineStr">
        <is>
          <t>VÄRMLANDS LÄN</t>
        </is>
      </c>
      <c r="G755" t="inlineStr">
        <is>
          <t>HAGFORS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22917-2025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45790</v>
      </c>
      <c r="E756" s="1" t="n">
        <v>46304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32712-2026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46241</v>
      </c>
      <c r="E757" s="1" t="n">
        <v>46304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46132</v>
      </c>
      <c r="E758" s="1" t="n">
        <v>46304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38239-2024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45545</v>
      </c>
      <c r="E759" s="1" t="n">
        <v>46304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46304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7.5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22964-2025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45790</v>
      </c>
      <c r="E761" s="1" t="n">
        <v>46304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39116-2026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46287</v>
      </c>
      <c r="E762" s="1" t="n">
        <v>46304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55950-2024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45623</v>
      </c>
      <c r="E763" s="1" t="n">
        <v>46304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23556-2025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45792</v>
      </c>
      <c r="E764" s="1" t="n">
        <v>46304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23525-2025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45792</v>
      </c>
      <c r="E765" s="1" t="n">
        <v>46304</v>
      </c>
      <c r="F765" t="inlineStr">
        <is>
          <t>VÄRMLANDS LÄN</t>
        </is>
      </c>
      <c r="G765" t="inlineStr">
        <is>
          <t>HAGFORS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23674-2025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45793</v>
      </c>
      <c r="E766" s="1" t="n">
        <v>46304</v>
      </c>
      <c r="F766" t="inlineStr">
        <is>
          <t>VÄRMLANDS LÄN</t>
        </is>
      </c>
      <c r="G766" t="inlineStr">
        <is>
          <t>HAGFORS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45793</v>
      </c>
      <c r="E767" s="1" t="n">
        <v>46304</v>
      </c>
      <c r="F767" t="inlineStr">
        <is>
          <t>VÄRMLANDS LÄN</t>
        </is>
      </c>
      <c r="G767" t="inlineStr">
        <is>
          <t>HAGFORS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54008-2024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45615</v>
      </c>
      <c r="E768" s="1" t="n">
        <v>46304</v>
      </c>
      <c r="F768" t="inlineStr">
        <is>
          <t>VÄRMLANDS LÄN</t>
        </is>
      </c>
      <c r="G768" t="inlineStr">
        <is>
          <t>HAGFORS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16798-2025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45754</v>
      </c>
      <c r="E769" s="1" t="n">
        <v>46304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46241</v>
      </c>
      <c r="E770" s="1" t="n">
        <v>46304</v>
      </c>
      <c r="F770" t="inlineStr">
        <is>
          <t>VÄRMLANDS LÄN</t>
        </is>
      </c>
      <c r="G770" t="inlineStr">
        <is>
          <t>HAGFORS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39566-2026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46289</v>
      </c>
      <c r="E771" s="1" t="n">
        <v>46304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15643-2024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45404</v>
      </c>
      <c r="E772" s="1" t="n">
        <v>46304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39345-2026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46288</v>
      </c>
      <c r="E773" s="1" t="n">
        <v>46304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24434-2025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45797</v>
      </c>
      <c r="E774" s="1" t="n">
        <v>46304</v>
      </c>
      <c r="F774" t="inlineStr">
        <is>
          <t>VÄRMLANDS LÄN</t>
        </is>
      </c>
      <c r="G774" t="inlineStr">
        <is>
          <t>HAGFORS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24435-2025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45797</v>
      </c>
      <c r="E775" s="1" t="n">
        <v>46304</v>
      </c>
      <c r="F775" t="inlineStr">
        <is>
          <t>VÄRMLANDS LÄN</t>
        </is>
      </c>
      <c r="G775" t="inlineStr">
        <is>
          <t>HAGFORS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24438-2025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45797</v>
      </c>
      <c r="E776" s="1" t="n">
        <v>46304</v>
      </c>
      <c r="F776" t="inlineStr">
        <is>
          <t>VÄRMLANDS LÄN</t>
        </is>
      </c>
      <c r="G776" t="inlineStr">
        <is>
          <t>HAGFORS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39347-2026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46288</v>
      </c>
      <c r="E777" s="1" t="n">
        <v>46304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39382-2026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46288</v>
      </c>
      <c r="E778" s="1" t="n">
        <v>46304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13524-2025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45736</v>
      </c>
      <c r="E779" s="1" t="n">
        <v>46304</v>
      </c>
      <c r="F779" t="inlineStr">
        <is>
          <t>VÄRMLANDS LÄN</t>
        </is>
      </c>
      <c r="G779" t="inlineStr">
        <is>
          <t>HAGFORS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39532-2026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46289</v>
      </c>
      <c r="E780" s="1" t="n">
        <v>46304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24895-2025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45799</v>
      </c>
      <c r="E781" s="1" t="n">
        <v>46304</v>
      </c>
      <c r="F781" t="inlineStr">
        <is>
          <t>VÄRMLANDS LÄN</t>
        </is>
      </c>
      <c r="G781" t="inlineStr">
        <is>
          <t>HAGFORS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39577-2026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46289</v>
      </c>
      <c r="E782" s="1" t="n">
        <v>46304</v>
      </c>
      <c r="F782" t="inlineStr">
        <is>
          <t>VÄRMLANDS LÄN</t>
        </is>
      </c>
      <c r="G782" t="inlineStr">
        <is>
          <t>HAGFORS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24793-2025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45799</v>
      </c>
      <c r="E783" s="1" t="n">
        <v>46304</v>
      </c>
      <c r="F783" t="inlineStr">
        <is>
          <t>VÄRMLANDS LÄN</t>
        </is>
      </c>
      <c r="G783" t="inlineStr">
        <is>
          <t>HAGFORS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39605-2026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46289</v>
      </c>
      <c r="E784" s="1" t="n">
        <v>46304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46245</v>
      </c>
      <c r="E785" s="1" t="n">
        <v>46304</v>
      </c>
      <c r="F785" t="inlineStr">
        <is>
          <t>VÄRMLANDS LÄN</t>
        </is>
      </c>
      <c r="G785" t="inlineStr">
        <is>
          <t>HAGFORS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25031-2025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45799</v>
      </c>
      <c r="E786" s="1" t="n">
        <v>46304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33635-2026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46248</v>
      </c>
      <c r="E787" s="1" t="n">
        <v>46304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39706-2026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39727-2026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46304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46304</v>
      </c>
      <c r="F790" t="inlineStr">
        <is>
          <t>VÄRMLANDS LÄN</t>
        </is>
      </c>
      <c r="G790" t="inlineStr">
        <is>
          <t>HAGFORS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40206-2026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46304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46293</v>
      </c>
      <c r="E792" s="1" t="n">
        <v>46304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33823-2025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46304</v>
      </c>
      <c r="F793" t="inlineStr">
        <is>
          <t>VÄRMLANDS LÄN</t>
        </is>
      </c>
      <c r="G793" t="inlineStr">
        <is>
          <t>HAGFORS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39708-2026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46290</v>
      </c>
      <c r="E794" s="1" t="n">
        <v>46304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40125-2026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46304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40203-2026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46290</v>
      </c>
      <c r="E797" s="1" t="n">
        <v>46304</v>
      </c>
      <c r="F797" t="inlineStr">
        <is>
          <t>VÄRMLANDS LÄN</t>
        </is>
      </c>
      <c r="G797" t="inlineStr">
        <is>
          <t>HAGFORS</t>
        </is>
      </c>
      <c r="I797" t="n">
        <v>6.4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46290</v>
      </c>
      <c r="E798" s="1" t="n">
        <v>46304</v>
      </c>
      <c r="F798" t="inlineStr">
        <is>
          <t>VÄRMLANDS LÄN</t>
        </is>
      </c>
      <c r="G798" t="inlineStr">
        <is>
          <t>HAGFORS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40148-2026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46293</v>
      </c>
      <c r="E799" s="1" t="n">
        <v>46304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39825-2026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46290</v>
      </c>
      <c r="E800" s="1" t="n">
        <v>46304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26463-2025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45807</v>
      </c>
      <c r="E801" s="1" t="n">
        <v>46304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16755-2025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45754</v>
      </c>
      <c r="E802" s="1" t="n">
        <v>46304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38474-2024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45546</v>
      </c>
      <c r="E803" s="1" t="n">
        <v>46304</v>
      </c>
      <c r="F803" t="inlineStr">
        <is>
          <t>VÄRMLANDS LÄN</t>
        </is>
      </c>
      <c r="G803" t="inlineStr">
        <is>
          <t>HAGFORS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46293</v>
      </c>
      <c r="E804" s="1" t="n">
        <v>46304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40188-2026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46293</v>
      </c>
      <c r="E805" s="1" t="n">
        <v>46304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45811</v>
      </c>
      <c r="E806" s="1" t="n">
        <v>46304</v>
      </c>
      <c r="F806" t="inlineStr">
        <is>
          <t>VÄRMLANDS LÄN</t>
        </is>
      </c>
      <c r="G806" t="inlineStr">
        <is>
          <t>HAGFORS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52383-2024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45608</v>
      </c>
      <c r="E807" s="1" t="n">
        <v>46304</v>
      </c>
      <c r="F807" t="inlineStr">
        <is>
          <t>VÄRMLANDS LÄN</t>
        </is>
      </c>
      <c r="G807" t="inlineStr">
        <is>
          <t>HAGFORS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33515-2026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46248</v>
      </c>
      <c r="E808" s="1" t="n">
        <v>46304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40130-2026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40157-2026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46290</v>
      </c>
      <c r="E810" s="1" t="n">
        <v>46304</v>
      </c>
      <c r="F810" t="inlineStr">
        <is>
          <t>VÄRMLANDS LÄN</t>
        </is>
      </c>
      <c r="G810" t="inlineStr">
        <is>
          <t>HAGFORS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26617-2025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45810</v>
      </c>
      <c r="E811" s="1" t="n">
        <v>46304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33627-2026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46248</v>
      </c>
      <c r="E812" s="1" t="n">
        <v>46304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39881-2026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46290</v>
      </c>
      <c r="E813" s="1" t="n">
        <v>46304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26980-2025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45811</v>
      </c>
      <c r="E814" s="1" t="n">
        <v>46304</v>
      </c>
      <c r="F814" t="inlineStr">
        <is>
          <t>VÄRMLANDS LÄN</t>
        </is>
      </c>
      <c r="G814" t="inlineStr">
        <is>
          <t>HAGFORS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26982-2025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46304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27263-2025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45812</v>
      </c>
      <c r="E816" s="1" t="n">
        <v>46304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27229-2025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45812</v>
      </c>
      <c r="E817" s="1" t="n">
        <v>46304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27319-2025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46304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46290</v>
      </c>
      <c r="E819" s="1" t="n">
        <v>46304</v>
      </c>
      <c r="F819" t="inlineStr">
        <is>
          <t>VÄRMLANDS LÄN</t>
        </is>
      </c>
      <c r="G819" t="inlineStr">
        <is>
          <t>HAGFORS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40209-2026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46290</v>
      </c>
      <c r="E820" s="1" t="n">
        <v>46304</v>
      </c>
      <c r="F820" t="inlineStr">
        <is>
          <t>VÄRMLANDS LÄN</t>
        </is>
      </c>
      <c r="G820" t="inlineStr">
        <is>
          <t>HAGFORS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27119-2025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45811</v>
      </c>
      <c r="E821" s="1" t="n">
        <v>46304</v>
      </c>
      <c r="F821" t="inlineStr">
        <is>
          <t>VÄRMLANDS LÄN</t>
        </is>
      </c>
      <c r="G821" t="inlineStr">
        <is>
          <t>HAGFORS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27181-2025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45812</v>
      </c>
      <c r="E822" s="1" t="n">
        <v>46304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27195-2025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45812</v>
      </c>
      <c r="E823" s="1" t="n">
        <v>46304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50922-2023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45211</v>
      </c>
      <c r="E824" s="1" t="n">
        <v>46304</v>
      </c>
      <c r="F824" t="inlineStr">
        <is>
          <t>VÄRMLANDS LÄN</t>
        </is>
      </c>
      <c r="G824" t="inlineStr">
        <is>
          <t>HAGFORS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28437-2025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46304</v>
      </c>
      <c r="F825" t="inlineStr">
        <is>
          <t>VÄRMLANDS LÄN</t>
        </is>
      </c>
      <c r="G825" t="inlineStr">
        <is>
          <t>HAGFORS</t>
        </is>
      </c>
      <c r="H825" t="inlineStr">
        <is>
          <t>Kyrkan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28309-2025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45818</v>
      </c>
      <c r="E826" s="1" t="n">
        <v>46304</v>
      </c>
      <c r="F826" t="inlineStr">
        <is>
          <t>VÄRMLANDS LÄN</t>
        </is>
      </c>
      <c r="G826" t="inlineStr">
        <is>
          <t>HAGFORS</t>
        </is>
      </c>
      <c r="H826" t="inlineStr">
        <is>
          <t>Kyrkan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29149-2025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45821</v>
      </c>
      <c r="E827" s="1" t="n">
        <v>46304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29115-2025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45821</v>
      </c>
      <c r="E828" s="1" t="n">
        <v>46304</v>
      </c>
      <c r="F828" t="inlineStr">
        <is>
          <t>VÄRMLANDS LÄN</t>
        </is>
      </c>
      <c r="G828" t="inlineStr">
        <is>
          <t>HAGFORS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40436-2026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46294</v>
      </c>
      <c r="E829" s="1" t="n">
        <v>46304</v>
      </c>
      <c r="F829" t="inlineStr">
        <is>
          <t>VÄRMLANDS LÄN</t>
        </is>
      </c>
      <c r="G829" t="inlineStr">
        <is>
          <t>HAGFORS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40538-2026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46295</v>
      </c>
      <c r="E830" s="1" t="n">
        <v>46304</v>
      </c>
      <c r="F830" t="inlineStr">
        <is>
          <t>VÄRMLANDS LÄN</t>
        </is>
      </c>
      <c r="G830" t="inlineStr">
        <is>
          <t>HAGFORS</t>
        </is>
      </c>
      <c r="H830" t="inlineStr">
        <is>
          <t>Kommuner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46294</v>
      </c>
      <c r="E831" s="1" t="n">
        <v>46304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33833-2026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46251</v>
      </c>
      <c r="E832" s="1" t="n">
        <v>46304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34014-2026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46252</v>
      </c>
      <c r="E833" s="1" t="n">
        <v>46304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40547-2026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46295</v>
      </c>
      <c r="E834" s="1" t="n">
        <v>46304</v>
      </c>
      <c r="F834" t="inlineStr">
        <is>
          <t>VÄRMLANDS LÄN</t>
        </is>
      </c>
      <c r="G834" t="inlineStr">
        <is>
          <t>HAGFORS</t>
        </is>
      </c>
      <c r="H834" t="inlineStr">
        <is>
          <t>Kommuner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30124-2025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45826</v>
      </c>
      <c r="E835" s="1" t="n">
        <v>46304</v>
      </c>
      <c r="F835" t="inlineStr">
        <is>
          <t>VÄRMLANDS LÄN</t>
        </is>
      </c>
      <c r="G835" t="inlineStr">
        <is>
          <t>HAGFORS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40537-2026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46295</v>
      </c>
      <c r="E836" s="1" t="n">
        <v>46304</v>
      </c>
      <c r="F836" t="inlineStr">
        <is>
          <t>VÄRMLANDS LÄN</t>
        </is>
      </c>
      <c r="G836" t="inlineStr">
        <is>
          <t>HAGFORS</t>
        </is>
      </c>
      <c r="H836" t="inlineStr">
        <is>
          <t>Kommuner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40428-2026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46294</v>
      </c>
      <c r="E837" s="1" t="n">
        <v>46304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40440-2026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46294</v>
      </c>
      <c r="E838" s="1" t="n">
        <v>46304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29949-2025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45826</v>
      </c>
      <c r="E839" s="1" t="n">
        <v>46304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29958-2025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45826</v>
      </c>
      <c r="E840" s="1" t="n">
        <v>46304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6.8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40351-2026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46294</v>
      </c>
      <c r="E841" s="1" t="n">
        <v>46304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10.3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30778-2025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46304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34443-2026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46254</v>
      </c>
      <c r="E843" s="1" t="n">
        <v>46304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34399-2026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46304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34456-2026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46254</v>
      </c>
      <c r="E845" s="1" t="n">
        <v>46304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8.800000000000001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33821-2026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46251</v>
      </c>
      <c r="E846" s="1" t="n">
        <v>46304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34552-2026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46255</v>
      </c>
      <c r="E847" s="1" t="n">
        <v>46304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5.9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46304</v>
      </c>
      <c r="F848" t="inlineStr">
        <is>
          <t>VÄRMLANDS LÄN</t>
        </is>
      </c>
      <c r="G848" t="inlineStr">
        <is>
          <t>HAGFORS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34797-2026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46258</v>
      </c>
      <c r="E849" s="1" t="n">
        <v>46304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41057-2026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46300</v>
      </c>
      <c r="E850" s="1" t="n">
        <v>46304</v>
      </c>
      <c r="F850" t="inlineStr">
        <is>
          <t>VÄRMLANDS LÄN</t>
        </is>
      </c>
      <c r="G850" t="inlineStr">
        <is>
          <t>HAGFORS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41119-2026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46300</v>
      </c>
      <c r="E851" s="1" t="n">
        <v>46304</v>
      </c>
      <c r="F851" t="inlineStr">
        <is>
          <t>VÄRMLANDS LÄN</t>
        </is>
      </c>
      <c r="G851" t="inlineStr">
        <is>
          <t>HAGFORS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34522-2026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46255</v>
      </c>
      <c r="E852" s="1" t="n">
        <v>46304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34523-2026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46255</v>
      </c>
      <c r="E853" s="1" t="n">
        <v>46304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35184-2026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46260</v>
      </c>
      <c r="E854" s="1" t="n">
        <v>46304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41581-2026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46301</v>
      </c>
      <c r="E855" s="1" t="n">
        <v>46304</v>
      </c>
      <c r="F855" t="inlineStr">
        <is>
          <t>VÄRMLANDS LÄN</t>
        </is>
      </c>
      <c r="G855" t="inlineStr">
        <is>
          <t>HAGFORS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46304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13.3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35173-2026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46260</v>
      </c>
      <c r="E857" s="1" t="n">
        <v>46304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18.2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40176-2026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46290</v>
      </c>
      <c r="E858" s="1" t="n">
        <v>46304</v>
      </c>
      <c r="F858" t="inlineStr">
        <is>
          <t>VÄRMLANDS LÄN</t>
        </is>
      </c>
      <c r="G858" t="inlineStr">
        <is>
          <t>HAGFORS</t>
        </is>
      </c>
      <c r="I858" t="n">
        <v>14.3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35310-2026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46304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14.9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35186-2026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46260</v>
      </c>
      <c r="E860" s="1" t="n">
        <v>46304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2225-2020</t>
        </is>
      </c>
      <c r="B861" t="inlineStr">
        <is>
          <t>samrådsanmälan</t>
        </is>
      </c>
      <c r="C861" t="inlineStr">
        <is>
          <t>Åtgärd i nyckelbiotop</t>
        </is>
      </c>
      <c r="D861" s="1" t="n">
        <v>44127</v>
      </c>
      <c r="E861" s="1" t="n">
        <v>46304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2050-2022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44671</v>
      </c>
      <c r="E862" s="1" t="n">
        <v>46304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4419-2023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46304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4420-2023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46304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44.2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937-2022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44606</v>
      </c>
      <c r="E865" s="1" t="n">
        <v>46304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59.4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4426-2023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45266</v>
      </c>
      <c r="E866" s="1" t="n">
        <v>46304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9.699999999999999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5512-2022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44834</v>
      </c>
      <c r="E867" s="1" t="n">
        <v>46304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29.9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931-2022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46304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49.5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4415-2023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46304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9.199999999999999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262-2022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44578</v>
      </c>
      <c r="E870" s="1" t="n">
        <v>46304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78.90000000000001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6970-2022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46304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29.3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4408-2023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46304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6968-2022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44901</v>
      </c>
      <c r="E873" s="1" t="n">
        <v>46304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19.3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4423-2023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45266</v>
      </c>
      <c r="E874" s="1" t="n">
        <v>46304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4418-2023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46304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19.1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907-2022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44606</v>
      </c>
      <c r="E876" s="1" t="n">
        <v>46304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43.5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651-2024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45356</v>
      </c>
      <c r="E877" s="1" t="n">
        <v>46304</v>
      </c>
      <c r="F877" t="inlineStr">
        <is>
          <t>VÄRMLANDS LÄN</t>
        </is>
      </c>
      <c r="G877" t="inlineStr">
        <is>
          <t>HAGFORS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913-2022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46304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4145-2023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45247</v>
      </c>
      <c r="E879" s="1" t="n">
        <v>46304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26.1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6967-2022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44901</v>
      </c>
      <c r="E880" s="1" t="n">
        <v>46304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27.1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89-2025</t>
        </is>
      </c>
      <c r="B881" t="inlineStr">
        <is>
          <t>samrådsanmälan</t>
        </is>
      </c>
      <c r="C881" t="inlineStr">
        <is>
          <t>Åtgärd i nyckelbiotop</t>
        </is>
      </c>
      <c r="D881" s="1" t="n">
        <v>45316</v>
      </c>
      <c r="E881" s="1" t="n">
        <v>46304</v>
      </c>
      <c r="F881" t="inlineStr">
        <is>
          <t>VÄRMLANDS LÄN</t>
        </is>
      </c>
      <c r="G881" t="inlineStr">
        <is>
          <t>HAGFORS</t>
        </is>
      </c>
      <c r="I881" t="n">
        <v>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6969-2022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44901</v>
      </c>
      <c r="E882" s="1" t="n">
        <v>46304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220-2025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45680</v>
      </c>
      <c r="E883" s="1" t="n">
        <v>46304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898-2022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46304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46304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34.4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4410-2023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45266</v>
      </c>
      <c r="E886" s="1" t="n">
        <v>46304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900-2022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44606</v>
      </c>
      <c r="E887" s="1" t="n">
        <v>46304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27.3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914-2022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44606</v>
      </c>
      <c r="E888" s="1" t="n">
        <v>46304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4409-2023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46304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46304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46304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46304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6973-2022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46304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46304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4407-2023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46304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6965-2022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46304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662-2025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45716</v>
      </c>
      <c r="E897" s="1" t="n">
        <v>46304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108-2026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46037</v>
      </c>
      <c r="E898" s="1" t="n">
        <v>46304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204.4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46036</v>
      </c>
      <c r="E899" s="1" t="n">
        <v>46304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57.9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60-2026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46013</v>
      </c>
      <c r="E900" s="1" t="n">
        <v>46304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382-2025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45691</v>
      </c>
      <c r="E901" s="1" t="n">
        <v>46304</v>
      </c>
      <c r="F901" t="inlineStr">
        <is>
          <t>VÄRMLANDS LÄN</t>
        </is>
      </c>
      <c r="G901" t="inlineStr">
        <is>
          <t>HAGFORS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2026-10-09T02:05:42Z</dcterms:created>
  <dcterms:modified xmlns:dcterms="http://purl.org/dc/terms/" xmlns:xsi="http://www.w3.org/2001/XMLSchema-instance" xsi:type="dcterms:W3CDTF">2026-10-09T02:05:43Z</dcterms:modified>
</cp:coreProperties>
</file>