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46258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46258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46258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46258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46258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46258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46258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46258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46258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46258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46258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46258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46258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46258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46258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46258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46258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46258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46258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46258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10836-2026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46258</v>
      </c>
      <c r="F28" t="inlineStr">
        <is>
          <t>VÄRMLANDS LÄN</t>
        </is>
      </c>
      <c r="G28" t="inlineStr">
        <is>
          <t>HAGFORS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Mattlummer
Ärtsångare</t>
        </is>
      </c>
      <c r="W28">
        <f>HYPERLINK("https://klasma.github.io/Logging_1783/artfynd/A 10836-2026 artfynd.xlsx", "A 10836-2026")</f>
        <v/>
      </c>
      <c r="X28">
        <f>HYPERLINK("https://klasma.github.io/Logging_1783/kartor/A 10836-2026 karta.png", "A 10836-2026")</f>
        <v/>
      </c>
      <c r="Y28">
        <f>HYPERLINK("https://klasma.github.io/Logging_1783/kartor_geotiff/A 10836-2026 georefererad karta.tif", "A 10836-2026")</f>
        <v/>
      </c>
      <c r="AA28">
        <f>HYPERLINK("https://klasma.github.io/Logging_1783/klagomål/A 10836-2026 FSC-klagomål.docx", "A 10836-2026")</f>
        <v/>
      </c>
      <c r="AB28">
        <f>HYPERLINK("https://klasma.github.io/Logging_1783/klagomålsmail/A 10836-2026 FSC-klagomål mail.docx", "A 10836-2026")</f>
        <v/>
      </c>
      <c r="AC28">
        <f>HYPERLINK("https://klasma.github.io/Logging_1783/tillsyn/A 10836-2026 tillsynsbegäran.docx", "A 10836-2026")</f>
        <v/>
      </c>
      <c r="AD28">
        <f>HYPERLINK("https://klasma.github.io/Logging_1783/tillsynsmail/A 10836-2026 tillsynsbegäran mail.docx", "A 10836-2026")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46258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46258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46258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46258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46258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46258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46258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46258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16319-2023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46258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16319-2023 artfynd.xlsx", "A 16319-2023")</f>
        <v/>
      </c>
      <c r="X38">
        <f>HYPERLINK("https://klasma.github.io/Logging_1783/kartor/A 16319-2023 karta.png", "A 16319-2023")</f>
        <v/>
      </c>
      <c r="Y38">
        <f>HYPERLINK("https://klasma.github.io/Logging_1783/kartor_geotiff/A 16319-2023 georefererad karta.tif", "A 16319-2023")</f>
        <v/>
      </c>
      <c r="AA38">
        <f>HYPERLINK("https://klasma.github.io/Logging_1783/klagomål/A 16319-2023 FSC-klagomål.docx", "A 16319-2023")</f>
        <v/>
      </c>
      <c r="AB38">
        <f>HYPERLINK("https://klasma.github.io/Logging_1783/klagomålsmail/A 16319-2023 FSC-klagomål mail.docx", "A 16319-2023")</f>
        <v/>
      </c>
      <c r="AC38">
        <f>HYPERLINK("https://klasma.github.io/Logging_1783/tillsyn/A 16319-2023 tillsynsbegäran.docx", "A 16319-2023")</f>
        <v/>
      </c>
      <c r="AD38">
        <f>HYPERLINK("https://klasma.github.io/Logging_1783/tillsynsmail/A 16319-2023 tillsynsbegäran mail.docx", "A 16319-2023")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46258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33848-2025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46258</v>
      </c>
      <c r="F40" t="inlineStr">
        <is>
          <t>VÄRMLANDS LÄN</t>
        </is>
      </c>
      <c r="G40" t="inlineStr">
        <is>
          <t>HAGFORS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33848-2025 artfynd.xlsx", "A 33848-2025")</f>
        <v/>
      </c>
      <c r="X40">
        <f>HYPERLINK("https://klasma.github.io/Logging_1783/kartor/A 33848-2025 karta.png", "A 33848-2025")</f>
        <v/>
      </c>
      <c r="Y40">
        <f>HYPERLINK("https://klasma.github.io/Logging_1783/kartor_geotiff/A 33848-2025 georefererad karta.tif", "A 33848-2025")</f>
        <v/>
      </c>
      <c r="AA40">
        <f>HYPERLINK("https://klasma.github.io/Logging_1783/klagomål/A 33848-2025 FSC-klagomål.docx", "A 33848-2025")</f>
        <v/>
      </c>
      <c r="AB40">
        <f>HYPERLINK("https://klasma.github.io/Logging_1783/klagomålsmail/A 33848-2025 FSC-klagomål mail.docx", "A 33848-2025")</f>
        <v/>
      </c>
      <c r="AC40">
        <f>HYPERLINK("https://klasma.github.io/Logging_1783/tillsyn/A 33848-2025 tillsynsbegäran.docx", "A 33848-2025")</f>
        <v/>
      </c>
      <c r="AD40">
        <f>HYPERLINK("https://klasma.github.io/Logging_1783/tillsynsmail/A 33848-2025 tillsynsbegäran mail.docx", "A 33848-2025")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46258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37152-2023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46258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Hökuggla</t>
        </is>
      </c>
      <c r="W42">
        <f>HYPERLINK("https://klasma.github.io/Logging_1783/artfynd/A 37152-2023 artfynd.xlsx", "A 37152-2023")</f>
        <v/>
      </c>
      <c r="X42">
        <f>HYPERLINK("https://klasma.github.io/Logging_1783/kartor/A 37152-2023 karta.png", "A 37152-2023")</f>
        <v/>
      </c>
      <c r="Y42">
        <f>HYPERLINK("https://klasma.github.io/Logging_1783/kartor_geotiff/A 37152-2023 georefererad karta.tif", "A 37152-2023")</f>
        <v/>
      </c>
      <c r="AA42">
        <f>HYPERLINK("https://klasma.github.io/Logging_1783/klagomål/A 37152-2023 FSC-klagomål.docx", "A 37152-2023")</f>
        <v/>
      </c>
      <c r="AB42">
        <f>HYPERLINK("https://klasma.github.io/Logging_1783/klagomålsmail/A 37152-2023 FSC-klagomål mail.docx", "A 37152-2023")</f>
        <v/>
      </c>
      <c r="AC42">
        <f>HYPERLINK("https://klasma.github.io/Logging_1783/tillsyn/A 37152-2023 tillsynsbegäran.docx", "A 37152-2023")</f>
        <v/>
      </c>
      <c r="AD42">
        <f>HYPERLINK("https://klasma.github.io/Logging_1783/tillsynsmail/A 37152-2023 tillsynsbegäran mail.docx", "A 37152-2023")</f>
        <v/>
      </c>
      <c r="AE42">
        <f>HYPERLINK("https://klasma.github.io/Logging_1783/fåglar/A 37152-2023 prioriterade fågelarter.docx", "A 37152-2023")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46258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30524-2022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44762</v>
      </c>
      <c r="E44" s="1" t="n">
        <v>46258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Kolflarnlav</t>
        </is>
      </c>
      <c r="W44">
        <f>HYPERLINK("https://klasma.github.io/Logging_1783/artfynd/A 30524-2022 artfynd.xlsx", "A 30524-2022")</f>
        <v/>
      </c>
      <c r="X44">
        <f>HYPERLINK("https://klasma.github.io/Logging_1783/kartor/A 30524-2022 karta.png", "A 30524-2022")</f>
        <v/>
      </c>
      <c r="Y44">
        <f>HYPERLINK("https://klasma.github.io/Logging_1783/kartor_geotiff/A 30524-2022 georefererad karta.tif", "A 30524-2022")</f>
        <v/>
      </c>
      <c r="AA44">
        <f>HYPERLINK("https://klasma.github.io/Logging_1783/klagomål/A 30524-2022 FSC-klagomål.docx", "A 30524-2022")</f>
        <v/>
      </c>
      <c r="AB44">
        <f>HYPERLINK("https://klasma.github.io/Logging_1783/klagomålsmail/A 30524-2022 FSC-klagomål mail.docx", "A 30524-2022")</f>
        <v/>
      </c>
      <c r="AC44">
        <f>HYPERLINK("https://klasma.github.io/Logging_1783/tillsyn/A 30524-2022 tillsynsbegäran.docx", "A 30524-2022")</f>
        <v/>
      </c>
      <c r="AD44">
        <f>HYPERLINK("https://klasma.github.io/Logging_1783/tillsynsmail/A 30524-2022 tillsynsbegäran mail.docx", "A 30524-2022")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46258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51194-2022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46258</v>
      </c>
      <c r="F46" t="inlineStr">
        <is>
          <t>VÄRMLANDS LÄN</t>
        </is>
      </c>
      <c r="G46" t="inlineStr">
        <is>
          <t>HAGFORS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HYPERLINK("https://klasma.github.io/Logging_1783/artfynd/A 51194-2022 artfynd.xlsx", "A 51194-2022")</f>
        <v/>
      </c>
      <c r="X46">
        <f>HYPERLINK("https://klasma.github.io/Logging_1783/kartor/A 51194-2022 karta.png", "A 51194-2022")</f>
        <v/>
      </c>
      <c r="Y46">
        <f>HYPERLINK("https://klasma.github.io/Logging_1783/kartor_geotiff/A 51194-2022 georefererad karta.tif", "A 51194-2022")</f>
        <v/>
      </c>
      <c r="AA46">
        <f>HYPERLINK("https://klasma.github.io/Logging_1783/klagomål/A 51194-2022 FSC-klagomål.docx", "A 51194-2022")</f>
        <v/>
      </c>
      <c r="AB46">
        <f>HYPERLINK("https://klasma.github.io/Logging_1783/klagomålsmail/A 51194-2022 FSC-klagomål mail.docx", "A 51194-2022")</f>
        <v/>
      </c>
      <c r="AC46">
        <f>HYPERLINK("https://klasma.github.io/Logging_1783/tillsyn/A 51194-2022 tillsynsbegäran.docx", "A 51194-2022")</f>
        <v/>
      </c>
      <c r="AD46">
        <f>HYPERLINK("https://klasma.github.io/Logging_1783/tillsynsmail/A 51194-2022 tillsynsbegäran mail.docx", "A 51194-2022")</f>
        <v/>
      </c>
    </row>
    <row r="47" ht="15" customHeight="1">
      <c r="A47" t="inlineStr">
        <is>
          <t>A 62954-2025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46258</v>
      </c>
      <c r="F47" t="inlineStr">
        <is>
          <t>VÄRMLANDS LÄN</t>
        </is>
      </c>
      <c r="G47" t="inlineStr">
        <is>
          <t>HAGFORS</t>
        </is>
      </c>
      <c r="I47" t="n">
        <v>9.1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Kråka</t>
        </is>
      </c>
      <c r="W47">
        <f>HYPERLINK("https://klasma.github.io/Logging_1783/artfynd/A 62954-2025 artfynd.xlsx", "A 62954-2025")</f>
        <v/>
      </c>
      <c r="X47">
        <f>HYPERLINK("https://klasma.github.io/Logging_1783/kartor/A 62954-2025 karta.png", "A 62954-2025")</f>
        <v/>
      </c>
      <c r="Y47">
        <f>HYPERLINK("https://klasma.github.io/Logging_1783/kartor_geotiff/A 62954-2025 georefererad karta.tif", "A 62954-2025")</f>
        <v/>
      </c>
      <c r="AA47">
        <f>HYPERLINK("https://klasma.github.io/Logging_1783/klagomål/A 62954-2025 FSC-klagomål.docx", "A 62954-2025")</f>
        <v/>
      </c>
      <c r="AB47">
        <f>HYPERLINK("https://klasma.github.io/Logging_1783/klagomålsmail/A 62954-2025 FSC-klagomål mail.docx", "A 62954-2025")</f>
        <v/>
      </c>
      <c r="AC47">
        <f>HYPERLINK("https://klasma.github.io/Logging_1783/tillsyn/A 62954-2025 tillsynsbegäran.docx", "A 62954-2025")</f>
        <v/>
      </c>
      <c r="AD47">
        <f>HYPERLINK("https://klasma.github.io/Logging_1783/tillsynsmail/A 62954-2025 tillsynsbegäran mail.docx", "A 62954-2025")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46258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46258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8254-2026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46258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8254-2026 artfynd.xlsx", "A 8254-2026")</f>
        <v/>
      </c>
      <c r="X50">
        <f>HYPERLINK("https://klasma.github.io/Logging_1783/kartor/A 8254-2026 karta.png", "A 8254-2026")</f>
        <v/>
      </c>
      <c r="Y50">
        <f>HYPERLINK("https://klasma.github.io/Logging_1783/kartor_geotiff/A 8254-2026 georefererad karta.tif", "A 8254-2026")</f>
        <v/>
      </c>
      <c r="AA50">
        <f>HYPERLINK("https://klasma.github.io/Logging_1783/klagomål/A 8254-2026 FSC-klagomål.docx", "A 8254-2026")</f>
        <v/>
      </c>
      <c r="AB50">
        <f>HYPERLINK("https://klasma.github.io/Logging_1783/klagomålsmail/A 8254-2026 FSC-klagomål mail.docx", "A 8254-2026")</f>
        <v/>
      </c>
      <c r="AC50">
        <f>HYPERLINK("https://klasma.github.io/Logging_1783/tillsyn/A 8254-2026 tillsynsbegäran.docx", "A 8254-2026")</f>
        <v/>
      </c>
      <c r="AD50">
        <f>HYPERLINK("https://klasma.github.io/Logging_1783/tillsynsmail/A 8254-2026 tillsynsbegäran mail.docx", "A 8254-2026")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46258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46258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46258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12445-2026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46258</v>
      </c>
      <c r="F55" t="inlineStr">
        <is>
          <t>VÄRMLANDS LÄN</t>
        </is>
      </c>
      <c r="G55" t="inlineStr">
        <is>
          <t>HAGFORS</t>
        </is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HYPERLINK("https://klasma.github.io/Logging_1783/artfynd/A 12445-2026 artfynd.xlsx", "A 12445-2026")</f>
        <v/>
      </c>
      <c r="X55">
        <f>HYPERLINK("https://klasma.github.io/Logging_1783/kartor/A 12445-2026 karta.png", "A 12445-2026")</f>
        <v/>
      </c>
      <c r="Y55">
        <f>HYPERLINK("https://klasma.github.io/Logging_1783/kartor_geotiff/A 12445-2026 georefererad karta.tif", "A 12445-2026")</f>
        <v/>
      </c>
      <c r="AA55">
        <f>HYPERLINK("https://klasma.github.io/Logging_1783/klagomål/A 12445-2026 FSC-klagomål.docx", "A 12445-2026")</f>
        <v/>
      </c>
      <c r="AB55">
        <f>HYPERLINK("https://klasma.github.io/Logging_1783/klagomålsmail/A 12445-2026 FSC-klagomål mail.docx", "A 12445-2026")</f>
        <v/>
      </c>
      <c r="AC55">
        <f>HYPERLINK("https://klasma.github.io/Logging_1783/tillsyn/A 12445-2026 tillsynsbegäran.docx", "A 12445-2026")</f>
        <v/>
      </c>
      <c r="AD55">
        <f>HYPERLINK("https://klasma.github.io/Logging_1783/tillsynsmail/A 12445-2026 tillsynsbegäran mail.docx", "A 12445-2026")</f>
        <v/>
      </c>
      <c r="AE55">
        <f>HYPERLINK("https://klasma.github.io/Logging_1783/fåglar/A 12445-2026 prioriterade fågelarter.docx", "A 12445-2026")</f>
        <v/>
      </c>
    </row>
    <row r="56" ht="15" customHeight="1">
      <c r="A56" t="inlineStr">
        <is>
          <t>A 32592-2026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46240</v>
      </c>
      <c r="E56" s="1" t="n">
        <v>46258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HYPERLINK("https://klasma.github.io/Logging_1783/artfynd/A 32592-2026 artfynd.xlsx", "A 32592-2026")</f>
        <v/>
      </c>
      <c r="X56">
        <f>HYPERLINK("https://klasma.github.io/Logging_1783/kartor/A 32592-2026 karta.png", "A 32592-2026")</f>
        <v/>
      </c>
      <c r="Y56">
        <f>HYPERLINK("https://klasma.github.io/Logging_1783/kartor_geotiff/A 32592-2026 georefererad karta.tif", "A 32592-2026")</f>
        <v/>
      </c>
      <c r="AA56">
        <f>HYPERLINK("https://klasma.github.io/Logging_1783/klagomål/A 32592-2026 FSC-klagomål.docx", "A 32592-2026")</f>
        <v/>
      </c>
      <c r="AB56">
        <f>HYPERLINK("https://klasma.github.io/Logging_1783/klagomålsmail/A 32592-2026 FSC-klagomål mail.docx", "A 32592-2026")</f>
        <v/>
      </c>
      <c r="AC56">
        <f>HYPERLINK("https://klasma.github.io/Logging_1783/tillsyn/A 32592-2026 tillsynsbegäran.docx", "A 32592-2026")</f>
        <v/>
      </c>
      <c r="AD56">
        <f>HYPERLINK("https://klasma.github.io/Logging_1783/tillsynsmail/A 32592-2026 tillsynsbegäran mail.docx", "A 32592-2026")</f>
        <v/>
      </c>
    </row>
    <row r="57" ht="15" customHeight="1">
      <c r="A57" t="inlineStr">
        <is>
          <t>A 19362-2026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46133</v>
      </c>
      <c r="E57" s="1" t="n">
        <v>46258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Utter</t>
        </is>
      </c>
      <c r="W57">
        <f>HYPERLINK("https://klasma.github.io/Logging_1783/artfynd/A 19362-2026 artfynd.xlsx", "A 19362-2026")</f>
        <v/>
      </c>
      <c r="X57">
        <f>HYPERLINK("https://klasma.github.io/Logging_1783/kartor/A 19362-2026 karta.png", "A 19362-2026")</f>
        <v/>
      </c>
      <c r="Y57">
        <f>HYPERLINK("https://klasma.github.io/Logging_1783/kartor_geotiff/A 19362-2026 georefererad karta.tif", "A 19362-2026")</f>
        <v/>
      </c>
      <c r="AA57">
        <f>HYPERLINK("https://klasma.github.io/Logging_1783/klagomål/A 19362-2026 FSC-klagomål.docx", "A 19362-2026")</f>
        <v/>
      </c>
      <c r="AB57">
        <f>HYPERLINK("https://klasma.github.io/Logging_1783/klagomålsmail/A 19362-2026 FSC-klagomål mail.docx", "A 19362-2026")</f>
        <v/>
      </c>
      <c r="AC57">
        <f>HYPERLINK("https://klasma.github.io/Logging_1783/tillsyn/A 19362-2026 tillsynsbegäran.docx", "A 19362-2026")</f>
        <v/>
      </c>
      <c r="AD57">
        <f>HYPERLINK("https://klasma.github.io/Logging_1783/tillsynsmail/A 19362-2026 tillsynsbegäran mail.docx", "A 19362-2026")</f>
        <v/>
      </c>
    </row>
    <row r="58" ht="15" customHeight="1">
      <c r="A58" t="inlineStr">
        <is>
          <t>A 29432-2026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46203</v>
      </c>
      <c r="E58" s="1" t="n">
        <v>46258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Vedtrappmossa</t>
        </is>
      </c>
      <c r="W58">
        <f>HYPERLINK("https://klasma.github.io/Logging_1783/artfynd/A 29432-2026 artfynd.xlsx", "A 29432-2026")</f>
        <v/>
      </c>
      <c r="X58">
        <f>HYPERLINK("https://klasma.github.io/Logging_1783/kartor/A 29432-2026 karta.png", "A 29432-2026")</f>
        <v/>
      </c>
      <c r="Y58">
        <f>HYPERLINK("https://klasma.github.io/Logging_1783/kartor_geotiff/A 29432-2026 georefererad karta.tif", "A 29432-2026")</f>
        <v/>
      </c>
      <c r="AA58">
        <f>HYPERLINK("https://klasma.github.io/Logging_1783/klagomål/A 29432-2026 FSC-klagomål.docx", "A 29432-2026")</f>
        <v/>
      </c>
      <c r="AB58">
        <f>HYPERLINK("https://klasma.github.io/Logging_1783/klagomålsmail/A 29432-2026 FSC-klagomål mail.docx", "A 29432-2026")</f>
        <v/>
      </c>
      <c r="AC58">
        <f>HYPERLINK("https://klasma.github.io/Logging_1783/tillsyn/A 29432-2026 tillsynsbegäran.docx", "A 29432-2026")</f>
        <v/>
      </c>
      <c r="AD58">
        <f>HYPERLINK("https://klasma.github.io/Logging_1783/tillsynsmail/A 29432-2026 tillsynsbegäran mail.docx", "A 29432-2026")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46258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12673-2024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45384</v>
      </c>
      <c r="E60" s="1" t="n">
        <v>46258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HYPERLINK("https://klasma.github.io/Logging_1783/artfynd/A 12673-2024 artfynd.xlsx", "A 12673-2024")</f>
        <v/>
      </c>
      <c r="X60">
        <f>HYPERLINK("https://klasma.github.io/Logging_1783/kartor/A 12673-2024 karta.png", "A 12673-2024")</f>
        <v/>
      </c>
      <c r="Y60">
        <f>HYPERLINK("https://klasma.github.io/Logging_1783/kartor_geotiff/A 12673-2024 georefererad karta.tif", "A 12673-2024")</f>
        <v/>
      </c>
      <c r="AA60">
        <f>HYPERLINK("https://klasma.github.io/Logging_1783/klagomål/A 12673-2024 FSC-klagomål.docx", "A 12673-2024")</f>
        <v/>
      </c>
      <c r="AB60">
        <f>HYPERLINK("https://klasma.github.io/Logging_1783/klagomålsmail/A 12673-2024 FSC-klagomål mail.docx", "A 12673-2024")</f>
        <v/>
      </c>
      <c r="AC60">
        <f>HYPERLINK("https://klasma.github.io/Logging_1783/tillsyn/A 12673-2024 tillsynsbegäran.docx", "A 12673-2024")</f>
        <v/>
      </c>
      <c r="AD60">
        <f>HYPERLINK("https://klasma.github.io/Logging_1783/tillsynsmail/A 12673-2024 tillsynsbegäran mail.docx", "A 12673-2024")</f>
        <v/>
      </c>
    </row>
    <row r="61" ht="15" customHeight="1">
      <c r="A61" t="inlineStr">
        <is>
          <t>A 34158-2025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45845</v>
      </c>
      <c r="E61" s="1" t="n">
        <v>46258</v>
      </c>
      <c r="F61" t="inlineStr">
        <is>
          <t>VÄRMLANDS LÄN</t>
        </is>
      </c>
      <c r="G61" t="inlineStr">
        <is>
          <t>HAGFORS</t>
        </is>
      </c>
      <c r="I61" t="n">
        <v>5.8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Korallblylav</t>
        </is>
      </c>
      <c r="W61">
        <f>HYPERLINK("https://klasma.github.io/Logging_1783/artfynd/A 34158-2025 artfynd.xlsx", "A 34158-2025")</f>
        <v/>
      </c>
      <c r="X61">
        <f>HYPERLINK("https://klasma.github.io/Logging_1783/kartor/A 34158-2025 karta.png", "A 34158-2025")</f>
        <v/>
      </c>
      <c r="Y61">
        <f>HYPERLINK("https://klasma.github.io/Logging_1783/kartor_geotiff/A 34158-2025 georefererad karta.tif", "A 34158-2025")</f>
        <v/>
      </c>
      <c r="AA61">
        <f>HYPERLINK("https://klasma.github.io/Logging_1783/klagomål/A 34158-2025 FSC-klagomål.docx", "A 34158-2025")</f>
        <v/>
      </c>
      <c r="AB61">
        <f>HYPERLINK("https://klasma.github.io/Logging_1783/klagomålsmail/A 34158-2025 FSC-klagomål mail.docx", "A 34158-2025")</f>
        <v/>
      </c>
      <c r="AC61">
        <f>HYPERLINK("https://klasma.github.io/Logging_1783/tillsyn/A 34158-2025 tillsynsbegäran.docx", "A 34158-2025")</f>
        <v/>
      </c>
      <c r="AD61">
        <f>HYPERLINK("https://klasma.github.io/Logging_1783/tillsynsmail/A 34158-2025 tillsynsbegäran mail.docx", "A 34158-2025")</f>
        <v/>
      </c>
    </row>
    <row r="62" ht="15" customHeight="1">
      <c r="A62" t="inlineStr">
        <is>
          <t>A 22484-2025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46258</v>
      </c>
      <c r="F62" t="inlineStr">
        <is>
          <t>VÄRMLANDS LÄN</t>
        </is>
      </c>
      <c r="G62" t="inlineStr">
        <is>
          <t>HAGFORS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Rödlånke</t>
        </is>
      </c>
      <c r="W62">
        <f>HYPERLINK("https://klasma.github.io/Logging_1783/artfynd/A 22484-2025 artfynd.xlsx", "A 22484-2025")</f>
        <v/>
      </c>
      <c r="X62">
        <f>HYPERLINK("https://klasma.github.io/Logging_1783/kartor/A 22484-2025 karta.png", "A 22484-2025")</f>
        <v/>
      </c>
      <c r="Y62">
        <f>HYPERLINK("https://klasma.github.io/Logging_1783/kartor_geotiff/A 22484-2025 georefererad karta.tif", "A 22484-2025")</f>
        <v/>
      </c>
      <c r="AA62">
        <f>HYPERLINK("https://klasma.github.io/Logging_1783/klagomål/A 22484-2025 FSC-klagomål.docx", "A 22484-2025")</f>
        <v/>
      </c>
      <c r="AB62">
        <f>HYPERLINK("https://klasma.github.io/Logging_1783/klagomålsmail/A 22484-2025 FSC-klagomål mail.docx", "A 22484-2025")</f>
        <v/>
      </c>
      <c r="AC62">
        <f>HYPERLINK("https://klasma.github.io/Logging_1783/tillsyn/A 22484-2025 tillsynsbegäran.docx", "A 22484-2025")</f>
        <v/>
      </c>
      <c r="AD62">
        <f>HYPERLINK("https://klasma.github.io/Logging_1783/tillsynsmail/A 22484-2025 tillsynsbegäran mail.docx", "A 22484-2025")</f>
        <v/>
      </c>
    </row>
    <row r="63" ht="15" customHeight="1">
      <c r="A63" t="inlineStr">
        <is>
          <t>S 412-2024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45335</v>
      </c>
      <c r="E63" s="1" t="n">
        <v>46258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344.9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HYPERLINK("https://klasma.github.io/Logging_1783/artfynd/S 412-2024 artfynd.xlsx", "S 412-2024")</f>
        <v/>
      </c>
      <c r="X63">
        <f>HYPERLINK("https://klasma.github.io/Logging_1783/kartor/S 412-2024 karta.png", "S 412-2024")</f>
        <v/>
      </c>
      <c r="Y63">
        <f>HYPERLINK("https://klasma.github.io/Logging_1783/kartor_geotiff/S 412-2024 georefererad karta.tif", "S 412-2024")</f>
        <v/>
      </c>
      <c r="AA63">
        <f>HYPERLINK("https://klasma.github.io/Logging_1783/klagomål/S 412-2024 FSC-klagomål.docx", "S 412-2024")</f>
        <v/>
      </c>
      <c r="AB63">
        <f>HYPERLINK("https://klasma.github.io/Logging_1783/klagomålsmail/S 412-2024 FSC-klagomål mail.docx", "S 412-2024")</f>
        <v/>
      </c>
      <c r="AC63">
        <f>HYPERLINK("https://klasma.github.io/Logging_1783/tillsyn/S 412-2024 tillsynsbegäran.docx", "S 412-2024")</f>
        <v/>
      </c>
      <c r="AD63">
        <f>HYPERLINK("https://klasma.github.io/Logging_1783/tillsynsmail/S 412-2024 tillsynsbegäran mail.docx", "S 412-2024")</f>
        <v/>
      </c>
      <c r="AE63">
        <f>HYPERLINK("https://klasma.github.io/Logging_1783/fåglar/S 412-2024 prioriterade fågelarter.docx", "S 412-2024")</f>
        <v/>
      </c>
    </row>
    <row r="64" ht="15" customHeight="1">
      <c r="A64" t="inlineStr">
        <is>
          <t>S 4427-2023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45266</v>
      </c>
      <c r="E64" s="1" t="n">
        <v>46258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33.3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Fjällig jordtunga</t>
        </is>
      </c>
      <c r="W64">
        <f>HYPERLINK("https://klasma.github.io/Logging_1783/artfynd/S 4427-2023 artfynd.xlsx", "S 4427-2023")</f>
        <v/>
      </c>
      <c r="X64">
        <f>HYPERLINK("https://klasma.github.io/Logging_1783/kartor/S 4427-2023 karta.png", "S 4427-2023")</f>
        <v/>
      </c>
      <c r="Y64">
        <f>HYPERLINK("https://klasma.github.io/Logging_1783/kartor_geotiff/S 4427-2023 georefererad karta.tif", "S 4427-2023")</f>
        <v/>
      </c>
      <c r="AA64">
        <f>HYPERLINK("https://klasma.github.io/Logging_1783/klagomål/S 4427-2023 FSC-klagomål.docx", "S 4427-2023")</f>
        <v/>
      </c>
      <c r="AB64">
        <f>HYPERLINK("https://klasma.github.io/Logging_1783/klagomålsmail/S 4427-2023 FSC-klagomål mail.docx", "S 4427-2023")</f>
        <v/>
      </c>
      <c r="AC64">
        <f>HYPERLINK("https://klasma.github.io/Logging_1783/tillsyn/S 4427-2023 tillsynsbegäran.docx", "S 4427-2023")</f>
        <v/>
      </c>
      <c r="AD64">
        <f>HYPERLINK("https://klasma.github.io/Logging_1783/tillsynsmail/S 4427-2023 tillsynsbegäran mail.docx", "S 4427-2023")</f>
        <v/>
      </c>
    </row>
    <row r="65" ht="15" customHeight="1">
      <c r="A65" t="inlineStr">
        <is>
          <t>S 61-2026</t>
        </is>
      </c>
      <c r="B65" t="inlineStr">
        <is>
          <t>samrådsanmälan</t>
        </is>
      </c>
      <c r="C65" t="inlineStr">
        <is>
          <t>Skogsgödsling</t>
        </is>
      </c>
      <c r="D65" s="1" t="n">
        <v>46013</v>
      </c>
      <c r="E65" s="1" t="n">
        <v>46258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421.5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HYPERLINK("https://klasma.github.io/Logging_1783/artfynd/S 61-2026 artfynd.xlsx", "S 61-2026")</f>
        <v/>
      </c>
      <c r="X65">
        <f>HYPERLINK("https://klasma.github.io/Logging_1783/kartor/S 61-2026 karta.png", "S 61-2026")</f>
        <v/>
      </c>
      <c r="Y65">
        <f>HYPERLINK("https://klasma.github.io/Logging_1783/kartor_geotiff/S 61-2026 georefererad karta.tif", "S 61-2026")</f>
        <v/>
      </c>
      <c r="AA65">
        <f>HYPERLINK("https://klasma.github.io/Logging_1783/klagomål/S 61-2026 FSC-klagomål.docx", "S 61-2026")</f>
        <v/>
      </c>
      <c r="AB65">
        <f>HYPERLINK("https://klasma.github.io/Logging_1783/klagomålsmail/S 61-2026 FSC-klagomål mail.docx", "S 61-2026")</f>
        <v/>
      </c>
      <c r="AC65">
        <f>HYPERLINK("https://klasma.github.io/Logging_1783/tillsyn/S 61-2026 tillsynsbegäran.docx", "S 61-2026")</f>
        <v/>
      </c>
      <c r="AD65">
        <f>HYPERLINK("https://klasma.github.io/Logging_1783/tillsynsmail/S 61-2026 tillsynsbegäran mail.docx", "S 61-2026")</f>
        <v/>
      </c>
    </row>
    <row r="66" ht="15" customHeight="1">
      <c r="A66" t="inlineStr">
        <is>
          <t>A 42739-2022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44832</v>
      </c>
      <c r="E66" s="1" t="n">
        <v>46258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46258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46258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46258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46258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46258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46258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46258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46258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46258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65295-2021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46258</v>
      </c>
      <c r="F76" t="inlineStr">
        <is>
          <t>VÄRMLANDS LÄN</t>
        </is>
      </c>
      <c r="G76" t="inlineStr">
        <is>
          <t>HAGFORS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46258</v>
      </c>
      <c r="F77" t="inlineStr">
        <is>
          <t>VÄRMLANDS LÄN</t>
        </is>
      </c>
      <c r="G77" t="inlineStr">
        <is>
          <t>HAGFORS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46258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46258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46258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46258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44059-2021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46258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46258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46258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44435</v>
      </c>
      <c r="E85" s="1" t="n">
        <v>46258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27.3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46258</v>
      </c>
      <c r="F86" t="inlineStr">
        <is>
          <t>VÄRMLANDS LÄN</t>
        </is>
      </c>
      <c r="G86" t="inlineStr">
        <is>
          <t>HAGFORS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44432</v>
      </c>
      <c r="E87" s="1" t="n">
        <v>46258</v>
      </c>
      <c r="F87" t="inlineStr">
        <is>
          <t>VÄRMLANDS LÄN</t>
        </is>
      </c>
      <c r="G87" t="inlineStr">
        <is>
          <t>HAGFORS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46258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46258</v>
      </c>
      <c r="F89" t="inlineStr">
        <is>
          <t>VÄRMLANDS LÄN</t>
        </is>
      </c>
      <c r="G89" t="inlineStr">
        <is>
          <t>HAGFORS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8577-2022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44613</v>
      </c>
      <c r="E90" s="1" t="n">
        <v>46258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46258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46258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46258</v>
      </c>
      <c r="F93" t="inlineStr">
        <is>
          <t>VÄRMLANDS LÄN</t>
        </is>
      </c>
      <c r="G93" t="inlineStr">
        <is>
          <t>HAGFORS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46258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44799</v>
      </c>
      <c r="E95" s="1" t="n">
        <v>46258</v>
      </c>
      <c r="F95" t="inlineStr">
        <is>
          <t>VÄRMLANDS LÄN</t>
        </is>
      </c>
      <c r="G95" t="inlineStr">
        <is>
          <t>HAGFORS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46258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46258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46258</v>
      </c>
      <c r="F98" t="inlineStr">
        <is>
          <t>VÄRMLANDS LÄN</t>
        </is>
      </c>
      <c r="G98" t="inlineStr">
        <is>
          <t>HAGFORS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46258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44545</v>
      </c>
      <c r="E100" s="1" t="n">
        <v>46258</v>
      </c>
      <c r="F100" t="inlineStr">
        <is>
          <t>VÄRMLANDS LÄN</t>
        </is>
      </c>
      <c r="G100" t="inlineStr">
        <is>
          <t>HAGFORS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43475-2022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44836</v>
      </c>
      <c r="E101" s="1" t="n">
        <v>46258</v>
      </c>
      <c r="F101" t="inlineStr">
        <is>
          <t>VÄRMLANDS LÄN</t>
        </is>
      </c>
      <c r="G101" t="inlineStr">
        <is>
          <t>HAGFORS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46258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46258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46258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46258</v>
      </c>
      <c r="F105" t="inlineStr">
        <is>
          <t>VÄRMLANDS LÄN</t>
        </is>
      </c>
      <c r="G105" t="inlineStr">
        <is>
          <t>HAGFORS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44594</v>
      </c>
      <c r="E106" s="1" t="n">
        <v>46258</v>
      </c>
      <c r="F106" t="inlineStr">
        <is>
          <t>VÄRMLANDS LÄN</t>
        </is>
      </c>
      <c r="G106" t="inlineStr">
        <is>
          <t>HAGFORS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46258</v>
      </c>
      <c r="F107" t="inlineStr">
        <is>
          <t>VÄRMLANDS LÄN</t>
        </is>
      </c>
      <c r="G107" t="inlineStr">
        <is>
          <t>HAGFORS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46258</v>
      </c>
      <c r="F108" t="inlineStr">
        <is>
          <t>VÄRMLANDS LÄN</t>
        </is>
      </c>
      <c r="G108" t="inlineStr">
        <is>
          <t>HAGFORS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46258</v>
      </c>
      <c r="F109" t="inlineStr">
        <is>
          <t>VÄRMLANDS LÄN</t>
        </is>
      </c>
      <c r="G109" t="inlineStr">
        <is>
          <t>HAGFORS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46258</v>
      </c>
      <c r="F110" t="inlineStr">
        <is>
          <t>VÄRMLANDS LÄN</t>
        </is>
      </c>
      <c r="G110" t="inlineStr">
        <is>
          <t>HAGFORS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46258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46258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45842</v>
      </c>
      <c r="E113" s="1" t="n">
        <v>46258</v>
      </c>
      <c r="F113" t="inlineStr">
        <is>
          <t>VÄRMLANDS LÄN</t>
        </is>
      </c>
      <c r="G113" t="inlineStr">
        <is>
          <t>HAGFORS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46258</v>
      </c>
      <c r="F114" t="inlineStr">
        <is>
          <t>VÄRMLANDS LÄN</t>
        </is>
      </c>
      <c r="G114" t="inlineStr">
        <is>
          <t>HAGFORS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46258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44757</v>
      </c>
      <c r="E116" s="1" t="n">
        <v>46258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46258</v>
      </c>
      <c r="F117" t="inlineStr">
        <is>
          <t>VÄRMLANDS LÄN</t>
        </is>
      </c>
      <c r="G117" t="inlineStr">
        <is>
          <t>HAGFORS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45323</v>
      </c>
      <c r="E118" s="1" t="n">
        <v>46258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26463-2025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45807</v>
      </c>
      <c r="E119" s="1" t="n">
        <v>46258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46258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46258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46258</v>
      </c>
      <c r="F122" t="inlineStr">
        <is>
          <t>VÄRMLANDS LÄN</t>
        </is>
      </c>
      <c r="G122" t="inlineStr">
        <is>
          <t>HAGFORS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65565-2021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46258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46258</v>
      </c>
      <c r="F124" t="inlineStr">
        <is>
          <t>VÄRMLANDS LÄN</t>
        </is>
      </c>
      <c r="G124" t="inlineStr">
        <is>
          <t>HAGFORS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17402-2022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44678</v>
      </c>
      <c r="E125" s="1" t="n">
        <v>46258</v>
      </c>
      <c r="F125" t="inlineStr">
        <is>
          <t>VÄRMLANDS LÄN</t>
        </is>
      </c>
      <c r="G125" t="inlineStr">
        <is>
          <t>HAGFORS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44687</v>
      </c>
      <c r="E126" s="1" t="n">
        <v>46258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46258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46258</v>
      </c>
      <c r="F128" t="inlineStr">
        <is>
          <t>VÄRMLANDS LÄN</t>
        </is>
      </c>
      <c r="G128" t="inlineStr">
        <is>
          <t>HAGFORS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26617-2025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45810</v>
      </c>
      <c r="E129" s="1" t="n">
        <v>46258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53757-2021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46258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46258</v>
      </c>
      <c r="F131" t="inlineStr">
        <is>
          <t>VÄRMLANDS LÄN</t>
        </is>
      </c>
      <c r="G131" t="inlineStr">
        <is>
          <t>HAGFORS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46258</v>
      </c>
      <c r="F132" t="inlineStr">
        <is>
          <t>VÄRMLANDS LÄN</t>
        </is>
      </c>
      <c r="G132" t="inlineStr">
        <is>
          <t>HAGFORS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46258</v>
      </c>
      <c r="F133" t="inlineStr">
        <is>
          <t>VÄRMLANDS LÄN</t>
        </is>
      </c>
      <c r="G133" t="inlineStr">
        <is>
          <t>HAGFORS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45149</v>
      </c>
      <c r="E134" s="1" t="n">
        <v>46258</v>
      </c>
      <c r="F134" t="inlineStr">
        <is>
          <t>VÄRMLANDS LÄN</t>
        </is>
      </c>
      <c r="G134" t="inlineStr">
        <is>
          <t>HAGFORS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46258</v>
      </c>
      <c r="F135" t="inlineStr">
        <is>
          <t>VÄRMLANDS LÄN</t>
        </is>
      </c>
      <c r="G135" t="inlineStr">
        <is>
          <t>HAGFORS</t>
        </is>
      </c>
      <c r="I135" t="n">
        <v>13.5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46258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46258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46258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46258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46258</v>
      </c>
      <c r="F140" t="inlineStr">
        <is>
          <t>VÄRMLANDS LÄN</t>
        </is>
      </c>
      <c r="G140" t="inlineStr">
        <is>
          <t>HAGFORS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46258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46258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46258</v>
      </c>
      <c r="F143" t="inlineStr">
        <is>
          <t>VÄRMLANDS LÄN</t>
        </is>
      </c>
      <c r="G143" t="inlineStr">
        <is>
          <t>HAGFORS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46258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46258</v>
      </c>
      <c r="F145" t="inlineStr">
        <is>
          <t>VÄRMLANDS LÄN</t>
        </is>
      </c>
      <c r="G145" t="inlineStr">
        <is>
          <t>HAGFORS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61232-2024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45645</v>
      </c>
      <c r="E146" s="1" t="n">
        <v>46258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46258</v>
      </c>
      <c r="F147" t="inlineStr">
        <is>
          <t>VÄRMLANDS LÄN</t>
        </is>
      </c>
      <c r="G147" t="inlineStr">
        <is>
          <t>HAGFORS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45510</v>
      </c>
      <c r="E148" s="1" t="n">
        <v>46258</v>
      </c>
      <c r="F148" t="inlineStr">
        <is>
          <t>VÄRMLANDS LÄN</t>
        </is>
      </c>
      <c r="G148" t="inlineStr">
        <is>
          <t>HAGFORS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46258</v>
      </c>
      <c r="F149" t="inlineStr">
        <is>
          <t>VÄRMLANDS LÄN</t>
        </is>
      </c>
      <c r="G149" t="inlineStr">
        <is>
          <t>HAGFORS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46258</v>
      </c>
      <c r="F150" t="inlineStr">
        <is>
          <t>VÄRMLANDS LÄN</t>
        </is>
      </c>
      <c r="G150" t="inlineStr">
        <is>
          <t>HAGFORS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15538-2024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45401</v>
      </c>
      <c r="E151" s="1" t="n">
        <v>46258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46258</v>
      </c>
      <c r="F152" t="inlineStr">
        <is>
          <t>VÄRMLANDS LÄN</t>
        </is>
      </c>
      <c r="G152" t="inlineStr">
        <is>
          <t>HAGFORS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28437-2025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46258</v>
      </c>
      <c r="F153" t="inlineStr">
        <is>
          <t>VÄRMLANDS LÄN</t>
        </is>
      </c>
      <c r="G153" t="inlineStr">
        <is>
          <t>HAGFORS</t>
        </is>
      </c>
      <c r="H153" t="inlineStr">
        <is>
          <t>Kyrkan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46258</v>
      </c>
      <c r="F154" t="inlineStr">
        <is>
          <t>VÄRMLANDS LÄN</t>
        </is>
      </c>
      <c r="G154" t="inlineStr">
        <is>
          <t>HAGFORS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46258</v>
      </c>
      <c r="F155" t="inlineStr">
        <is>
          <t>VÄRMLANDS LÄN</t>
        </is>
      </c>
      <c r="G155" t="inlineStr">
        <is>
          <t>HAGFORS</t>
        </is>
      </c>
      <c r="H155" t="inlineStr">
        <is>
          <t>Kyrkan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46258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46258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46258</v>
      </c>
      <c r="F158" t="inlineStr">
        <is>
          <t>VÄRMLANDS LÄN</t>
        </is>
      </c>
      <c r="G158" t="inlineStr">
        <is>
          <t>HAGFORS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46258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45739</v>
      </c>
      <c r="E160" s="1" t="n">
        <v>46258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46258</v>
      </c>
      <c r="F161" t="inlineStr">
        <is>
          <t>VÄRMLANDS LÄN</t>
        </is>
      </c>
      <c r="G161" t="inlineStr">
        <is>
          <t>HAGFORS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46258</v>
      </c>
      <c r="F162" t="inlineStr">
        <is>
          <t>VÄRMLANDS LÄN</t>
        </is>
      </c>
      <c r="G162" t="inlineStr">
        <is>
          <t>HAGFORS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45335</v>
      </c>
      <c r="E163" s="1" t="n">
        <v>46258</v>
      </c>
      <c r="F163" t="inlineStr">
        <is>
          <t>VÄRMLANDS LÄN</t>
        </is>
      </c>
      <c r="G163" t="inlineStr">
        <is>
          <t>HAGFORS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46258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46258</v>
      </c>
      <c r="F165" t="inlineStr">
        <is>
          <t>VÄRMLANDS LÄN</t>
        </is>
      </c>
      <c r="G165" t="inlineStr">
        <is>
          <t>HAGFORS</t>
        </is>
      </c>
      <c r="H165" t="inlineStr">
        <is>
          <t>Kyrkan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46258</v>
      </c>
      <c r="F166" t="inlineStr">
        <is>
          <t>VÄRMLANDS LÄN</t>
        </is>
      </c>
      <c r="G166" t="inlineStr">
        <is>
          <t>HAGFORS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46258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46258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46258</v>
      </c>
      <c r="F169" t="inlineStr">
        <is>
          <t>VÄRMLANDS LÄN</t>
        </is>
      </c>
      <c r="G169" t="inlineStr">
        <is>
          <t>HAGFORS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46258</v>
      </c>
      <c r="F170" t="inlineStr">
        <is>
          <t>VÄRMLANDS LÄN</t>
        </is>
      </c>
      <c r="G170" t="inlineStr">
        <is>
          <t>HAGFORS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46258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41739-2025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45902</v>
      </c>
      <c r="E172" s="1" t="n">
        <v>46258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46258</v>
      </c>
      <c r="F173" t="inlineStr">
        <is>
          <t>VÄRMLANDS LÄN</t>
        </is>
      </c>
      <c r="G173" t="inlineStr">
        <is>
          <t>HAGFORS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46258</v>
      </c>
      <c r="F174" t="inlineStr">
        <is>
          <t>VÄRMLANDS LÄN</t>
        </is>
      </c>
      <c r="G174" t="inlineStr">
        <is>
          <t>HAGFORS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45902</v>
      </c>
      <c r="E175" s="1" t="n">
        <v>46258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45902</v>
      </c>
      <c r="E176" s="1" t="n">
        <v>46258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46258</v>
      </c>
      <c r="F177" t="inlineStr">
        <is>
          <t>VÄRMLANDS LÄN</t>
        </is>
      </c>
      <c r="G177" t="inlineStr">
        <is>
          <t>HAGFORS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46258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46258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46258</v>
      </c>
      <c r="F180" t="inlineStr">
        <is>
          <t>VÄRMLANDS LÄN</t>
        </is>
      </c>
      <c r="G180" t="inlineStr">
        <is>
          <t>HAGFORS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46258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46258</v>
      </c>
      <c r="F182" t="inlineStr">
        <is>
          <t>VÄRMLANDS LÄN</t>
        </is>
      </c>
      <c r="G182" t="inlineStr">
        <is>
          <t>HAGFORS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46258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46258</v>
      </c>
      <c r="F184" t="inlineStr">
        <is>
          <t>VÄRMLANDS LÄN</t>
        </is>
      </c>
      <c r="G184" t="inlineStr">
        <is>
          <t>HAGFORS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46258</v>
      </c>
      <c r="F185" t="inlineStr">
        <is>
          <t>VÄRMLANDS LÄN</t>
        </is>
      </c>
      <c r="G185" t="inlineStr">
        <is>
          <t>HAGFORS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46258</v>
      </c>
      <c r="F186" t="inlineStr">
        <is>
          <t>VÄRMLANDS LÄN</t>
        </is>
      </c>
      <c r="G186" t="inlineStr">
        <is>
          <t>HAGFORS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46258</v>
      </c>
      <c r="F187" t="inlineStr">
        <is>
          <t>VÄRMLANDS LÄN</t>
        </is>
      </c>
      <c r="G187" t="inlineStr">
        <is>
          <t>HAGFORS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44824</v>
      </c>
      <c r="E188" s="1" t="n">
        <v>46258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46258</v>
      </c>
      <c r="F189" t="inlineStr">
        <is>
          <t>VÄRMLANDS LÄN</t>
        </is>
      </c>
      <c r="G189" t="inlineStr">
        <is>
          <t>HAGFORS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46258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46258</v>
      </c>
      <c r="F191" t="inlineStr">
        <is>
          <t>VÄRMLANDS LÄN</t>
        </is>
      </c>
      <c r="G191" t="inlineStr">
        <is>
          <t>HAGFORS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46258</v>
      </c>
      <c r="F192" t="inlineStr">
        <is>
          <t>VÄRMLANDS LÄN</t>
        </is>
      </c>
      <c r="G192" t="inlineStr">
        <is>
          <t>HAGFORS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46258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46258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46258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44869</v>
      </c>
      <c r="E196" s="1" t="n">
        <v>46258</v>
      </c>
      <c r="F196" t="inlineStr">
        <is>
          <t>VÄRMLANDS LÄN</t>
        </is>
      </c>
      <c r="G196" t="inlineStr">
        <is>
          <t>HAGFORS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45201</v>
      </c>
      <c r="E197" s="1" t="n">
        <v>46258</v>
      </c>
      <c r="F197" t="inlineStr">
        <is>
          <t>VÄRMLANDS LÄN</t>
        </is>
      </c>
      <c r="G197" t="inlineStr">
        <is>
          <t>HAGFORS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71447-2021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44540</v>
      </c>
      <c r="E198" s="1" t="n">
        <v>46258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45790</v>
      </c>
      <c r="E199" s="1" t="n">
        <v>46258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46258</v>
      </c>
      <c r="F200" t="inlineStr">
        <is>
          <t>VÄRMLANDS LÄN</t>
        </is>
      </c>
      <c r="G200" t="inlineStr">
        <is>
          <t>HAGFORS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46258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45918</v>
      </c>
      <c r="E202" s="1" t="n">
        <v>46258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46258</v>
      </c>
      <c r="F203" t="inlineStr">
        <is>
          <t>VÄRMLANDS LÄN</t>
        </is>
      </c>
      <c r="G203" t="inlineStr">
        <is>
          <t>HAGFORS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45121</v>
      </c>
      <c r="E204" s="1" t="n">
        <v>46258</v>
      </c>
      <c r="F204" t="inlineStr">
        <is>
          <t>VÄRMLANDS LÄN</t>
        </is>
      </c>
      <c r="G204" t="inlineStr">
        <is>
          <t>HAGFORS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46258</v>
      </c>
      <c r="F205" t="inlineStr">
        <is>
          <t>VÄRMLANDS LÄN</t>
        </is>
      </c>
      <c r="G205" t="inlineStr">
        <is>
          <t>HAGFORS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45356</v>
      </c>
      <c r="E206" s="1" t="n">
        <v>46258</v>
      </c>
      <c r="F206" t="inlineStr">
        <is>
          <t>VÄRMLANDS LÄN</t>
        </is>
      </c>
      <c r="G206" t="inlineStr">
        <is>
          <t>HAGFORS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46258</v>
      </c>
      <c r="F207" t="inlineStr">
        <is>
          <t>VÄRMLANDS LÄN</t>
        </is>
      </c>
      <c r="G207" t="inlineStr">
        <is>
          <t>HAGFORS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46258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44434</v>
      </c>
      <c r="E209" s="1" t="n">
        <v>46258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45069</v>
      </c>
      <c r="E210" s="1" t="n">
        <v>46258</v>
      </c>
      <c r="F210" t="inlineStr">
        <is>
          <t>VÄRMLANDS LÄN</t>
        </is>
      </c>
      <c r="G210" t="inlineStr">
        <is>
          <t>HAGFORS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45684</v>
      </c>
      <c r="E211" s="1" t="n">
        <v>46258</v>
      </c>
      <c r="F211" t="inlineStr">
        <is>
          <t>VÄRMLANDS LÄN</t>
        </is>
      </c>
      <c r="G211" t="inlineStr">
        <is>
          <t>HAGFORS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46258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45509</v>
      </c>
      <c r="E213" s="1" t="n">
        <v>46258</v>
      </c>
      <c r="F213" t="inlineStr">
        <is>
          <t>VÄRMLANDS LÄN</t>
        </is>
      </c>
      <c r="G213" t="inlineStr">
        <is>
          <t>HAGFORS</t>
        </is>
      </c>
      <c r="H213" t="inlineStr">
        <is>
          <t>Kommuner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46258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46258</v>
      </c>
      <c r="F215" t="inlineStr">
        <is>
          <t>VÄRMLANDS LÄN</t>
        </is>
      </c>
      <c r="G215" t="inlineStr">
        <is>
          <t>HAGFORS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45218-2021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44439</v>
      </c>
      <c r="E216" s="1" t="n">
        <v>46258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46258</v>
      </c>
      <c r="F217" t="inlineStr">
        <is>
          <t>VÄRMLANDS LÄN</t>
        </is>
      </c>
      <c r="G217" t="inlineStr">
        <is>
          <t>HAGFORS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46258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46258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45928</v>
      </c>
      <c r="E220" s="1" t="n">
        <v>46258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45087</v>
      </c>
      <c r="E221" s="1" t="n">
        <v>46258</v>
      </c>
      <c r="F221" t="inlineStr">
        <is>
          <t>VÄRMLANDS LÄN</t>
        </is>
      </c>
      <c r="G221" t="inlineStr">
        <is>
          <t>HAGFORS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46258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45927</v>
      </c>
      <c r="E223" s="1" t="n">
        <v>46258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44664</v>
      </c>
      <c r="E224" s="1" t="n">
        <v>46258</v>
      </c>
      <c r="F224" t="inlineStr">
        <is>
          <t>VÄRMLANDS LÄN</t>
        </is>
      </c>
      <c r="G224" t="inlineStr">
        <is>
          <t>HAGFORS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45927</v>
      </c>
      <c r="E225" s="1" t="n">
        <v>46258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46258</v>
      </c>
      <c r="F226" t="inlineStr">
        <is>
          <t>VÄRMLANDS LÄN</t>
        </is>
      </c>
      <c r="G226" t="inlineStr">
        <is>
          <t>HAGFORS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46258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46258</v>
      </c>
      <c r="F228" t="inlineStr">
        <is>
          <t>VÄRMLANDS LÄN</t>
        </is>
      </c>
      <c r="G228" t="inlineStr">
        <is>
          <t>HAGFORS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46258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46258</v>
      </c>
      <c r="F230" t="inlineStr">
        <is>
          <t>VÄRMLANDS LÄN</t>
        </is>
      </c>
      <c r="G230" t="inlineStr">
        <is>
          <t>HAGFORS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45106</v>
      </c>
      <c r="E231" s="1" t="n">
        <v>46258</v>
      </c>
      <c r="F231" t="inlineStr">
        <is>
          <t>VÄRMLANDS LÄN</t>
        </is>
      </c>
      <c r="G231" t="inlineStr">
        <is>
          <t>HAGFORS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46258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46258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46258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46258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45414</v>
      </c>
      <c r="E236" s="1" t="n">
        <v>46258</v>
      </c>
      <c r="F236" t="inlineStr">
        <is>
          <t>VÄRMLANDS LÄN</t>
        </is>
      </c>
      <c r="G236" t="inlineStr">
        <is>
          <t>HAGFORS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46258</v>
      </c>
      <c r="F237" t="inlineStr">
        <is>
          <t>VÄRMLANDS LÄN</t>
        </is>
      </c>
      <c r="G237" t="inlineStr">
        <is>
          <t>HAGFORS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46258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58210-2022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44901</v>
      </c>
      <c r="E239" s="1" t="n">
        <v>46258</v>
      </c>
      <c r="F239" t="inlineStr">
        <is>
          <t>VÄRMLANDS LÄN</t>
        </is>
      </c>
      <c r="G239" t="inlineStr">
        <is>
          <t>HAGFORS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46258</v>
      </c>
      <c r="F240" t="inlineStr">
        <is>
          <t>VÄRMLANDS LÄN</t>
        </is>
      </c>
      <c r="G240" t="inlineStr">
        <is>
          <t>HAGFORS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46258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46258</v>
      </c>
      <c r="F242" t="inlineStr">
        <is>
          <t>VÄRMLANDS LÄN</t>
        </is>
      </c>
      <c r="G242" t="inlineStr">
        <is>
          <t>HAGFORS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46258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46258</v>
      </c>
      <c r="F244" t="inlineStr">
        <is>
          <t>VÄRMLANDS LÄN</t>
        </is>
      </c>
      <c r="G244" t="inlineStr">
        <is>
          <t>HAGFORS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46258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46258</v>
      </c>
      <c r="F246" t="inlineStr">
        <is>
          <t>VÄRMLANDS LÄN</t>
        </is>
      </c>
      <c r="G246" t="inlineStr">
        <is>
          <t>HAGFORS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53192-2022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44876</v>
      </c>
      <c r="E247" s="1" t="n">
        <v>46258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46258</v>
      </c>
      <c r="F248" t="inlineStr">
        <is>
          <t>VÄRMLANDS LÄN</t>
        </is>
      </c>
      <c r="G248" t="inlineStr">
        <is>
          <t>HAGFORS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46258</v>
      </c>
      <c r="F249" t="inlineStr">
        <is>
          <t>VÄRMLANDS LÄN</t>
        </is>
      </c>
      <c r="G249" t="inlineStr">
        <is>
          <t>HAGFORS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46258</v>
      </c>
      <c r="F250" t="inlineStr">
        <is>
          <t>VÄRMLANDS LÄN</t>
        </is>
      </c>
      <c r="G250" t="inlineStr">
        <is>
          <t>HAGFORS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46258</v>
      </c>
      <c r="F251" t="inlineStr">
        <is>
          <t>VÄRMLANDS LÄN</t>
        </is>
      </c>
      <c r="G251" t="inlineStr">
        <is>
          <t>HAGFORS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45941</v>
      </c>
      <c r="E252" s="1" t="n">
        <v>46258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6910-2024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46258</v>
      </c>
      <c r="F253" t="inlineStr">
        <is>
          <t>VÄRMLANDS LÄN</t>
        </is>
      </c>
      <c r="G253" t="inlineStr">
        <is>
          <t>HAGFORS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45947</v>
      </c>
      <c r="E254" s="1" t="n">
        <v>46258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46258</v>
      </c>
      <c r="F255" t="inlineStr">
        <is>
          <t>VÄRMLANDS LÄN</t>
        </is>
      </c>
      <c r="G255" t="inlineStr">
        <is>
          <t>HAGFORS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46258</v>
      </c>
      <c r="F256" t="inlineStr">
        <is>
          <t>VÄRMLANDS LÄN</t>
        </is>
      </c>
      <c r="G256" t="inlineStr">
        <is>
          <t>HAGFORS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46258</v>
      </c>
      <c r="F257" t="inlineStr">
        <is>
          <t>VÄRMLANDS LÄN</t>
        </is>
      </c>
      <c r="G257" t="inlineStr">
        <is>
          <t>HAGFORS</t>
        </is>
      </c>
      <c r="H257" t="inlineStr">
        <is>
          <t>Kommuner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46258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46258</v>
      </c>
      <c r="F259" t="inlineStr">
        <is>
          <t>VÄRMLANDS LÄN</t>
        </is>
      </c>
      <c r="G259" t="inlineStr">
        <is>
          <t>HAGFORS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45618</v>
      </c>
      <c r="E260" s="1" t="n">
        <v>46258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44613</v>
      </c>
      <c r="E261" s="1" t="n">
        <v>46258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46258</v>
      </c>
      <c r="F262" t="inlineStr">
        <is>
          <t>VÄRMLANDS LÄN</t>
        </is>
      </c>
      <c r="G262" t="inlineStr">
        <is>
          <t>HAGFORS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45258</v>
      </c>
      <c r="E263" s="1" t="n">
        <v>46258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46258</v>
      </c>
      <c r="F264" t="inlineStr">
        <is>
          <t>VÄRMLANDS LÄN</t>
        </is>
      </c>
      <c r="G264" t="inlineStr">
        <is>
          <t>HAGFORS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45949</v>
      </c>
      <c r="E265" s="1" t="n">
        <v>46258</v>
      </c>
      <c r="F265" t="inlineStr">
        <is>
          <t>VÄRMLANDS LÄN</t>
        </is>
      </c>
      <c r="G265" t="inlineStr">
        <is>
          <t>HAGFORS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61169-2024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45645</v>
      </c>
      <c r="E266" s="1" t="n">
        <v>46258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45653</v>
      </c>
      <c r="E267" s="1" t="n">
        <v>46258</v>
      </c>
      <c r="F267" t="inlineStr">
        <is>
          <t>VÄRMLANDS LÄN</t>
        </is>
      </c>
      <c r="G267" t="inlineStr">
        <is>
          <t>HAGFORS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45147</v>
      </c>
      <c r="E268" s="1" t="n">
        <v>46258</v>
      </c>
      <c r="F268" t="inlineStr">
        <is>
          <t>VÄRMLANDS LÄN</t>
        </is>
      </c>
      <c r="G268" t="inlineStr">
        <is>
          <t>HAGFORS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46258</v>
      </c>
      <c r="F269" t="inlineStr">
        <is>
          <t>VÄRMLANDS LÄN</t>
        </is>
      </c>
      <c r="G269" t="inlineStr">
        <is>
          <t>HAGFORS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46258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44834</v>
      </c>
      <c r="E271" s="1" t="n">
        <v>46258</v>
      </c>
      <c r="F271" t="inlineStr">
        <is>
          <t>VÄRMLANDS LÄN</t>
        </is>
      </c>
      <c r="G271" t="inlineStr">
        <is>
          <t>HAGFORS</t>
        </is>
      </c>
      <c r="H271" t="inlineStr">
        <is>
          <t>Kyrkan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45051</v>
      </c>
      <c r="E272" s="1" t="n">
        <v>46258</v>
      </c>
      <c r="F272" t="inlineStr">
        <is>
          <t>VÄRMLANDS LÄN</t>
        </is>
      </c>
      <c r="G272" t="inlineStr">
        <is>
          <t>HAGFORS</t>
        </is>
      </c>
      <c r="H272" t="inlineStr">
        <is>
          <t>Kommuner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46258</v>
      </c>
      <c r="F273" t="inlineStr">
        <is>
          <t>VÄRMLANDS LÄN</t>
        </is>
      </c>
      <c r="G273" t="inlineStr">
        <is>
          <t>HAGFORS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46258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52479-2025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45954</v>
      </c>
      <c r="E275" s="1" t="n">
        <v>46258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46258</v>
      </c>
      <c r="F276" t="inlineStr">
        <is>
          <t>VÄRMLANDS LÄN</t>
        </is>
      </c>
      <c r="G276" t="inlineStr">
        <is>
          <t>HAGFORS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46258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33440-2025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45841</v>
      </c>
      <c r="E278" s="1" t="n">
        <v>46258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45435</v>
      </c>
      <c r="E279" s="1" t="n">
        <v>46258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46258</v>
      </c>
      <c r="F280" t="inlineStr">
        <is>
          <t>VÄRMLANDS LÄN</t>
        </is>
      </c>
      <c r="G280" t="inlineStr">
        <is>
          <t>HAGFORS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46258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46258</v>
      </c>
      <c r="F282" t="inlineStr">
        <is>
          <t>VÄRMLANDS LÄN</t>
        </is>
      </c>
      <c r="G282" t="inlineStr">
        <is>
          <t>HAGFORS</t>
        </is>
      </c>
      <c r="H282" t="inlineStr">
        <is>
          <t>Kyrkan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45659</v>
      </c>
      <c r="E283" s="1" t="n">
        <v>46258</v>
      </c>
      <c r="F283" t="inlineStr">
        <is>
          <t>VÄRMLANDS LÄN</t>
        </is>
      </c>
      <c r="G283" t="inlineStr">
        <is>
          <t>HAGFORS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46258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45435</v>
      </c>
      <c r="E285" s="1" t="n">
        <v>46258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13850-2022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44649</v>
      </c>
      <c r="E286" s="1" t="n">
        <v>46258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46258</v>
      </c>
      <c r="F287" t="inlineStr">
        <is>
          <t>VÄRMLANDS LÄN</t>
        </is>
      </c>
      <c r="G287" t="inlineStr">
        <is>
          <t>HAGFORS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46258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46258</v>
      </c>
      <c r="F289" t="inlineStr">
        <is>
          <t>VÄRMLANDS LÄN</t>
        </is>
      </c>
      <c r="G289" t="inlineStr">
        <is>
          <t>HAGFORS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46258</v>
      </c>
      <c r="F290" t="inlineStr">
        <is>
          <t>VÄRMLANDS LÄN</t>
        </is>
      </c>
      <c r="G290" t="inlineStr">
        <is>
          <t>HAGFORS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70712-2021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46258</v>
      </c>
      <c r="F291" t="inlineStr">
        <is>
          <t>VÄRMLANDS LÄN</t>
        </is>
      </c>
      <c r="G291" t="inlineStr">
        <is>
          <t>HAGFORS</t>
        </is>
      </c>
      <c r="H291" t="inlineStr">
        <is>
          <t>Kommuner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46258</v>
      </c>
      <c r="F292" t="inlineStr">
        <is>
          <t>VÄRMLANDS LÄN</t>
        </is>
      </c>
      <c r="G292" t="inlineStr">
        <is>
          <t>HAGFORS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46258</v>
      </c>
      <c r="F293" t="inlineStr">
        <is>
          <t>VÄRMLANDS LÄN</t>
        </is>
      </c>
      <c r="G293" t="inlineStr">
        <is>
          <t>HAGFORS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46258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59048-2022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44903</v>
      </c>
      <c r="E295" s="1" t="n">
        <v>46258</v>
      </c>
      <c r="F295" t="inlineStr">
        <is>
          <t>VÄRMLANDS LÄN</t>
        </is>
      </c>
      <c r="G295" t="inlineStr">
        <is>
          <t>HAGFORS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44770</v>
      </c>
      <c r="E296" s="1" t="n">
        <v>46258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46258</v>
      </c>
      <c r="F297" t="inlineStr">
        <is>
          <t>VÄRMLANDS LÄN</t>
        </is>
      </c>
      <c r="G297" t="inlineStr">
        <is>
          <t>HAGFORS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34133-2025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46258</v>
      </c>
      <c r="F298" t="inlineStr">
        <is>
          <t>VÄRMLANDS LÄN</t>
        </is>
      </c>
      <c r="G298" t="inlineStr">
        <is>
          <t>HAGFORS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34149-2025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46258</v>
      </c>
      <c r="F299" t="inlineStr">
        <is>
          <t>VÄRMLANDS LÄN</t>
        </is>
      </c>
      <c r="G299" t="inlineStr">
        <is>
          <t>HAGFORS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45057</v>
      </c>
      <c r="E300" s="1" t="n">
        <v>46258</v>
      </c>
      <c r="F300" t="inlineStr">
        <is>
          <t>VÄRMLANDS LÄN</t>
        </is>
      </c>
      <c r="G300" t="inlineStr">
        <is>
          <t>HAGFORS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46258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46258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46258</v>
      </c>
      <c r="F303" t="inlineStr">
        <is>
          <t>VÄRMLANDS LÄN</t>
        </is>
      </c>
      <c r="G303" t="inlineStr">
        <is>
          <t>HAGFORS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46258</v>
      </c>
      <c r="F304" t="inlineStr">
        <is>
          <t>VÄRMLANDS LÄN</t>
        </is>
      </c>
      <c r="G304" t="inlineStr">
        <is>
          <t>HAGFORS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19554-2024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45429</v>
      </c>
      <c r="E305" s="1" t="n">
        <v>46258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44938</v>
      </c>
      <c r="E306" s="1" t="n">
        <v>46258</v>
      </c>
      <c r="F306" t="inlineStr">
        <is>
          <t>VÄRMLANDS LÄN</t>
        </is>
      </c>
      <c r="G306" t="inlineStr">
        <is>
          <t>HAGFORS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46258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46258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46258</v>
      </c>
      <c r="F309" t="inlineStr">
        <is>
          <t>VÄRMLANDS LÄN</t>
        </is>
      </c>
      <c r="G309" t="inlineStr">
        <is>
          <t>HAGFORS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44763</v>
      </c>
      <c r="E310" s="1" t="n">
        <v>46258</v>
      </c>
      <c r="F310" t="inlineStr">
        <is>
          <t>VÄRMLANDS LÄN</t>
        </is>
      </c>
      <c r="G310" t="inlineStr">
        <is>
          <t>HAGFORS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46258</v>
      </c>
      <c r="F311" t="inlineStr">
        <is>
          <t>VÄRMLANDS LÄN</t>
        </is>
      </c>
      <c r="G311" t="inlineStr">
        <is>
          <t>HAGFORS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45226</v>
      </c>
      <c r="E312" s="1" t="n">
        <v>46258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46258</v>
      </c>
      <c r="F313" t="inlineStr">
        <is>
          <t>VÄRMLANDS LÄN</t>
        </is>
      </c>
      <c r="G313" t="inlineStr">
        <is>
          <t>HAGFORS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46258</v>
      </c>
      <c r="F314" t="inlineStr">
        <is>
          <t>VÄRMLANDS LÄN</t>
        </is>
      </c>
      <c r="G314" t="inlineStr">
        <is>
          <t>HAGFORS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46258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46258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61140-2023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45261</v>
      </c>
      <c r="E317" s="1" t="n">
        <v>46258</v>
      </c>
      <c r="F317" t="inlineStr">
        <is>
          <t>VÄRMLANDS LÄN</t>
        </is>
      </c>
      <c r="G317" t="inlineStr">
        <is>
          <t>HAGFORS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45420</v>
      </c>
      <c r="E318" s="1" t="n">
        <v>46258</v>
      </c>
      <c r="F318" t="inlineStr">
        <is>
          <t>VÄRMLANDS LÄN</t>
        </is>
      </c>
      <c r="G318" t="inlineStr">
        <is>
          <t>HAGFORS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46258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45196</v>
      </c>
      <c r="E320" s="1" t="n">
        <v>46258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45461</v>
      </c>
      <c r="E321" s="1" t="n">
        <v>46258</v>
      </c>
      <c r="F321" t="inlineStr">
        <is>
          <t>VÄRMLANDS LÄN</t>
        </is>
      </c>
      <c r="G321" t="inlineStr">
        <is>
          <t>HAGFORS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46258</v>
      </c>
      <c r="F322" t="inlineStr">
        <is>
          <t>VÄRMLANDS LÄN</t>
        </is>
      </c>
      <c r="G322" t="inlineStr">
        <is>
          <t>HAGFORS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46258</v>
      </c>
      <c r="F323" t="inlineStr">
        <is>
          <t>VÄRMLANDS LÄN</t>
        </is>
      </c>
      <c r="G323" t="inlineStr">
        <is>
          <t>HAGFORS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45547</v>
      </c>
      <c r="E324" s="1" t="n">
        <v>46258</v>
      </c>
      <c r="F324" t="inlineStr">
        <is>
          <t>VÄRMLANDS LÄN</t>
        </is>
      </c>
      <c r="G324" t="inlineStr">
        <is>
          <t>HAGFORS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45975</v>
      </c>
      <c r="E325" s="1" t="n">
        <v>46258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46258</v>
      </c>
      <c r="F326" t="inlineStr">
        <is>
          <t>VÄRMLANDS LÄN</t>
        </is>
      </c>
      <c r="G326" t="inlineStr">
        <is>
          <t>HAGFORS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46258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46258</v>
      </c>
      <c r="F328" t="inlineStr">
        <is>
          <t>VÄRMLANDS LÄN</t>
        </is>
      </c>
      <c r="G328" t="inlineStr">
        <is>
          <t>HAGFORS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45565</v>
      </c>
      <c r="E329" s="1" t="n">
        <v>46258</v>
      </c>
      <c r="F329" t="inlineStr">
        <is>
          <t>VÄRMLANDS LÄN</t>
        </is>
      </c>
      <c r="G329" t="inlineStr">
        <is>
          <t>HAGFORS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45443</v>
      </c>
      <c r="E330" s="1" t="n">
        <v>46258</v>
      </c>
      <c r="F330" t="inlineStr">
        <is>
          <t>VÄRMLANDS LÄN</t>
        </is>
      </c>
      <c r="G330" t="inlineStr">
        <is>
          <t>HAGFORS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46258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45338</v>
      </c>
      <c r="E332" s="1" t="n">
        <v>46258</v>
      </c>
      <c r="F332" t="inlineStr">
        <is>
          <t>VÄRMLANDS LÄN</t>
        </is>
      </c>
      <c r="G332" t="inlineStr">
        <is>
          <t>HAGFORS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46258</v>
      </c>
      <c r="F333" t="inlineStr">
        <is>
          <t>VÄRMLANDS LÄN</t>
        </is>
      </c>
      <c r="G333" t="inlineStr">
        <is>
          <t>HAGFORS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45475</v>
      </c>
      <c r="E334" s="1" t="n">
        <v>46258</v>
      </c>
      <c r="F334" t="inlineStr">
        <is>
          <t>VÄRMLANDS LÄN</t>
        </is>
      </c>
      <c r="G334" t="inlineStr">
        <is>
          <t>HAGFORS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45525</v>
      </c>
      <c r="E335" s="1" t="n">
        <v>46258</v>
      </c>
      <c r="F335" t="inlineStr">
        <is>
          <t>VÄRMLANDS LÄN</t>
        </is>
      </c>
      <c r="G335" t="inlineStr">
        <is>
          <t>HAGFORS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46258</v>
      </c>
      <c r="F336" t="inlineStr">
        <is>
          <t>VÄRMLANDS LÄN</t>
        </is>
      </c>
      <c r="G336" t="inlineStr">
        <is>
          <t>HAGFORS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45784</v>
      </c>
      <c r="E337" s="1" t="n">
        <v>46258</v>
      </c>
      <c r="F337" t="inlineStr">
        <is>
          <t>VÄRMLANDS LÄN</t>
        </is>
      </c>
      <c r="G337" t="inlineStr">
        <is>
          <t>HAGFORS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46258</v>
      </c>
      <c r="F338" t="inlineStr">
        <is>
          <t>VÄRMLANDS LÄN</t>
        </is>
      </c>
      <c r="G338" t="inlineStr">
        <is>
          <t>HAGFORS</t>
        </is>
      </c>
      <c r="H338" t="inlineStr">
        <is>
          <t>Kyrkan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46258</v>
      </c>
      <c r="F339" t="inlineStr">
        <is>
          <t>VÄRMLANDS LÄN</t>
        </is>
      </c>
      <c r="G339" t="inlineStr">
        <is>
          <t>HAGFORS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45533</v>
      </c>
      <c r="E340" s="1" t="n">
        <v>46258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65065-2023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45287</v>
      </c>
      <c r="E341" s="1" t="n">
        <v>46258</v>
      </c>
      <c r="F341" t="inlineStr">
        <is>
          <t>VÄRMLANDS LÄN</t>
        </is>
      </c>
      <c r="G341" t="inlineStr">
        <is>
          <t>HAGFORS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46258</v>
      </c>
      <c r="F342" t="inlineStr">
        <is>
          <t>VÄRMLANDS LÄN</t>
        </is>
      </c>
      <c r="G342" t="inlineStr">
        <is>
          <t>HAGFORS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46258</v>
      </c>
      <c r="F343" t="inlineStr">
        <is>
          <t>VÄRMLANDS LÄN</t>
        </is>
      </c>
      <c r="G343" t="inlineStr">
        <is>
          <t>HAGFORS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52923-2023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46258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46258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45562</v>
      </c>
      <c r="E346" s="1" t="n">
        <v>46258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42178-2024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46258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45765</v>
      </c>
      <c r="E348" s="1" t="n">
        <v>46258</v>
      </c>
      <c r="F348" t="inlineStr">
        <is>
          <t>VÄRMLANDS LÄN</t>
        </is>
      </c>
      <c r="G348" t="inlineStr">
        <is>
          <t>HAGFORS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46258</v>
      </c>
      <c r="F349" t="inlineStr">
        <is>
          <t>VÄRMLANDS LÄN</t>
        </is>
      </c>
      <c r="G349" t="inlineStr">
        <is>
          <t>HAGFORS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57379-2022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44896</v>
      </c>
      <c r="E350" s="1" t="n">
        <v>46258</v>
      </c>
      <c r="F350" t="inlineStr">
        <is>
          <t>VÄRMLANDS LÄN</t>
        </is>
      </c>
      <c r="G350" t="inlineStr">
        <is>
          <t>HAGFORS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59047-2025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45988</v>
      </c>
      <c r="E351" s="1" t="n">
        <v>46258</v>
      </c>
      <c r="F351" t="inlineStr">
        <is>
          <t>VÄRMLANDS LÄN</t>
        </is>
      </c>
      <c r="G351" t="inlineStr">
        <is>
          <t>HAGFORS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46258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56165-2024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45624</v>
      </c>
      <c r="E353" s="1" t="n">
        <v>46258</v>
      </c>
      <c r="F353" t="inlineStr">
        <is>
          <t>VÄRMLANDS LÄN</t>
        </is>
      </c>
      <c r="G353" t="inlineStr">
        <is>
          <t>HAGFORS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58437-2023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45250</v>
      </c>
      <c r="E354" s="1" t="n">
        <v>46258</v>
      </c>
      <c r="F354" t="inlineStr">
        <is>
          <t>VÄRMLANDS LÄN</t>
        </is>
      </c>
      <c r="G354" t="inlineStr">
        <is>
          <t>HAGFORS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45854</v>
      </c>
      <c r="E355" s="1" t="n">
        <v>46258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45741</v>
      </c>
      <c r="E356" s="1" t="n">
        <v>46258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45475</v>
      </c>
      <c r="E357" s="1" t="n">
        <v>46258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45854</v>
      </c>
      <c r="E358" s="1" t="n">
        <v>46258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45475</v>
      </c>
      <c r="E359" s="1" t="n">
        <v>46258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46258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45534</v>
      </c>
      <c r="E361" s="1" t="n">
        <v>46258</v>
      </c>
      <c r="F361" t="inlineStr">
        <is>
          <t>VÄRMLANDS LÄN</t>
        </is>
      </c>
      <c r="G361" t="inlineStr">
        <is>
          <t>HAGFORS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52224-2023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45224</v>
      </c>
      <c r="E362" s="1" t="n">
        <v>46258</v>
      </c>
      <c r="F362" t="inlineStr">
        <is>
          <t>VÄRMLANDS LÄN</t>
        </is>
      </c>
      <c r="G362" t="inlineStr">
        <is>
          <t>HAGFORS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46258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18.8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44582</v>
      </c>
      <c r="E364" s="1" t="n">
        <v>46258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45147</v>
      </c>
      <c r="E365" s="1" t="n">
        <v>46258</v>
      </c>
      <c r="F365" t="inlineStr">
        <is>
          <t>VÄRMLANDS LÄN</t>
        </is>
      </c>
      <c r="G365" t="inlineStr">
        <is>
          <t>HAGFORS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46258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45725</v>
      </c>
      <c r="E367" s="1" t="n">
        <v>46258</v>
      </c>
      <c r="F367" t="inlineStr">
        <is>
          <t>VÄRMLANDS LÄN</t>
        </is>
      </c>
      <c r="G367" t="inlineStr">
        <is>
          <t>HAGFORS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39211-2022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44817</v>
      </c>
      <c r="E368" s="1" t="n">
        <v>46258</v>
      </c>
      <c r="F368" t="inlineStr">
        <is>
          <t>VÄRMLANDS LÄN</t>
        </is>
      </c>
      <c r="G368" t="inlineStr">
        <is>
          <t>HAGFORS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15270-2024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45400</v>
      </c>
      <c r="E369" s="1" t="n">
        <v>46258</v>
      </c>
      <c r="F369" t="inlineStr">
        <is>
          <t>VÄRMLANDS LÄN</t>
        </is>
      </c>
      <c r="G369" t="inlineStr">
        <is>
          <t>HAGFORS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46258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46258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60648-2025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46258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45793</v>
      </c>
      <c r="E373" s="1" t="n">
        <v>46258</v>
      </c>
      <c r="F373" t="inlineStr">
        <is>
          <t>VÄRMLANDS LÄN</t>
        </is>
      </c>
      <c r="G373" t="inlineStr">
        <is>
          <t>HAGFORS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46426-2024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45582</v>
      </c>
      <c r="E374" s="1" t="n">
        <v>46258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46258</v>
      </c>
      <c r="F375" t="inlineStr">
        <is>
          <t>VÄRMLANDS LÄN</t>
        </is>
      </c>
      <c r="G375" t="inlineStr">
        <is>
          <t>HAGFORS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19894-2024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45433</v>
      </c>
      <c r="E376" s="1" t="n">
        <v>46258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44567</v>
      </c>
      <c r="E377" s="1" t="n">
        <v>46258</v>
      </c>
      <c r="F377" t="inlineStr">
        <is>
          <t>VÄRMLANDS LÄN</t>
        </is>
      </c>
      <c r="G377" t="inlineStr">
        <is>
          <t>HAGFORS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45526</v>
      </c>
      <c r="E378" s="1" t="n">
        <v>46258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61843-2025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46003</v>
      </c>
      <c r="E379" s="1" t="n">
        <v>46258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46258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46258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45140</v>
      </c>
      <c r="E382" s="1" t="n">
        <v>46258</v>
      </c>
      <c r="F382" t="inlineStr">
        <is>
          <t>VÄRMLANDS LÄN</t>
        </is>
      </c>
      <c r="G382" t="inlineStr">
        <is>
          <t>HAGFORS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46002</v>
      </c>
      <c r="E383" s="1" t="n">
        <v>46258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46258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45673</v>
      </c>
      <c r="E385" s="1" t="n">
        <v>46258</v>
      </c>
      <c r="F385" t="inlineStr">
        <is>
          <t>VÄRMLANDS LÄN</t>
        </is>
      </c>
      <c r="G385" t="inlineStr">
        <is>
          <t>HAGFORS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61998-2025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46258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61910-2025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46003</v>
      </c>
      <c r="E387" s="1" t="n">
        <v>46258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45741</v>
      </c>
      <c r="E388" s="1" t="n">
        <v>46258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46258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46258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54757-2022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44883</v>
      </c>
      <c r="E391" s="1" t="n">
        <v>46258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45005</v>
      </c>
      <c r="E392" s="1" t="n">
        <v>46258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62168-2025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46006</v>
      </c>
      <c r="E393" s="1" t="n">
        <v>46258</v>
      </c>
      <c r="F393" t="inlineStr">
        <is>
          <t>VÄRMLANDS LÄN</t>
        </is>
      </c>
      <c r="G393" t="inlineStr">
        <is>
          <t>HAGFORS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44790</v>
      </c>
      <c r="E394" s="1" t="n">
        <v>46258</v>
      </c>
      <c r="F394" t="inlineStr">
        <is>
          <t>VÄRMLANDS LÄN</t>
        </is>
      </c>
      <c r="G394" t="inlineStr">
        <is>
          <t>HAGFORS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45090</v>
      </c>
      <c r="E395" s="1" t="n">
        <v>46258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46258</v>
      </c>
      <c r="F396" t="inlineStr">
        <is>
          <t>VÄRMLANDS LÄN</t>
        </is>
      </c>
      <c r="G396" t="inlineStr">
        <is>
          <t>HAGFORS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62125-2025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46258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45575</v>
      </c>
      <c r="E398" s="1" t="n">
        <v>46258</v>
      </c>
      <c r="F398" t="inlineStr">
        <is>
          <t>VÄRMLANDS LÄN</t>
        </is>
      </c>
      <c r="G398" t="inlineStr">
        <is>
          <t>HAGFORS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46258</v>
      </c>
      <c r="F399" t="inlineStr">
        <is>
          <t>VÄRMLANDS LÄN</t>
        </is>
      </c>
      <c r="G399" t="inlineStr">
        <is>
          <t>HAGFORS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45155</v>
      </c>
      <c r="E400" s="1" t="n">
        <v>46258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44809</v>
      </c>
      <c r="E401" s="1" t="n">
        <v>46258</v>
      </c>
      <c r="F401" t="inlineStr">
        <is>
          <t>VÄRMLANDS LÄN</t>
        </is>
      </c>
      <c r="G401" t="inlineStr">
        <is>
          <t>HAGFORS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46258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46008</v>
      </c>
      <c r="E403" s="1" t="n">
        <v>46258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45106</v>
      </c>
      <c r="E404" s="1" t="n">
        <v>46258</v>
      </c>
      <c r="F404" t="inlineStr">
        <is>
          <t>VÄRMLANDS LÄN</t>
        </is>
      </c>
      <c r="G404" t="inlineStr">
        <is>
          <t>HAGFORS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44904</v>
      </c>
      <c r="E405" s="1" t="n">
        <v>46258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45328</v>
      </c>
      <c r="E406" s="1" t="n">
        <v>46258</v>
      </c>
      <c r="F406" t="inlineStr">
        <is>
          <t>VÄRMLANDS LÄN</t>
        </is>
      </c>
      <c r="G406" t="inlineStr">
        <is>
          <t>HAGFORS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45268</v>
      </c>
      <c r="E407" s="1" t="n">
        <v>46258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45057</v>
      </c>
      <c r="E408" s="1" t="n">
        <v>46258</v>
      </c>
      <c r="F408" t="inlineStr">
        <is>
          <t>VÄRMLANDS LÄN</t>
        </is>
      </c>
      <c r="G408" t="inlineStr">
        <is>
          <t>HAGFORS</t>
        </is>
      </c>
      <c r="H408" t="inlineStr">
        <is>
          <t>Kyrkan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63301-2025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46258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63361-2025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46258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46258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64155-2023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45279</v>
      </c>
      <c r="E412" s="1" t="n">
        <v>46258</v>
      </c>
      <c r="F412" t="inlineStr">
        <is>
          <t>VÄRMLANDS LÄN</t>
        </is>
      </c>
      <c r="G412" t="inlineStr">
        <is>
          <t>HAGFORS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59449-2024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45638</v>
      </c>
      <c r="E413" s="1" t="n">
        <v>46258</v>
      </c>
      <c r="F413" t="inlineStr">
        <is>
          <t>VÄRMLANDS LÄN</t>
        </is>
      </c>
      <c r="G413" t="inlineStr">
        <is>
          <t>HAGFORS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53813-2024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45615</v>
      </c>
      <c r="E414" s="1" t="n">
        <v>46258</v>
      </c>
      <c r="F414" t="inlineStr">
        <is>
          <t>VÄRMLANDS LÄN</t>
        </is>
      </c>
      <c r="G414" t="inlineStr">
        <is>
          <t>HAGFORS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46020</v>
      </c>
      <c r="E415" s="1" t="n">
        <v>46258</v>
      </c>
      <c r="F415" t="inlineStr">
        <is>
          <t>VÄRMLANDS LÄN</t>
        </is>
      </c>
      <c r="G415" t="inlineStr">
        <is>
          <t>HAGFORS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63831-2025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46020</v>
      </c>
      <c r="E416" s="1" t="n">
        <v>46258</v>
      </c>
      <c r="F416" t="inlineStr">
        <is>
          <t>VÄRMLANDS LÄN</t>
        </is>
      </c>
      <c r="G416" t="inlineStr">
        <is>
          <t>HAGFORS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46018</v>
      </c>
      <c r="E417" s="1" t="n">
        <v>46258</v>
      </c>
      <c r="F417" t="inlineStr">
        <is>
          <t>VÄRMLANDS LÄN</t>
        </is>
      </c>
      <c r="G417" t="inlineStr">
        <is>
          <t>HAGFORS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63765-2025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46018</v>
      </c>
      <c r="E418" s="1" t="n">
        <v>46258</v>
      </c>
      <c r="F418" t="inlineStr">
        <is>
          <t>VÄRMLANDS LÄN</t>
        </is>
      </c>
      <c r="G418" t="inlineStr">
        <is>
          <t>HAGFORS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26859-2024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45470</v>
      </c>
      <c r="E419" s="1" t="n">
        <v>46258</v>
      </c>
      <c r="F419" t="inlineStr">
        <is>
          <t>VÄRMLANDS LÄN</t>
        </is>
      </c>
      <c r="G419" t="inlineStr">
        <is>
          <t>HAGFORS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63875-2025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46258</v>
      </c>
      <c r="F420" t="inlineStr">
        <is>
          <t>VÄRMLANDS LÄN</t>
        </is>
      </c>
      <c r="G420" t="inlineStr">
        <is>
          <t>HAGFORS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60390-2025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46258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46258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45838</v>
      </c>
      <c r="E423" s="1" t="n">
        <v>46258</v>
      </c>
      <c r="F423" t="inlineStr">
        <is>
          <t>VÄRMLANDS LÄN</t>
        </is>
      </c>
      <c r="G423" t="inlineStr">
        <is>
          <t>HAGFORS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48807-2025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45937</v>
      </c>
      <c r="E424" s="1" t="n">
        <v>46258</v>
      </c>
      <c r="F424" t="inlineStr">
        <is>
          <t>VÄRMLANDS LÄN</t>
        </is>
      </c>
      <c r="G424" t="inlineStr">
        <is>
          <t>HAGFORS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46258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22.7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46258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20.2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25258-2023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45079</v>
      </c>
      <c r="E427" s="1" t="n">
        <v>46258</v>
      </c>
      <c r="F427" t="inlineStr">
        <is>
          <t>VÄRMLANDS LÄN</t>
        </is>
      </c>
      <c r="G427" t="inlineStr">
        <is>
          <t>HAGFORS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975-2026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46030</v>
      </c>
      <c r="E428" s="1" t="n">
        <v>46258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11104-2022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44628</v>
      </c>
      <c r="E429" s="1" t="n">
        <v>46258</v>
      </c>
      <c r="F429" t="inlineStr">
        <is>
          <t>VÄRMLANDS LÄN</t>
        </is>
      </c>
      <c r="G429" t="inlineStr">
        <is>
          <t>HAGFORS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46258</v>
      </c>
      <c r="F430" t="inlineStr">
        <is>
          <t>VÄRMLANDS LÄN</t>
        </is>
      </c>
      <c r="G430" t="inlineStr">
        <is>
          <t>HAGFORS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46258</v>
      </c>
      <c r="F431" t="inlineStr">
        <is>
          <t>VÄRMLANDS LÄN</t>
        </is>
      </c>
      <c r="G431" t="inlineStr">
        <is>
          <t>HAGFORS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45107</v>
      </c>
      <c r="E432" s="1" t="n">
        <v>46258</v>
      </c>
      <c r="F432" t="inlineStr">
        <is>
          <t>VÄRMLANDS LÄN</t>
        </is>
      </c>
      <c r="G432" t="inlineStr">
        <is>
          <t>HAGFORS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16824-2023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45033</v>
      </c>
      <c r="E433" s="1" t="n">
        <v>46258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45201</v>
      </c>
      <c r="E434" s="1" t="n">
        <v>46258</v>
      </c>
      <c r="F434" t="inlineStr">
        <is>
          <t>VÄRMLANDS LÄN</t>
        </is>
      </c>
      <c r="G434" t="inlineStr">
        <is>
          <t>HAGFORS</t>
        </is>
      </c>
      <c r="I434" t="n">
        <v>7.7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46258</v>
      </c>
      <c r="F435" t="inlineStr">
        <is>
          <t>VÄRMLANDS LÄN</t>
        </is>
      </c>
      <c r="G435" t="inlineStr">
        <is>
          <t>HAGFORS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46258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45107</v>
      </c>
      <c r="E437" s="1" t="n">
        <v>46258</v>
      </c>
      <c r="F437" t="inlineStr">
        <is>
          <t>VÄRMLANDS LÄN</t>
        </is>
      </c>
      <c r="G437" t="inlineStr">
        <is>
          <t>HAGFORS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46258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57162-2024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46258</v>
      </c>
      <c r="F439" t="inlineStr">
        <is>
          <t>VÄRMLANDS LÄN</t>
        </is>
      </c>
      <c r="G439" t="inlineStr">
        <is>
          <t>HAGFORS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45212</v>
      </c>
      <c r="E440" s="1" t="n">
        <v>46258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56884-2023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46258</v>
      </c>
      <c r="F441" t="inlineStr">
        <is>
          <t>VÄRMLANDS LÄN</t>
        </is>
      </c>
      <c r="G441" t="inlineStr">
        <is>
          <t>HAGFORS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46258</v>
      </c>
      <c r="F442" t="inlineStr">
        <is>
          <t>VÄRMLANDS LÄN</t>
        </is>
      </c>
      <c r="G442" t="inlineStr">
        <is>
          <t>HAGFORS</t>
        </is>
      </c>
      <c r="H442" t="inlineStr">
        <is>
          <t>Kyrkan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47516-2023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45203</v>
      </c>
      <c r="E443" s="1" t="n">
        <v>46258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45506</v>
      </c>
      <c r="E444" s="1" t="n">
        <v>46258</v>
      </c>
      <c r="F444" t="inlineStr">
        <is>
          <t>VÄRMLANDS LÄN</t>
        </is>
      </c>
      <c r="G444" t="inlineStr">
        <is>
          <t>HAGFORS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45581</v>
      </c>
      <c r="E445" s="1" t="n">
        <v>46258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44951</v>
      </c>
      <c r="E446" s="1" t="n">
        <v>46258</v>
      </c>
      <c r="F446" t="inlineStr">
        <is>
          <t>VÄRMLANDS LÄN</t>
        </is>
      </c>
      <c r="G446" t="inlineStr">
        <is>
          <t>HAGFORS</t>
        </is>
      </c>
      <c r="H446" t="inlineStr">
        <is>
          <t>Kommuner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64936-2023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45282</v>
      </c>
      <c r="E447" s="1" t="n">
        <v>46258</v>
      </c>
      <c r="F447" t="inlineStr">
        <is>
          <t>VÄRMLANDS LÄN</t>
        </is>
      </c>
      <c r="G447" t="inlineStr">
        <is>
          <t>HAGFORS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45684</v>
      </c>
      <c r="E448" s="1" t="n">
        <v>46258</v>
      </c>
      <c r="F448" t="inlineStr">
        <is>
          <t>VÄRMLANDS LÄN</t>
        </is>
      </c>
      <c r="G448" t="inlineStr">
        <is>
          <t>HAGFORS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45436</v>
      </c>
      <c r="E449" s="1" t="n">
        <v>46258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44949</v>
      </c>
      <c r="E450" s="1" t="n">
        <v>46258</v>
      </c>
      <c r="F450" t="inlineStr">
        <is>
          <t>VÄRMLANDS LÄN</t>
        </is>
      </c>
      <c r="G450" t="inlineStr">
        <is>
          <t>HAGFORS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36494-2025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46258</v>
      </c>
      <c r="F451" t="inlineStr">
        <is>
          <t>VÄRMLANDS LÄN</t>
        </is>
      </c>
      <c r="G451" t="inlineStr">
        <is>
          <t>HAGFORS</t>
        </is>
      </c>
      <c r="H451" t="inlineStr">
        <is>
          <t>Kyrkan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46258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46162</v>
      </c>
      <c r="E453" s="1" t="n">
        <v>46258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46258</v>
      </c>
      <c r="F454" t="inlineStr">
        <is>
          <t>VÄRMLANDS LÄN</t>
        </is>
      </c>
      <c r="G454" t="inlineStr">
        <is>
          <t>HAGFORS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46258</v>
      </c>
      <c r="F455" t="inlineStr">
        <is>
          <t>VÄRMLANDS LÄN</t>
        </is>
      </c>
      <c r="G455" t="inlineStr">
        <is>
          <t>HAGFORS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30327-2022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44760</v>
      </c>
      <c r="E456" s="1" t="n">
        <v>46258</v>
      </c>
      <c r="F456" t="inlineStr">
        <is>
          <t>VÄRMLANDS LÄN</t>
        </is>
      </c>
      <c r="G456" t="inlineStr">
        <is>
          <t>HAGFORS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46258</v>
      </c>
      <c r="F457" t="inlineStr">
        <is>
          <t>VÄRMLANDS LÄN</t>
        </is>
      </c>
      <c r="G457" t="inlineStr">
        <is>
          <t>HAGFORS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46258</v>
      </c>
      <c r="F458" t="inlineStr">
        <is>
          <t>VÄRMLANDS LÄN</t>
        </is>
      </c>
      <c r="G458" t="inlineStr">
        <is>
          <t>HAGFORS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23728-2026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46164</v>
      </c>
      <c r="E459" s="1" t="n">
        <v>46258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46258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45050</v>
      </c>
      <c r="E461" s="1" t="n">
        <v>46258</v>
      </c>
      <c r="F461" t="inlineStr">
        <is>
          <t>VÄRMLANDS LÄN</t>
        </is>
      </c>
      <c r="G461" t="inlineStr">
        <is>
          <t>HAGFORS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46258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30635-2025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46258</v>
      </c>
      <c r="F463" t="inlineStr">
        <is>
          <t>VÄRMLANDS LÄN</t>
        </is>
      </c>
      <c r="G463" t="inlineStr">
        <is>
          <t>HAGFORS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30642-2025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46258</v>
      </c>
      <c r="F464" t="inlineStr">
        <is>
          <t>VÄRMLANDS LÄN</t>
        </is>
      </c>
      <c r="G464" t="inlineStr">
        <is>
          <t>HAGFORS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46258</v>
      </c>
      <c r="F465" t="inlineStr">
        <is>
          <t>VÄRMLANDS LÄN</t>
        </is>
      </c>
      <c r="G465" t="inlineStr">
        <is>
          <t>HAGFORS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46258</v>
      </c>
      <c r="F466" t="inlineStr">
        <is>
          <t>VÄRMLANDS LÄN</t>
        </is>
      </c>
      <c r="G466" t="inlineStr">
        <is>
          <t>HAGFORS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46258</v>
      </c>
      <c r="F467" t="inlineStr">
        <is>
          <t>VÄRMLANDS LÄN</t>
        </is>
      </c>
      <c r="G467" t="inlineStr">
        <is>
          <t>HAGFORS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46258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46258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24240-2026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46258</v>
      </c>
      <c r="F470" t="inlineStr">
        <is>
          <t>VÄRMLANDS LÄN</t>
        </is>
      </c>
      <c r="G470" t="inlineStr">
        <is>
          <t>HAGFORS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46258</v>
      </c>
      <c r="F471" t="inlineStr">
        <is>
          <t>VÄRMLANDS LÄN</t>
        </is>
      </c>
      <c r="G471" t="inlineStr">
        <is>
          <t>HAGFORS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46258</v>
      </c>
      <c r="F472" t="inlineStr">
        <is>
          <t>VÄRMLANDS LÄN</t>
        </is>
      </c>
      <c r="G472" t="inlineStr">
        <is>
          <t>HAGFORS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45569</v>
      </c>
      <c r="E473" s="1" t="n">
        <v>46258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45356</v>
      </c>
      <c r="E474" s="1" t="n">
        <v>46258</v>
      </c>
      <c r="F474" t="inlineStr">
        <is>
          <t>VÄRMLANDS LÄN</t>
        </is>
      </c>
      <c r="G474" t="inlineStr">
        <is>
          <t>HAGFORS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39029-2022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44817</v>
      </c>
      <c r="E475" s="1" t="n">
        <v>46258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45681</v>
      </c>
      <c r="E476" s="1" t="n">
        <v>46258</v>
      </c>
      <c r="F476" t="inlineStr">
        <is>
          <t>VÄRMLANDS LÄN</t>
        </is>
      </c>
      <c r="G476" t="inlineStr">
        <is>
          <t>HAGFORS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46258</v>
      </c>
      <c r="F477" t="inlineStr">
        <is>
          <t>VÄRMLANDS LÄN</t>
        </is>
      </c>
      <c r="G477" t="inlineStr">
        <is>
          <t>HAGFORS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24625-2026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46171</v>
      </c>
      <c r="E478" s="1" t="n">
        <v>46258</v>
      </c>
      <c r="F478" t="inlineStr">
        <is>
          <t>VÄRMLANDS LÄN</t>
        </is>
      </c>
      <c r="G478" t="inlineStr">
        <is>
          <t>HAGFORS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16153-2025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45750</v>
      </c>
      <c r="E479" s="1" t="n">
        <v>46258</v>
      </c>
      <c r="F479" t="inlineStr">
        <is>
          <t>VÄRMLANDS LÄN</t>
        </is>
      </c>
      <c r="G479" t="inlineStr">
        <is>
          <t>HAGFORS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15228-2024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45400</v>
      </c>
      <c r="E480" s="1" t="n">
        <v>46258</v>
      </c>
      <c r="F480" t="inlineStr">
        <is>
          <t>VÄRMLANDS LÄN</t>
        </is>
      </c>
      <c r="G480" t="inlineStr">
        <is>
          <t>HAGFORS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46258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24677-2026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46171</v>
      </c>
      <c r="E482" s="1" t="n">
        <v>46258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24761-2026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46171</v>
      </c>
      <c r="E483" s="1" t="n">
        <v>46258</v>
      </c>
      <c r="F483" t="inlineStr">
        <is>
          <t>VÄRMLANDS LÄN</t>
        </is>
      </c>
      <c r="G483" t="inlineStr">
        <is>
          <t>HAGFORS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45812</v>
      </c>
      <c r="E484" s="1" t="n">
        <v>46258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46258</v>
      </c>
      <c r="F485" t="inlineStr">
        <is>
          <t>VÄRMLANDS LÄN</t>
        </is>
      </c>
      <c r="G485" t="inlineStr">
        <is>
          <t>HAGFORS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24628-2026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46171</v>
      </c>
      <c r="E486" s="1" t="n">
        <v>46258</v>
      </c>
      <c r="F486" t="inlineStr">
        <is>
          <t>VÄRMLANDS LÄN</t>
        </is>
      </c>
      <c r="G486" t="inlineStr">
        <is>
          <t>HAGFORS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45373</v>
      </c>
      <c r="E487" s="1" t="n">
        <v>46258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46258</v>
      </c>
      <c r="F488" t="inlineStr">
        <is>
          <t>VÄRMLANDS LÄN</t>
        </is>
      </c>
      <c r="G488" t="inlineStr">
        <is>
          <t>HAGFORS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46171</v>
      </c>
      <c r="E489" s="1" t="n">
        <v>46258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24699-2026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46171</v>
      </c>
      <c r="E490" s="1" t="n">
        <v>46258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24626-2026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46171</v>
      </c>
      <c r="E491" s="1" t="n">
        <v>46258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45110</v>
      </c>
      <c r="E492" s="1" t="n">
        <v>46258</v>
      </c>
      <c r="F492" t="inlineStr">
        <is>
          <t>VÄRMLANDS LÄN</t>
        </is>
      </c>
      <c r="G492" t="inlineStr">
        <is>
          <t>HAGFORS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46258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58808-2022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44903</v>
      </c>
      <c r="E494" s="1" t="n">
        <v>46258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8555-2026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46258</v>
      </c>
      <c r="F495" t="inlineStr">
        <is>
          <t>VÄRMLANDS LÄN</t>
        </is>
      </c>
      <c r="G495" t="inlineStr">
        <is>
          <t>HAGFORS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20652-2022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44700</v>
      </c>
      <c r="E496" s="1" t="n">
        <v>46258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46258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45420</v>
      </c>
      <c r="E498" s="1" t="n">
        <v>46258</v>
      </c>
      <c r="F498" t="inlineStr">
        <is>
          <t>VÄRMLANDS LÄN</t>
        </is>
      </c>
      <c r="G498" t="inlineStr">
        <is>
          <t>HAGFORS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58132-2024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45632</v>
      </c>
      <c r="E499" s="1" t="n">
        <v>46258</v>
      </c>
      <c r="F499" t="inlineStr">
        <is>
          <t>VÄRMLANDS LÄN</t>
        </is>
      </c>
      <c r="G499" t="inlineStr">
        <is>
          <t>HAGFORS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46258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45679</v>
      </c>
      <c r="E501" s="1" t="n">
        <v>46258</v>
      </c>
      <c r="F501" t="inlineStr">
        <is>
          <t>VÄRMLANDS LÄN</t>
        </is>
      </c>
      <c r="G501" t="inlineStr">
        <is>
          <t>HAGFORS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46258</v>
      </c>
      <c r="F502" t="inlineStr">
        <is>
          <t>VÄRMLANDS LÄN</t>
        </is>
      </c>
      <c r="G502" t="inlineStr">
        <is>
          <t>HAGFORS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46258</v>
      </c>
      <c r="F503" t="inlineStr">
        <is>
          <t>VÄRMLANDS LÄN</t>
        </is>
      </c>
      <c r="G503" t="inlineStr">
        <is>
          <t>HAGFORS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46258</v>
      </c>
      <c r="F504" t="inlineStr">
        <is>
          <t>VÄRMLANDS LÄN</t>
        </is>
      </c>
      <c r="G504" t="inlineStr">
        <is>
          <t>HAGFORS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45398</v>
      </c>
      <c r="E505" s="1" t="n">
        <v>46258</v>
      </c>
      <c r="F505" t="inlineStr">
        <is>
          <t>VÄRMLANDS LÄN</t>
        </is>
      </c>
      <c r="G505" t="inlineStr">
        <is>
          <t>HAGFORS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46258</v>
      </c>
      <c r="F506" t="inlineStr">
        <is>
          <t>VÄRMLANDS LÄN</t>
        </is>
      </c>
      <c r="G506" t="inlineStr">
        <is>
          <t>HAGFORS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46258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46258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46258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46258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46258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46258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46258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46258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46258</v>
      </c>
      <c r="F515" t="inlineStr">
        <is>
          <t>VÄRMLANDS LÄN</t>
        </is>
      </c>
      <c r="G515" t="inlineStr">
        <is>
          <t>HAGFORS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46258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46225</v>
      </c>
      <c r="E517" s="1" t="n">
        <v>46258</v>
      </c>
      <c r="F517" t="inlineStr">
        <is>
          <t>VÄRMLANDS LÄN</t>
        </is>
      </c>
      <c r="G517" t="inlineStr">
        <is>
          <t>HAGFORS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46258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46258</v>
      </c>
      <c r="F519" t="inlineStr">
        <is>
          <t>VÄRMLANDS LÄN</t>
        </is>
      </c>
      <c r="G519" t="inlineStr">
        <is>
          <t>HAGFORS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46258</v>
      </c>
      <c r="F520" t="inlineStr">
        <is>
          <t>VÄRMLANDS LÄN</t>
        </is>
      </c>
      <c r="G520" t="inlineStr">
        <is>
          <t>HAGFORS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46226</v>
      </c>
      <c r="E521" s="1" t="n">
        <v>46258</v>
      </c>
      <c r="F521" t="inlineStr">
        <is>
          <t>VÄRMLANDS LÄN</t>
        </is>
      </c>
      <c r="G521" t="inlineStr">
        <is>
          <t>HAGFORS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12295-2026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46258</v>
      </c>
      <c r="F522" t="inlineStr">
        <is>
          <t>VÄRMLANDS LÄN</t>
        </is>
      </c>
      <c r="G522" t="inlineStr">
        <is>
          <t>HAGFORS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52378-2021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44465</v>
      </c>
      <c r="E523" s="1" t="n">
        <v>46258</v>
      </c>
      <c r="F523" t="inlineStr">
        <is>
          <t>VÄRMLANDS LÄN</t>
        </is>
      </c>
      <c r="G523" t="inlineStr">
        <is>
          <t>HAGFORS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31671-2026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46225</v>
      </c>
      <c r="E524" s="1" t="n">
        <v>46258</v>
      </c>
      <c r="F524" t="inlineStr">
        <is>
          <t>VÄRMLANDS LÄN</t>
        </is>
      </c>
      <c r="G524" t="inlineStr">
        <is>
          <t>HAGFORS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46258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46258</v>
      </c>
      <c r="F526" t="inlineStr">
        <is>
          <t>VÄRMLANDS LÄN</t>
        </is>
      </c>
      <c r="G526" t="inlineStr">
        <is>
          <t>HAGFORS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46258</v>
      </c>
      <c r="F527" t="inlineStr">
        <is>
          <t>VÄRMLANDS LÄN</t>
        </is>
      </c>
      <c r="G527" t="inlineStr">
        <is>
          <t>HAGFORS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46258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45212</v>
      </c>
      <c r="E529" s="1" t="n">
        <v>46258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46258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46258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46258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17.2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27306-2026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46258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27268-2026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46258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46258</v>
      </c>
      <c r="F535" t="inlineStr">
        <is>
          <t>VÄRMLANDS LÄN</t>
        </is>
      </c>
      <c r="G535" t="inlineStr">
        <is>
          <t>HAGFORS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56888-2023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46258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26864-2026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46258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46258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44610</v>
      </c>
      <c r="E539" s="1" t="n">
        <v>46258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13360-2026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46258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13419-2026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46094</v>
      </c>
      <c r="E541" s="1" t="n">
        <v>46258</v>
      </c>
      <c r="F541" t="inlineStr">
        <is>
          <t>VÄRMLANDS LÄN</t>
        </is>
      </c>
      <c r="G541" t="inlineStr">
        <is>
          <t>HAGFORS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46258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18.2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46258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46258</v>
      </c>
      <c r="F544" t="inlineStr">
        <is>
          <t>VÄRMLANDS LÄN</t>
        </is>
      </c>
      <c r="G544" t="inlineStr">
        <is>
          <t>HAGFORS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46258</v>
      </c>
      <c r="F545" t="inlineStr">
        <is>
          <t>VÄRMLANDS LÄN</t>
        </is>
      </c>
      <c r="G545" t="inlineStr">
        <is>
          <t>HAGFORS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46258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46258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13809-2026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46258</v>
      </c>
      <c r="F548" t="inlineStr">
        <is>
          <t>VÄRMLANDS LÄN</t>
        </is>
      </c>
      <c r="G548" t="inlineStr">
        <is>
          <t>HAGFORS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46258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46189</v>
      </c>
      <c r="E550" s="1" t="n">
        <v>46258</v>
      </c>
      <c r="F550" t="inlineStr">
        <is>
          <t>VÄRMLANDS LÄN</t>
        </is>
      </c>
      <c r="G550" t="inlineStr">
        <is>
          <t>HAGFORS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44950</v>
      </c>
      <c r="E551" s="1" t="n">
        <v>46258</v>
      </c>
      <c r="F551" t="inlineStr">
        <is>
          <t>VÄRMLANDS LÄN</t>
        </is>
      </c>
      <c r="G551" t="inlineStr">
        <is>
          <t>HAGFORS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46258</v>
      </c>
      <c r="F552" t="inlineStr">
        <is>
          <t>VÄRMLANDS LÄN</t>
        </is>
      </c>
      <c r="G552" t="inlineStr">
        <is>
          <t>HAGFORS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46099</v>
      </c>
      <c r="E553" s="1" t="n">
        <v>46258</v>
      </c>
      <c r="F553" t="inlineStr">
        <is>
          <t>VÄRMLANDS LÄN</t>
        </is>
      </c>
      <c r="G553" t="inlineStr">
        <is>
          <t>HAGFORS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46233</v>
      </c>
      <c r="E554" s="1" t="n">
        <v>46258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46258</v>
      </c>
      <c r="F555" t="inlineStr">
        <is>
          <t>VÄRMLANDS LÄN</t>
        </is>
      </c>
      <c r="G555" t="inlineStr">
        <is>
          <t>HAGFORS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27394-2026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46258</v>
      </c>
      <c r="F556" t="inlineStr">
        <is>
          <t>VÄRMLANDS LÄN</t>
        </is>
      </c>
      <c r="G556" t="inlineStr">
        <is>
          <t>HAGFORS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46258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46258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15031-2026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46104</v>
      </c>
      <c r="E559" s="1" t="n">
        <v>46258</v>
      </c>
      <c r="F559" t="inlineStr">
        <is>
          <t>VÄRMLANDS LÄN</t>
        </is>
      </c>
      <c r="G559" t="inlineStr">
        <is>
          <t>HAGFORS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14574-2026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46258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46191</v>
      </c>
      <c r="E561" s="1" t="n">
        <v>46258</v>
      </c>
      <c r="F561" t="inlineStr">
        <is>
          <t>VÄRMLANDS LÄN</t>
        </is>
      </c>
      <c r="G561" t="inlineStr">
        <is>
          <t>HAGFORS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46258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45518</v>
      </c>
      <c r="E563" s="1" t="n">
        <v>46258</v>
      </c>
      <c r="F563" t="inlineStr">
        <is>
          <t>VÄRMLANDS LÄN</t>
        </is>
      </c>
      <c r="G563" t="inlineStr">
        <is>
          <t>HAGFORS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42223-2022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46258</v>
      </c>
      <c r="F564" t="inlineStr">
        <is>
          <t>VÄRMLANDS LÄN</t>
        </is>
      </c>
      <c r="G564" t="inlineStr">
        <is>
          <t>HAGFORS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46258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15639-2026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46258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15491-2026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46258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19125-2024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46258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19.5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46258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46258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15213-2026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46105</v>
      </c>
      <c r="E571" s="1" t="n">
        <v>46258</v>
      </c>
      <c r="F571" t="inlineStr">
        <is>
          <t>VÄRMLANDS LÄN</t>
        </is>
      </c>
      <c r="G571" t="inlineStr">
        <is>
          <t>HAGFORS</t>
        </is>
      </c>
      <c r="H571" t="inlineStr">
        <is>
          <t>Kyrkan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15554-2026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46258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46258</v>
      </c>
      <c r="F573" t="inlineStr">
        <is>
          <t>VÄRMLANDS LÄN</t>
        </is>
      </c>
      <c r="G573" t="inlineStr">
        <is>
          <t>HAGFORS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32483-2026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46258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32490-2026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46239</v>
      </c>
      <c r="E575" s="1" t="n">
        <v>46258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19.3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16146-2026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46258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32507-2026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46239</v>
      </c>
      <c r="E577" s="1" t="n">
        <v>46258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32535-2026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46258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46108</v>
      </c>
      <c r="E579" s="1" t="n">
        <v>46258</v>
      </c>
      <c r="F579" t="inlineStr">
        <is>
          <t>VÄRMLANDS LÄN</t>
        </is>
      </c>
      <c r="G579" t="inlineStr">
        <is>
          <t>HAGFORS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46258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46258</v>
      </c>
      <c r="F581" t="inlineStr">
        <is>
          <t>VÄRMLANDS LÄN</t>
        </is>
      </c>
      <c r="G581" t="inlineStr">
        <is>
          <t>HAGFORS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45763</v>
      </c>
      <c r="E582" s="1" t="n">
        <v>46258</v>
      </c>
      <c r="F582" t="inlineStr">
        <is>
          <t>VÄRMLANDS LÄN</t>
        </is>
      </c>
      <c r="G582" t="inlineStr">
        <is>
          <t>HAGFORS</t>
        </is>
      </c>
      <c r="H582" t="inlineStr">
        <is>
          <t>Kyrkan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46258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46258</v>
      </c>
      <c r="F584" t="inlineStr">
        <is>
          <t>VÄRMLANDS LÄN</t>
        </is>
      </c>
      <c r="G584" t="inlineStr">
        <is>
          <t>HAGFORS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46258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46258</v>
      </c>
      <c r="F586" t="inlineStr">
        <is>
          <t>VÄRMLANDS LÄN</t>
        </is>
      </c>
      <c r="G586" t="inlineStr">
        <is>
          <t>HAGFORS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46258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47019-2023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45201</v>
      </c>
      <c r="E588" s="1" t="n">
        <v>46258</v>
      </c>
      <c r="F588" t="inlineStr">
        <is>
          <t>VÄRMLANDS LÄN</t>
        </is>
      </c>
      <c r="G588" t="inlineStr">
        <is>
          <t>HAGFORS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46122</v>
      </c>
      <c r="E589" s="1" t="n">
        <v>46258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28788-2026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46258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9.699999999999999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17778-2026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46258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60664-2023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45259</v>
      </c>
      <c r="E592" s="1" t="n">
        <v>46258</v>
      </c>
      <c r="F592" t="inlineStr">
        <is>
          <t>VÄRMLANDS LÄN</t>
        </is>
      </c>
      <c r="G592" t="inlineStr">
        <is>
          <t>HAGFORS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35775-2024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45532</v>
      </c>
      <c r="E593" s="1" t="n">
        <v>46258</v>
      </c>
      <c r="F593" t="inlineStr">
        <is>
          <t>VÄRMLANDS LÄN</t>
        </is>
      </c>
      <c r="G593" t="inlineStr">
        <is>
          <t>HAGFORS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46258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28748-2026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46258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28625-2026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46258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18217-2026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46126</v>
      </c>
      <c r="E597" s="1" t="n">
        <v>46258</v>
      </c>
      <c r="F597" t="inlineStr">
        <is>
          <t>VÄRMLANDS LÄN</t>
        </is>
      </c>
      <c r="G597" t="inlineStr">
        <is>
          <t>HAGFORS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46258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46200</v>
      </c>
      <c r="E599" s="1" t="n">
        <v>46258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29103-2026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46200</v>
      </c>
      <c r="E600" s="1" t="n">
        <v>46258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27855-2026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46191</v>
      </c>
      <c r="E601" s="1" t="n">
        <v>46258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46129</v>
      </c>
      <c r="E602" s="1" t="n">
        <v>46258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46258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18901-2026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46129</v>
      </c>
      <c r="E604" s="1" t="n">
        <v>46258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46258</v>
      </c>
      <c r="F605" t="inlineStr">
        <is>
          <t>VÄRMLANDS LÄN</t>
        </is>
      </c>
      <c r="G605" t="inlineStr">
        <is>
          <t>HAGFORS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57359-2022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46258</v>
      </c>
      <c r="F606" t="inlineStr">
        <is>
          <t>VÄRMLANDS LÄN</t>
        </is>
      </c>
      <c r="G606" t="inlineStr">
        <is>
          <t>HAGFORS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46128</v>
      </c>
      <c r="E607" s="1" t="n">
        <v>46258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41092-2024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46258</v>
      </c>
      <c r="F608" t="inlineStr">
        <is>
          <t>VÄRMLANDS LÄN</t>
        </is>
      </c>
      <c r="G608" t="inlineStr">
        <is>
          <t>HAGFORS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46258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46258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46258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46258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46258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19421-2026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46258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46258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46245</v>
      </c>
      <c r="E616" s="1" t="n">
        <v>46258</v>
      </c>
      <c r="F616" t="inlineStr">
        <is>
          <t>VÄRMLANDS LÄN</t>
        </is>
      </c>
      <c r="G616" t="inlineStr">
        <is>
          <t>HAGFORS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58084-2024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45632</v>
      </c>
      <c r="E617" s="1" t="n">
        <v>46258</v>
      </c>
      <c r="F617" t="inlineStr">
        <is>
          <t>VÄRMLANDS LÄN</t>
        </is>
      </c>
      <c r="G617" t="inlineStr">
        <is>
          <t>HAGFORS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19702-2022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44694</v>
      </c>
      <c r="E618" s="1" t="n">
        <v>46258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46258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46133</v>
      </c>
      <c r="E620" s="1" t="n">
        <v>46258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46258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20260-2026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46258</v>
      </c>
      <c r="F622" t="inlineStr">
        <is>
          <t>VÄRMLANDS LÄN</t>
        </is>
      </c>
      <c r="G622" t="inlineStr">
        <is>
          <t>HAGFORS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46258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46258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22503-2024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45447</v>
      </c>
      <c r="E625" s="1" t="n">
        <v>46258</v>
      </c>
      <c r="F625" t="inlineStr">
        <is>
          <t>VÄRMLANDS LÄN</t>
        </is>
      </c>
      <c r="G625" t="inlineStr">
        <is>
          <t>HAGFORS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46203</v>
      </c>
      <c r="E626" s="1" t="n">
        <v>46258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4279-2024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45324</v>
      </c>
      <c r="E627" s="1" t="n">
        <v>46258</v>
      </c>
      <c r="F627" t="inlineStr">
        <is>
          <t>VÄRMLANDS LÄN</t>
        </is>
      </c>
      <c r="G627" t="inlineStr">
        <is>
          <t>HAGFORS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44571</v>
      </c>
      <c r="E628" s="1" t="n">
        <v>46258</v>
      </c>
      <c r="F628" t="inlineStr">
        <is>
          <t>VÄRMLANDS LÄN</t>
        </is>
      </c>
      <c r="G628" t="inlineStr">
        <is>
          <t>HAGFORS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46258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46258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46258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45446</v>
      </c>
      <c r="E632" s="1" t="n">
        <v>46258</v>
      </c>
      <c r="F632" t="inlineStr">
        <is>
          <t>VÄRMLANDS LÄN</t>
        </is>
      </c>
      <c r="G632" t="inlineStr">
        <is>
          <t>HAGFORS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46020</v>
      </c>
      <c r="E633" s="1" t="n">
        <v>46258</v>
      </c>
      <c r="F633" t="inlineStr">
        <is>
          <t>VÄRMLANDS LÄN</t>
        </is>
      </c>
      <c r="G633" t="inlineStr">
        <is>
          <t>HAGFORS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12426-2024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45379</v>
      </c>
      <c r="E634" s="1" t="n">
        <v>46258</v>
      </c>
      <c r="F634" t="inlineStr">
        <is>
          <t>VÄRMLANDS LÄN</t>
        </is>
      </c>
      <c r="G634" t="inlineStr">
        <is>
          <t>HAGFORS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8922-2025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45713</v>
      </c>
      <c r="E635" s="1" t="n">
        <v>46258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46258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33635-2026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46248</v>
      </c>
      <c r="E637" s="1" t="n">
        <v>46258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12778-2025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45733</v>
      </c>
      <c r="E638" s="1" t="n">
        <v>46258</v>
      </c>
      <c r="F638" t="inlineStr">
        <is>
          <t>VÄRMLANDS LÄN</t>
        </is>
      </c>
      <c r="G638" t="inlineStr">
        <is>
          <t>HAGFORS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30141-2026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46258</v>
      </c>
      <c r="F639" t="inlineStr">
        <is>
          <t>VÄRMLANDS LÄN</t>
        </is>
      </c>
      <c r="G639" t="inlineStr">
        <is>
          <t>HAGFORS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33187-2025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46258</v>
      </c>
      <c r="F640" t="inlineStr">
        <is>
          <t>VÄRMLANDS LÄN</t>
        </is>
      </c>
      <c r="G640" t="inlineStr">
        <is>
          <t>HAGFORS</t>
        </is>
      </c>
      <c r="I640" t="n">
        <v>18.2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46258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17882-2025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45758</v>
      </c>
      <c r="E642" s="1" t="n">
        <v>46258</v>
      </c>
      <c r="F642" t="inlineStr">
        <is>
          <t>VÄRMLANDS LÄN</t>
        </is>
      </c>
      <c r="G642" t="inlineStr">
        <is>
          <t>HAGFORS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7332-2025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45703</v>
      </c>
      <c r="E643" s="1" t="n">
        <v>46258</v>
      </c>
      <c r="F643" t="inlineStr">
        <is>
          <t>VÄRMLANDS LÄN</t>
        </is>
      </c>
      <c r="G643" t="inlineStr">
        <is>
          <t>HAGFORS</t>
        </is>
      </c>
      <c r="H643" t="inlineStr">
        <is>
          <t>Kyrkan</t>
        </is>
      </c>
      <c r="I643" t="n">
        <v>15.9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17329-2024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45414</v>
      </c>
      <c r="E644" s="1" t="n">
        <v>46258</v>
      </c>
      <c r="F644" t="inlineStr">
        <is>
          <t>VÄRMLANDS LÄN</t>
        </is>
      </c>
      <c r="G644" t="inlineStr">
        <is>
          <t>HAGFORS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33627-2026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46248</v>
      </c>
      <c r="E645" s="1" t="n">
        <v>46258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30167-2026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46258</v>
      </c>
      <c r="F646" t="inlineStr">
        <is>
          <t>VÄRMLANDS LÄN</t>
        </is>
      </c>
      <c r="G646" t="inlineStr">
        <is>
          <t>HAGFORS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45684</v>
      </c>
      <c r="E647" s="1" t="n">
        <v>46258</v>
      </c>
      <c r="F647" t="inlineStr">
        <is>
          <t>VÄRMLANDS LÄN</t>
        </is>
      </c>
      <c r="G647" t="inlineStr">
        <is>
          <t>HAGFORS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26628-2024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45469</v>
      </c>
      <c r="E648" s="1" t="n">
        <v>46258</v>
      </c>
      <c r="F648" t="inlineStr">
        <is>
          <t>VÄRMLANDS LÄN</t>
        </is>
      </c>
      <c r="G648" t="inlineStr">
        <is>
          <t>HAGFORS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46251</v>
      </c>
      <c r="E649" s="1" t="n">
        <v>46258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52924-2023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45226</v>
      </c>
      <c r="E650" s="1" t="n">
        <v>46258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29492-2024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46258</v>
      </c>
      <c r="F651" t="inlineStr">
        <is>
          <t>VÄRMLANDS LÄN</t>
        </is>
      </c>
      <c r="G651" t="inlineStr">
        <is>
          <t>HAGFORS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46258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45786</v>
      </c>
      <c r="E653" s="1" t="n">
        <v>46258</v>
      </c>
      <c r="F653" t="inlineStr">
        <is>
          <t>VÄRMLANDS LÄN</t>
        </is>
      </c>
      <c r="G653" t="inlineStr">
        <is>
          <t>HAGFORS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45791</v>
      </c>
      <c r="E654" s="1" t="n">
        <v>46258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30153-2026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46258</v>
      </c>
      <c r="F655" t="inlineStr">
        <is>
          <t>VÄRMLANDS LÄN</t>
        </is>
      </c>
      <c r="G655" t="inlineStr">
        <is>
          <t>HAGFORS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32688-2025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45838</v>
      </c>
      <c r="E656" s="1" t="n">
        <v>46258</v>
      </c>
      <c r="F656" t="inlineStr">
        <is>
          <t>VÄRMLANDS LÄN</t>
        </is>
      </c>
      <c r="G656" t="inlineStr">
        <is>
          <t>HAGFORS</t>
        </is>
      </c>
      <c r="H656" t="inlineStr">
        <is>
          <t>Kyrkan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28571-2025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46258</v>
      </c>
      <c r="F657" t="inlineStr">
        <is>
          <t>VÄRMLANDS LÄN</t>
        </is>
      </c>
      <c r="G657" t="inlineStr">
        <is>
          <t>HAGFORS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24000-2025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45796</v>
      </c>
      <c r="E658" s="1" t="n">
        <v>46258</v>
      </c>
      <c r="F658" t="inlineStr">
        <is>
          <t>VÄRMLANDS LÄN</t>
        </is>
      </c>
      <c r="G658" t="inlineStr">
        <is>
          <t>HAGFORS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33515-2026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46248</v>
      </c>
      <c r="E659" s="1" t="n">
        <v>46258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45450</v>
      </c>
      <c r="E660" s="1" t="n">
        <v>46258</v>
      </c>
      <c r="F660" t="inlineStr">
        <is>
          <t>VÄRMLANDS LÄN</t>
        </is>
      </c>
      <c r="G660" t="inlineStr">
        <is>
          <t>HAGFORS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21724-2025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46258</v>
      </c>
      <c r="F661" t="inlineStr">
        <is>
          <t>VÄRMLANDS LÄN</t>
        </is>
      </c>
      <c r="G661" t="inlineStr">
        <is>
          <t>HAGFORS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1710-2025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45671</v>
      </c>
      <c r="E662" s="1" t="n">
        <v>46258</v>
      </c>
      <c r="F662" t="inlineStr">
        <is>
          <t>VÄRMLANDS LÄN</t>
        </is>
      </c>
      <c r="G662" t="inlineStr">
        <is>
          <t>HAGFORS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48276-2024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45590</v>
      </c>
      <c r="E663" s="1" t="n">
        <v>46258</v>
      </c>
      <c r="F663" t="inlineStr">
        <is>
          <t>VÄRMLANDS LÄN</t>
        </is>
      </c>
      <c r="G663" t="inlineStr">
        <is>
          <t>HAGFORS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54751-2022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44883</v>
      </c>
      <c r="E664" s="1" t="n">
        <v>46258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46209</v>
      </c>
      <c r="E665" s="1" t="n">
        <v>46258</v>
      </c>
      <c r="F665" t="inlineStr">
        <is>
          <t>VÄRMLANDS LÄN</t>
        </is>
      </c>
      <c r="G665" t="inlineStr">
        <is>
          <t>HAGFORS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46258</v>
      </c>
      <c r="F666" t="inlineStr">
        <is>
          <t>VÄRMLANDS LÄN</t>
        </is>
      </c>
      <c r="G666" t="inlineStr">
        <is>
          <t>HAGFORS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45107</v>
      </c>
      <c r="E667" s="1" t="n">
        <v>46258</v>
      </c>
      <c r="F667" t="inlineStr">
        <is>
          <t>VÄRMLANDS LÄN</t>
        </is>
      </c>
      <c r="G667" t="inlineStr">
        <is>
          <t>HAGFORS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52494-2024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45609</v>
      </c>
      <c r="E668" s="1" t="n">
        <v>46258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45692</v>
      </c>
      <c r="E669" s="1" t="n">
        <v>46258</v>
      </c>
      <c r="F669" t="inlineStr">
        <is>
          <t>VÄRMLANDS LÄN</t>
        </is>
      </c>
      <c r="G669" t="inlineStr">
        <is>
          <t>HAGFORS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45839</v>
      </c>
      <c r="E670" s="1" t="n">
        <v>46258</v>
      </c>
      <c r="F670" t="inlineStr">
        <is>
          <t>VÄRMLANDS LÄN</t>
        </is>
      </c>
      <c r="G670" t="inlineStr">
        <is>
          <t>HAGFORS</t>
        </is>
      </c>
      <c r="H670" t="inlineStr">
        <is>
          <t>Kyrkan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10562-2024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45366</v>
      </c>
      <c r="E671" s="1" t="n">
        <v>46258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34014-2026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46252</v>
      </c>
      <c r="E672" s="1" t="n">
        <v>46258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5482-2022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44595</v>
      </c>
      <c r="E673" s="1" t="n">
        <v>46258</v>
      </c>
      <c r="F673" t="inlineStr">
        <is>
          <t>VÄRMLANDS LÄN</t>
        </is>
      </c>
      <c r="G673" t="inlineStr">
        <is>
          <t>HAGFORS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36764-2025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46258</v>
      </c>
      <c r="F674" t="inlineStr">
        <is>
          <t>VÄRMLANDS LÄN</t>
        </is>
      </c>
      <c r="G674" t="inlineStr">
        <is>
          <t>HAGFORS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26615-2024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45469</v>
      </c>
      <c r="E675" s="1" t="n">
        <v>46258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30433-2026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46209</v>
      </c>
      <c r="E676" s="1" t="n">
        <v>46258</v>
      </c>
      <c r="F676" t="inlineStr">
        <is>
          <t>VÄRMLANDS LÄN</t>
        </is>
      </c>
      <c r="G676" t="inlineStr">
        <is>
          <t>HAGFORS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60167-2023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45258</v>
      </c>
      <c r="E677" s="1" t="n">
        <v>46258</v>
      </c>
      <c r="F677" t="inlineStr">
        <is>
          <t>VÄRMLANDS LÄN</t>
        </is>
      </c>
      <c r="G677" t="inlineStr">
        <is>
          <t>HAGFORS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60178-2023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45258</v>
      </c>
      <c r="E678" s="1" t="n">
        <v>46258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34523-2026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46258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45846</v>
      </c>
      <c r="E680" s="1" t="n">
        <v>46258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30914-2026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46213</v>
      </c>
      <c r="E681" s="1" t="n">
        <v>46258</v>
      </c>
      <c r="F681" t="inlineStr">
        <is>
          <t>VÄRMLANDS LÄN</t>
        </is>
      </c>
      <c r="G681" t="inlineStr">
        <is>
          <t>HAGFORS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46254</v>
      </c>
      <c r="E682" s="1" t="n">
        <v>46258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45328</v>
      </c>
      <c r="E683" s="1" t="n">
        <v>46258</v>
      </c>
      <c r="F683" t="inlineStr">
        <is>
          <t>VÄRMLANDS LÄN</t>
        </is>
      </c>
      <c r="G683" t="inlineStr">
        <is>
          <t>HAGFORS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16525-2023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45029</v>
      </c>
      <c r="E684" s="1" t="n">
        <v>46258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41603-2023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45175</v>
      </c>
      <c r="E685" s="1" t="n">
        <v>46258</v>
      </c>
      <c r="F685" t="inlineStr">
        <is>
          <t>VÄRMLANDS LÄN</t>
        </is>
      </c>
      <c r="G685" t="inlineStr">
        <is>
          <t>HAGFORS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34522-2026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46258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34572-2025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45847</v>
      </c>
      <c r="E687" s="1" t="n">
        <v>46258</v>
      </c>
      <c r="F687" t="inlineStr">
        <is>
          <t>VÄRMLANDS LÄN</t>
        </is>
      </c>
      <c r="G687" t="inlineStr">
        <is>
          <t>HAGFORS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68252-2021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44526</v>
      </c>
      <c r="E688" s="1" t="n">
        <v>46258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11367-2025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45726</v>
      </c>
      <c r="E689" s="1" t="n">
        <v>46258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56895-2023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45244</v>
      </c>
      <c r="E690" s="1" t="n">
        <v>46258</v>
      </c>
      <c r="F690" t="inlineStr">
        <is>
          <t>VÄRMLANDS LÄN</t>
        </is>
      </c>
      <c r="G690" t="inlineStr">
        <is>
          <t>HAGFORS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45097</v>
      </c>
      <c r="E691" s="1" t="n">
        <v>46258</v>
      </c>
      <c r="F691" t="inlineStr">
        <is>
          <t>VÄRMLANDS LÄN</t>
        </is>
      </c>
      <c r="G691" t="inlineStr">
        <is>
          <t>HAGFORS</t>
        </is>
      </c>
      <c r="H691" t="inlineStr">
        <is>
          <t>Kyrkan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46258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46258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45673</v>
      </c>
      <c r="E694" s="1" t="n">
        <v>46258</v>
      </c>
      <c r="F694" t="inlineStr">
        <is>
          <t>VÄRMLANDS LÄN</t>
        </is>
      </c>
      <c r="G694" t="inlineStr">
        <is>
          <t>HAGFORS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46258</v>
      </c>
      <c r="F695" t="inlineStr">
        <is>
          <t>VÄRMLANDS LÄN</t>
        </is>
      </c>
      <c r="G695" t="inlineStr">
        <is>
          <t>HAGFORS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46258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20756-2026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46141</v>
      </c>
      <c r="E697" s="1" t="n">
        <v>46258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42150-2024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45562</v>
      </c>
      <c r="E698" s="1" t="n">
        <v>46258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46258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8.800000000000001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20594-2026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46140</v>
      </c>
      <c r="E700" s="1" t="n">
        <v>46258</v>
      </c>
      <c r="F700" t="inlineStr">
        <is>
          <t>VÄRMLANDS LÄN</t>
        </is>
      </c>
      <c r="G700" t="inlineStr">
        <is>
          <t>HAGFORS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40835-2023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45172</v>
      </c>
      <c r="E701" s="1" t="n">
        <v>46258</v>
      </c>
      <c r="F701" t="inlineStr">
        <is>
          <t>VÄRMLANDS LÄN</t>
        </is>
      </c>
      <c r="G701" t="inlineStr">
        <is>
          <t>HAGFORS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20706-2026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46141</v>
      </c>
      <c r="E702" s="1" t="n">
        <v>46258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47028-2023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45201</v>
      </c>
      <c r="E703" s="1" t="n">
        <v>46258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30520-2024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45492</v>
      </c>
      <c r="E704" s="1" t="n">
        <v>46258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45519</v>
      </c>
      <c r="E705" s="1" t="n">
        <v>46258</v>
      </c>
      <c r="F705" t="inlineStr">
        <is>
          <t>VÄRMLANDS LÄN</t>
        </is>
      </c>
      <c r="G705" t="inlineStr">
        <is>
          <t>HAGFORS</t>
        </is>
      </c>
      <c r="I705" t="n">
        <v>8.4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10236-2022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44622</v>
      </c>
      <c r="E706" s="1" t="n">
        <v>46258</v>
      </c>
      <c r="F706" t="inlineStr">
        <is>
          <t>VÄRMLANDS LÄN</t>
        </is>
      </c>
      <c r="G706" t="inlineStr">
        <is>
          <t>HAGFORS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20759-2026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46141</v>
      </c>
      <c r="E707" s="1" t="n">
        <v>46258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61265-2022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46258</v>
      </c>
      <c r="F708" t="inlineStr">
        <is>
          <t>VÄRMLANDS LÄN</t>
        </is>
      </c>
      <c r="G708" t="inlineStr">
        <is>
          <t>HAGFORS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46258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46792-2022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44851</v>
      </c>
      <c r="E710" s="1" t="n">
        <v>46258</v>
      </c>
      <c r="F710" t="inlineStr">
        <is>
          <t>VÄRMLANDS LÄN</t>
        </is>
      </c>
      <c r="G710" t="inlineStr">
        <is>
          <t>HAGFORS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31618-2025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45833</v>
      </c>
      <c r="E711" s="1" t="n">
        <v>46258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45510</v>
      </c>
      <c r="E712" s="1" t="n">
        <v>46258</v>
      </c>
      <c r="F712" t="inlineStr">
        <is>
          <t>VÄRMLANDS LÄN</t>
        </is>
      </c>
      <c r="G712" t="inlineStr">
        <is>
          <t>HAGFORS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20798-2026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46141</v>
      </c>
      <c r="E713" s="1" t="n">
        <v>46258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46258</v>
      </c>
      <c r="F714" t="inlineStr">
        <is>
          <t>VÄRMLANDS LÄN</t>
        </is>
      </c>
      <c r="G714" t="inlineStr">
        <is>
          <t>HAGFORS</t>
        </is>
      </c>
      <c r="H714" t="inlineStr">
        <is>
          <t>Kyrkan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20752-2026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46141</v>
      </c>
      <c r="E715" s="1" t="n">
        <v>46258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4028-2025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45684</v>
      </c>
      <c r="E716" s="1" t="n">
        <v>46258</v>
      </c>
      <c r="F716" t="inlineStr">
        <is>
          <t>VÄRMLANDS LÄN</t>
        </is>
      </c>
      <c r="G716" t="inlineStr">
        <is>
          <t>HAGFORS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46058</v>
      </c>
      <c r="E717" s="1" t="n">
        <v>46258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46258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39640-2022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44817</v>
      </c>
      <c r="E719" s="1" t="n">
        <v>46258</v>
      </c>
      <c r="F719" t="inlineStr">
        <is>
          <t>VÄRMLANDS LÄN</t>
        </is>
      </c>
      <c r="G719" t="inlineStr">
        <is>
          <t>HAGFORS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20729-2026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46141</v>
      </c>
      <c r="E720" s="1" t="n">
        <v>46258</v>
      </c>
      <c r="F720" t="inlineStr">
        <is>
          <t>VÄRMLANDS LÄN</t>
        </is>
      </c>
      <c r="G720" t="inlineStr">
        <is>
          <t>HAGFORS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45308</v>
      </c>
      <c r="E721" s="1" t="n">
        <v>46258</v>
      </c>
      <c r="F721" t="inlineStr">
        <is>
          <t>VÄRMLANDS LÄN</t>
        </is>
      </c>
      <c r="G721" t="inlineStr">
        <is>
          <t>HAGFORS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57159-2024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45629</v>
      </c>
      <c r="E722" s="1" t="n">
        <v>46258</v>
      </c>
      <c r="F722" t="inlineStr">
        <is>
          <t>VÄRMLANDS LÄN</t>
        </is>
      </c>
      <c r="G722" t="inlineStr">
        <is>
          <t>HAGFORS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20880-2026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46142</v>
      </c>
      <c r="E723" s="1" t="n">
        <v>46258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20870-2026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46142</v>
      </c>
      <c r="E724" s="1" t="n">
        <v>46258</v>
      </c>
      <c r="F724" t="inlineStr">
        <is>
          <t>VÄRMLANDS LÄN</t>
        </is>
      </c>
      <c r="G724" t="inlineStr">
        <is>
          <t>HAGFORS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20911-2026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46142</v>
      </c>
      <c r="E725" s="1" t="n">
        <v>46258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34404-2023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45132</v>
      </c>
      <c r="E726" s="1" t="n">
        <v>46258</v>
      </c>
      <c r="F726" t="inlineStr">
        <is>
          <t>VÄRMLANDS LÄN</t>
        </is>
      </c>
      <c r="G726" t="inlineStr">
        <is>
          <t>HAGFORS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45723</v>
      </c>
      <c r="E727" s="1" t="n">
        <v>46258</v>
      </c>
      <c r="F727" t="inlineStr">
        <is>
          <t>VÄRMLANDS LÄN</t>
        </is>
      </c>
      <c r="G727" t="inlineStr">
        <is>
          <t>HAGFORS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43998-2024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45572</v>
      </c>
      <c r="E728" s="1" t="n">
        <v>46258</v>
      </c>
      <c r="F728" t="inlineStr">
        <is>
          <t>VÄRMLANDS LÄN</t>
        </is>
      </c>
      <c r="G728" t="inlineStr">
        <is>
          <t>HAGFORS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13282-2024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45386</v>
      </c>
      <c r="E729" s="1" t="n">
        <v>46258</v>
      </c>
      <c r="F729" t="inlineStr">
        <is>
          <t>VÄRMLANDS LÄN</t>
        </is>
      </c>
      <c r="G729" t="inlineStr">
        <is>
          <t>HAGFORS</t>
        </is>
      </c>
      <c r="H729" t="inlineStr">
        <is>
          <t>Kommuner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21203-2026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46258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44728-2023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45190</v>
      </c>
      <c r="E731" s="1" t="n">
        <v>46258</v>
      </c>
      <c r="F731" t="inlineStr">
        <is>
          <t>VÄRMLANDS LÄN</t>
        </is>
      </c>
      <c r="G731" t="inlineStr">
        <is>
          <t>HAGFORS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46149</v>
      </c>
      <c r="E732" s="1" t="n">
        <v>46258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42168-2024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46258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42170-2024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45562</v>
      </c>
      <c r="E734" s="1" t="n">
        <v>46258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42171-2024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45562</v>
      </c>
      <c r="E735" s="1" t="n">
        <v>46258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42243-2024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45562</v>
      </c>
      <c r="E736" s="1" t="n">
        <v>46258</v>
      </c>
      <c r="F736" t="inlineStr">
        <is>
          <t>VÄRMLANDS LÄN</t>
        </is>
      </c>
      <c r="G736" t="inlineStr">
        <is>
          <t>HAGFORS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6980-2022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44603</v>
      </c>
      <c r="E737" s="1" t="n">
        <v>46258</v>
      </c>
      <c r="F737" t="inlineStr">
        <is>
          <t>VÄRMLANDS LÄN</t>
        </is>
      </c>
      <c r="G737" t="inlineStr">
        <is>
          <t>HAGFORS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21879-2026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46258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36013-2023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46258</v>
      </c>
      <c r="F739" t="inlineStr">
        <is>
          <t>VÄRMLANDS LÄN</t>
        </is>
      </c>
      <c r="G739" t="inlineStr">
        <is>
          <t>HAGFORS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21762-2026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46150</v>
      </c>
      <c r="E740" s="1" t="n">
        <v>46258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61311-2023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45264</v>
      </c>
      <c r="E741" s="1" t="n">
        <v>46258</v>
      </c>
      <c r="F741" t="inlineStr">
        <is>
          <t>VÄRMLANDS LÄN</t>
        </is>
      </c>
      <c r="G741" t="inlineStr">
        <is>
          <t>HAGFORS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61315-2023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45264</v>
      </c>
      <c r="E742" s="1" t="n">
        <v>46258</v>
      </c>
      <c r="F742" t="inlineStr">
        <is>
          <t>VÄRMLANDS LÄN</t>
        </is>
      </c>
      <c r="G742" t="inlineStr">
        <is>
          <t>HAGFORS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45764</v>
      </c>
      <c r="E743" s="1" t="n">
        <v>46258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46258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45351</v>
      </c>
      <c r="E745" s="1" t="n">
        <v>46258</v>
      </c>
      <c r="F745" t="inlineStr">
        <is>
          <t>VÄRMLANDS LÄN</t>
        </is>
      </c>
      <c r="G745" t="inlineStr">
        <is>
          <t>HAGFORS</t>
        </is>
      </c>
      <c r="H745" t="inlineStr">
        <is>
          <t>Kyrkan</t>
        </is>
      </c>
      <c r="I745" t="n">
        <v>10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22516-2026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46258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22588-2026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46155</v>
      </c>
      <c r="E747" s="1" t="n">
        <v>46258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6.7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46258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17305-2023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45035</v>
      </c>
      <c r="E749" s="1" t="n">
        <v>46258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46155</v>
      </c>
      <c r="E750" s="1" t="n">
        <v>46258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31178-2022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44770</v>
      </c>
      <c r="E751" s="1" t="n">
        <v>46258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10.1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59552-2024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45638</v>
      </c>
      <c r="E752" s="1" t="n">
        <v>46258</v>
      </c>
      <c r="F752" t="inlineStr">
        <is>
          <t>VÄRMLANDS LÄN</t>
        </is>
      </c>
      <c r="G752" t="inlineStr">
        <is>
          <t>HAGFORS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21067-2025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45777</v>
      </c>
      <c r="E753" s="1" t="n">
        <v>46258</v>
      </c>
      <c r="F753" t="inlineStr">
        <is>
          <t>VÄRMLANDS LÄN</t>
        </is>
      </c>
      <c r="G753" t="inlineStr">
        <is>
          <t>HAGFORS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22648-2026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46155</v>
      </c>
      <c r="E754" s="1" t="n">
        <v>46258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22556-2026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46155</v>
      </c>
      <c r="E755" s="1" t="n">
        <v>46258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46160</v>
      </c>
      <c r="E756" s="1" t="n">
        <v>46258</v>
      </c>
      <c r="F756" t="inlineStr">
        <is>
          <t>VÄRMLANDS LÄN</t>
        </is>
      </c>
      <c r="G756" t="inlineStr">
        <is>
          <t>HAGFORS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46258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21723-2025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45783</v>
      </c>
      <c r="E758" s="1" t="n">
        <v>46258</v>
      </c>
      <c r="F758" t="inlineStr">
        <is>
          <t>VÄRMLANDS LÄN</t>
        </is>
      </c>
      <c r="G758" t="inlineStr">
        <is>
          <t>HAGFORS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45460</v>
      </c>
      <c r="E759" s="1" t="n">
        <v>46258</v>
      </c>
      <c r="F759" t="inlineStr">
        <is>
          <t>VÄRMLANDS LÄN</t>
        </is>
      </c>
      <c r="G759" t="inlineStr">
        <is>
          <t>HAGFORS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17833-2022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44683</v>
      </c>
      <c r="E760" s="1" t="n">
        <v>46258</v>
      </c>
      <c r="F760" t="inlineStr">
        <is>
          <t>VÄRMLANDS LÄN</t>
        </is>
      </c>
      <c r="G760" t="inlineStr">
        <is>
          <t>HAGFORS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23016-2026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46161</v>
      </c>
      <c r="E761" s="1" t="n">
        <v>46258</v>
      </c>
      <c r="F761" t="inlineStr">
        <is>
          <t>VÄRMLANDS LÄN</t>
        </is>
      </c>
      <c r="G761" t="inlineStr">
        <is>
          <t>HAGFORS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23129-2026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46161</v>
      </c>
      <c r="E762" s="1" t="n">
        <v>46258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47425-2024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45587</v>
      </c>
      <c r="E763" s="1" t="n">
        <v>46258</v>
      </c>
      <c r="F763" t="inlineStr">
        <is>
          <t>VÄRMLANDS LÄN</t>
        </is>
      </c>
      <c r="G763" t="inlineStr">
        <is>
          <t>HAGFORS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22925-2026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46160</v>
      </c>
      <c r="E764" s="1" t="n">
        <v>46258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46258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40332-2023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45169</v>
      </c>
      <c r="E766" s="1" t="n">
        <v>46258</v>
      </c>
      <c r="F766" t="inlineStr">
        <is>
          <t>VÄRMLANDS LÄN</t>
        </is>
      </c>
      <c r="G766" t="inlineStr">
        <is>
          <t>HAGFORS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45502</v>
      </c>
      <c r="E767" s="1" t="n">
        <v>46258</v>
      </c>
      <c r="F767" t="inlineStr">
        <is>
          <t>VÄRMLANDS LÄN</t>
        </is>
      </c>
      <c r="G767" t="inlineStr">
        <is>
          <t>HAGFORS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22799-2025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46258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45786</v>
      </c>
      <c r="E769" s="1" t="n">
        <v>46258</v>
      </c>
      <c r="F769" t="inlineStr">
        <is>
          <t>VÄRMLANDS LÄN</t>
        </is>
      </c>
      <c r="G769" t="inlineStr">
        <is>
          <t>HAGFORS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23549-2026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46258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51015-2025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45947</v>
      </c>
      <c r="E771" s="1" t="n">
        <v>46258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45791</v>
      </c>
      <c r="E772" s="1" t="n">
        <v>46258</v>
      </c>
      <c r="F772" t="inlineStr">
        <is>
          <t>VÄRMLANDS LÄN</t>
        </is>
      </c>
      <c r="G772" t="inlineStr">
        <is>
          <t>HAGFORS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46258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46258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46258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55950-2024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45623</v>
      </c>
      <c r="E776" s="1" t="n">
        <v>46258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23556-2025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45792</v>
      </c>
      <c r="E777" s="1" t="n">
        <v>46258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46258</v>
      </c>
      <c r="F778" t="inlineStr">
        <is>
          <t>VÄRMLANDS LÄN</t>
        </is>
      </c>
      <c r="G778" t="inlineStr">
        <is>
          <t>HAGFORS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23674-2025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46258</v>
      </c>
      <c r="F779" t="inlineStr">
        <is>
          <t>VÄRMLANDS LÄN</t>
        </is>
      </c>
      <c r="G779" t="inlineStr">
        <is>
          <t>HAGFORS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23712-2025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45793</v>
      </c>
      <c r="E780" s="1" t="n">
        <v>46258</v>
      </c>
      <c r="F780" t="inlineStr">
        <is>
          <t>VÄRMLANDS LÄN</t>
        </is>
      </c>
      <c r="G780" t="inlineStr">
        <is>
          <t>HAGFORS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54008-2024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46258</v>
      </c>
      <c r="F781" t="inlineStr">
        <is>
          <t>VÄRMLANDS LÄN</t>
        </is>
      </c>
      <c r="G781" t="inlineStr">
        <is>
          <t>HAGFORS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46258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15643-2024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45404</v>
      </c>
      <c r="E783" s="1" t="n">
        <v>46258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24434-2025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46258</v>
      </c>
      <c r="F784" t="inlineStr">
        <is>
          <t>VÄRMLANDS LÄN</t>
        </is>
      </c>
      <c r="G784" t="inlineStr">
        <is>
          <t>HAGFORS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24435-2025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45797</v>
      </c>
      <c r="E785" s="1" t="n">
        <v>46258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24438-2025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45797</v>
      </c>
      <c r="E786" s="1" t="n">
        <v>46258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13524-2025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46258</v>
      </c>
      <c r="F787" t="inlineStr">
        <is>
          <t>VÄRMLANDS LÄN</t>
        </is>
      </c>
      <c r="G787" t="inlineStr">
        <is>
          <t>HAGFORS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2225-2020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44127</v>
      </c>
      <c r="E788" s="1" t="n">
        <v>46258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2050-2022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44671</v>
      </c>
      <c r="E789" s="1" t="n">
        <v>46258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4419-2023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45266</v>
      </c>
      <c r="E790" s="1" t="n">
        <v>46258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4420-2023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46258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937-2022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46258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59.4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4426-2023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46258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5512-2022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44834</v>
      </c>
      <c r="E794" s="1" t="n">
        <v>46258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931-2022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46258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4415-2023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46258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262-2022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44578</v>
      </c>
      <c r="E797" s="1" t="n">
        <v>46258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78.90000000000001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6970-2022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44901</v>
      </c>
      <c r="E798" s="1" t="n">
        <v>46258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4408-2023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46258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6968-2022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44901</v>
      </c>
      <c r="E800" s="1" t="n">
        <v>46258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4423-2023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46258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46258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46258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46258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913-2022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46258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4145-2023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45247</v>
      </c>
      <c r="E806" s="1" t="n">
        <v>46258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46258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27.1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89-2025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45316</v>
      </c>
      <c r="E808" s="1" t="n">
        <v>46258</v>
      </c>
      <c r="F808" t="inlineStr">
        <is>
          <t>VÄRMLANDS LÄN</t>
        </is>
      </c>
      <c r="G808" t="inlineStr">
        <is>
          <t>HAGFORS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6969-2022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44901</v>
      </c>
      <c r="E809" s="1" t="n">
        <v>46258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220-2025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45680</v>
      </c>
      <c r="E810" s="1" t="n">
        <v>46258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898-2022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46258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46258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46258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900-2022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46258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914-2022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44606</v>
      </c>
      <c r="E815" s="1" t="n">
        <v>46258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4409-2023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46258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4155-2023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46258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4140-2023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46258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6977-2022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46258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46258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4143-2023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46258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4407-2023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46258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6965-2022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46258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662-2025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45716</v>
      </c>
      <c r="E824" s="1" t="n">
        <v>46258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108-2026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46037</v>
      </c>
      <c r="E825" s="1" t="n">
        <v>46258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204.4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46036</v>
      </c>
      <c r="E826" s="1" t="n">
        <v>46258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46013</v>
      </c>
      <c r="E827" s="1" t="n">
        <v>46258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382-2025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45691</v>
      </c>
      <c r="E828" s="1" t="n">
        <v>46258</v>
      </c>
      <c r="F828" t="inlineStr">
        <is>
          <t>VÄRMLANDS LÄN</t>
        </is>
      </c>
      <c r="G828" t="inlineStr">
        <is>
          <t>HAGFORS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2026-08-24T01:53:25Z</dcterms:created>
  <dcterms:modified xmlns:dcterms="http://purl.org/dc/terms/" xmlns:xsi="http://www.w3.org/2001/XMLSchema-instance" xsi:type="dcterms:W3CDTF">2026-08-24T01:53:26Z</dcterms:modified>
</cp:coreProperties>
</file>