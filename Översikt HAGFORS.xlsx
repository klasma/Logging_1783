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46255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46255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46255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46255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46255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46255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46255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46255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46255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46255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46255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46255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46255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46255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46255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1387-2024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46255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64.90000000000001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Garnlav
Tretåig hackspett
Trana</t>
        </is>
      </c>
      <c r="W23">
        <f>HYPERLINK("https://klasma.github.io/Logging_1783/artfynd/A 1387-2024 artfynd.xlsx", "A 1387-2024")</f>
        <v/>
      </c>
      <c r="X23">
        <f>HYPERLINK("https://klasma.github.io/Logging_1783/kartor/A 1387-2024 karta.png", "A 1387-2024")</f>
        <v/>
      </c>
      <c r="Y23">
        <f>HYPERLINK("https://klasma.github.io/Logging_1783/kartor_geotiff/A 1387-2024 georefererad karta.tif", "A 1387-2024")</f>
        <v/>
      </c>
      <c r="AA23">
        <f>HYPERLINK("https://klasma.github.io/Logging_1783/klagomål/A 1387-2024 FSC-klagomål.docx", "A 1387-2024")</f>
        <v/>
      </c>
      <c r="AB23">
        <f>HYPERLINK("https://klasma.github.io/Logging_1783/klagomålsmail/A 1387-2024 FSC-klagomål mail.docx", "A 1387-2024")</f>
        <v/>
      </c>
      <c r="AC23">
        <f>HYPERLINK("https://klasma.github.io/Logging_1783/tillsyn/A 1387-2024 tillsynsbegäran.docx", "A 1387-2024")</f>
        <v/>
      </c>
      <c r="AD23">
        <f>HYPERLINK("https://klasma.github.io/Logging_1783/tillsynsmail/A 1387-2024 tillsynsbegäran mail.docx", "A 1387-2024")</f>
        <v/>
      </c>
      <c r="AE23">
        <f>HYPERLINK("https://klasma.github.io/Logging_1783/fåglar/A 1387-2024 prioriterade fågelarter.docx", "A 1387-2024")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46255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46255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46255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46255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46255</v>
      </c>
      <c r="F28" t="inlineStr">
        <is>
          <t>VÄRMLANDS LÄN</t>
        </is>
      </c>
      <c r="G28" t="inlineStr">
        <is>
          <t>HAGFORS</t>
        </is>
      </c>
      <c r="I28" t="n">
        <v>35.1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Dvärgbägarlav
Vedskivlav</t>
        </is>
      </c>
      <c r="W28">
        <f>HYPERLINK("https://klasma.github.io/Logging_1783/artfynd/A 656-2022 artfynd.xlsx", "A 656-2022")</f>
        <v/>
      </c>
      <c r="X28">
        <f>HYPERLINK("https://klasma.github.io/Logging_1783/kartor/A 656-2022 karta.png", "A 656-2022")</f>
        <v/>
      </c>
      <c r="Y28">
        <f>HYPERLINK("https://klasma.github.io/Logging_1783/kartor_geotiff/A 656-2022 georefererad karta.tif", "A 656-2022")</f>
        <v/>
      </c>
      <c r="AA28">
        <f>HYPERLINK("https://klasma.github.io/Logging_1783/klagomål/A 656-2022 FSC-klagomål.docx", "A 656-2022")</f>
        <v/>
      </c>
      <c r="AB28">
        <f>HYPERLINK("https://klasma.github.io/Logging_1783/klagomålsmail/A 656-2022 FSC-klagomål mail.docx", "A 656-2022")</f>
        <v/>
      </c>
      <c r="AC28">
        <f>HYPERLINK("https://klasma.github.io/Logging_1783/tillsyn/A 656-2022 tillsynsbegäran.docx", "A 656-2022")</f>
        <v/>
      </c>
      <c r="AD28">
        <f>HYPERLINK("https://klasma.github.io/Logging_1783/tillsynsmail/A 656-2022 tillsynsbegäran mail.docx", "A 656-2022")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46255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46255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46255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46255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12673-2024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46255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Tofsmes</t>
        </is>
      </c>
      <c r="W34">
        <f>HYPERLINK("https://klasma.github.io/Logging_1783/artfynd/A 12673-2024 artfynd.xlsx", "A 12673-2024")</f>
        <v/>
      </c>
      <c r="X34">
        <f>HYPERLINK("https://klasma.github.io/Logging_1783/kartor/A 12673-2024 karta.png", "A 12673-2024")</f>
        <v/>
      </c>
      <c r="Y34">
        <f>HYPERLINK("https://klasma.github.io/Logging_1783/kartor_geotiff/A 12673-2024 georefererad karta.tif", "A 12673-2024")</f>
        <v/>
      </c>
      <c r="AA34">
        <f>HYPERLINK("https://klasma.github.io/Logging_1783/klagomål/A 12673-2024 FSC-klagomål.docx", "A 12673-2024")</f>
        <v/>
      </c>
      <c r="AB34">
        <f>HYPERLINK("https://klasma.github.io/Logging_1783/klagomålsmail/A 12673-2024 FSC-klagomål mail.docx", "A 12673-2024")</f>
        <v/>
      </c>
      <c r="AC34">
        <f>HYPERLINK("https://klasma.github.io/Logging_1783/tillsyn/A 12673-2024 tillsynsbegäran.docx", "A 12673-2024")</f>
        <v/>
      </c>
      <c r="AD34">
        <f>HYPERLINK("https://klasma.github.io/Logging_1783/tillsynsmail/A 12673-2024 tillsynsbegäran mail.docx", "A 12673-2024")</f>
        <v/>
      </c>
    </row>
    <row r="35" ht="15" customHeight="1">
      <c r="A35" t="inlineStr">
        <is>
          <t>A 56083-2022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44889</v>
      </c>
      <c r="E35" s="1" t="n">
        <v>46255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19.1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HYPERLINK("https://klasma.github.io/Logging_1783/artfynd/A 56083-2022 artfynd.xlsx", "A 56083-2022")</f>
        <v/>
      </c>
      <c r="X35">
        <f>HYPERLINK("https://klasma.github.io/Logging_1783/kartor/A 56083-2022 karta.png", "A 56083-2022")</f>
        <v/>
      </c>
      <c r="Y35">
        <f>HYPERLINK("https://klasma.github.io/Logging_1783/kartor_geotiff/A 56083-2022 georefererad karta.tif", "A 56083-2022")</f>
        <v/>
      </c>
      <c r="AA35">
        <f>HYPERLINK("https://klasma.github.io/Logging_1783/klagomål/A 56083-2022 FSC-klagomål.docx", "A 56083-2022")</f>
        <v/>
      </c>
      <c r="AB35">
        <f>HYPERLINK("https://klasma.github.io/Logging_1783/klagomålsmail/A 56083-2022 FSC-klagomål mail.docx", "A 56083-2022")</f>
        <v/>
      </c>
      <c r="AC35">
        <f>HYPERLINK("https://klasma.github.io/Logging_1783/tillsyn/A 56083-2022 tillsynsbegäran.docx", "A 56083-2022")</f>
        <v/>
      </c>
      <c r="AD35">
        <f>HYPERLINK("https://klasma.github.io/Logging_1783/tillsynsmail/A 56083-2022 tillsynsbegäran mail.docx", "A 56083-2022")</f>
        <v/>
      </c>
    </row>
    <row r="36" ht="15" customHeight="1">
      <c r="A36" t="inlineStr">
        <is>
          <t>A 38267-2024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46255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HYPERLINK("https://klasma.github.io/Logging_1783/artfynd/A 38267-2024 artfynd.xlsx", "A 38267-2024")</f>
        <v/>
      </c>
      <c r="X36">
        <f>HYPERLINK("https://klasma.github.io/Logging_1783/kartor/A 38267-2024 karta.png", "A 38267-2024")</f>
        <v/>
      </c>
      <c r="Y36">
        <f>HYPERLINK("https://klasma.github.io/Logging_1783/kartor_geotiff/A 38267-2024 georefererad karta.tif", "A 38267-2024")</f>
        <v/>
      </c>
      <c r="AA36">
        <f>HYPERLINK("https://klasma.github.io/Logging_1783/klagomål/A 38267-2024 FSC-klagomål.docx", "A 38267-2024")</f>
        <v/>
      </c>
      <c r="AB36">
        <f>HYPERLINK("https://klasma.github.io/Logging_1783/klagomålsmail/A 38267-2024 FSC-klagomål mail.docx", "A 38267-2024")</f>
        <v/>
      </c>
      <c r="AC36">
        <f>HYPERLINK("https://klasma.github.io/Logging_1783/tillsyn/A 38267-2024 tillsynsbegäran.docx", "A 38267-2024")</f>
        <v/>
      </c>
      <c r="AD36">
        <f>HYPERLINK("https://klasma.github.io/Logging_1783/tillsynsmail/A 38267-2024 tillsynsbegäran mail.docx", "A 38267-2024")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46255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8254-2026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46255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8254-2026 artfynd.xlsx", "A 8254-2026")</f>
        <v/>
      </c>
      <c r="X38">
        <f>HYPERLINK("https://klasma.github.io/Logging_1783/kartor/A 8254-2026 karta.png", "A 8254-2026")</f>
        <v/>
      </c>
      <c r="Y38">
        <f>HYPERLINK("https://klasma.github.io/Logging_1783/kartor_geotiff/A 8254-2026 georefererad karta.tif", "A 8254-2026")</f>
        <v/>
      </c>
      <c r="AA38">
        <f>HYPERLINK("https://klasma.github.io/Logging_1783/klagomål/A 8254-2026 FSC-klagomål.docx", "A 8254-2026")</f>
        <v/>
      </c>
      <c r="AB38">
        <f>HYPERLINK("https://klasma.github.io/Logging_1783/klagomålsmail/A 8254-2026 FSC-klagomål mail.docx", "A 8254-2026")</f>
        <v/>
      </c>
      <c r="AC38">
        <f>HYPERLINK("https://klasma.github.io/Logging_1783/tillsyn/A 8254-2026 tillsynsbegäran.docx", "A 8254-2026")</f>
        <v/>
      </c>
      <c r="AD38">
        <f>HYPERLINK("https://klasma.github.io/Logging_1783/tillsynsmail/A 8254-2026 tillsynsbegäran mail.docx", "A 8254-2026")</f>
        <v/>
      </c>
    </row>
    <row r="39" ht="15" customHeight="1">
      <c r="A39" t="inlineStr">
        <is>
          <t>A 33848-2025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45842</v>
      </c>
      <c r="E39" s="1" t="n">
        <v>46255</v>
      </c>
      <c r="F39" t="inlineStr">
        <is>
          <t>VÄRMLANDS LÄN</t>
        </is>
      </c>
      <c r="G39" t="inlineStr">
        <is>
          <t>HAGFORS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33848-2025 artfynd.xlsx", "A 33848-2025")</f>
        <v/>
      </c>
      <c r="X39">
        <f>HYPERLINK("https://klasma.github.io/Logging_1783/kartor/A 33848-2025 karta.png", "A 33848-2025")</f>
        <v/>
      </c>
      <c r="Y39">
        <f>HYPERLINK("https://klasma.github.io/Logging_1783/kartor_geotiff/A 33848-2025 georefererad karta.tif", "A 33848-2025")</f>
        <v/>
      </c>
      <c r="AA39">
        <f>HYPERLINK("https://klasma.github.io/Logging_1783/klagomål/A 33848-2025 FSC-klagomål.docx", "A 33848-2025")</f>
        <v/>
      </c>
      <c r="AB39">
        <f>HYPERLINK("https://klasma.github.io/Logging_1783/klagomålsmail/A 33848-2025 FSC-klagomål mail.docx", "A 33848-2025")</f>
        <v/>
      </c>
      <c r="AC39">
        <f>HYPERLINK("https://klasma.github.io/Logging_1783/tillsyn/A 33848-2025 tillsynsbegäran.docx", "A 33848-2025")</f>
        <v/>
      </c>
      <c r="AD39">
        <f>HYPERLINK("https://klasma.github.io/Logging_1783/tillsynsmail/A 33848-2025 tillsynsbegäran mail.docx", "A 33848-2025")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46255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33905-2025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45842</v>
      </c>
      <c r="E41" s="1" t="n">
        <v>46255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7.8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33905-2025 artfynd.xlsx", "A 33905-2025")</f>
        <v/>
      </c>
      <c r="X41">
        <f>HYPERLINK("https://klasma.github.io/Logging_1783/kartor/A 33905-2025 karta.png", "A 33905-2025")</f>
        <v/>
      </c>
      <c r="Y41">
        <f>HYPERLINK("https://klasma.github.io/Logging_1783/kartor_geotiff/A 33905-2025 georefererad karta.tif", "A 33905-2025")</f>
        <v/>
      </c>
      <c r="AA41">
        <f>HYPERLINK("https://klasma.github.io/Logging_1783/klagomål/A 33905-2025 FSC-klagomål.docx", "A 33905-2025")</f>
        <v/>
      </c>
      <c r="AB41">
        <f>HYPERLINK("https://klasma.github.io/Logging_1783/klagomålsmail/A 33905-2025 FSC-klagomål mail.docx", "A 33905-2025")</f>
        <v/>
      </c>
      <c r="AC41">
        <f>HYPERLINK("https://klasma.github.io/Logging_1783/tillsyn/A 33905-2025 tillsynsbegäran.docx", "A 33905-2025")</f>
        <v/>
      </c>
      <c r="AD41">
        <f>HYPERLINK("https://klasma.github.io/Logging_1783/tillsynsmail/A 33905-2025 tillsynsbegäran mail.docx", "A 33905-2025")</f>
        <v/>
      </c>
    </row>
    <row r="42" ht="15" customHeight="1">
      <c r="A42" t="inlineStr">
        <is>
          <t>A 15219-2025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45744</v>
      </c>
      <c r="E42" s="1" t="n">
        <v>46255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15.8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Borsttagging</t>
        </is>
      </c>
      <c r="W42">
        <f>HYPERLINK("https://klasma.github.io/Logging_1783/artfynd/A 15219-2025 artfynd.xlsx", "A 15219-2025")</f>
        <v/>
      </c>
      <c r="X42">
        <f>HYPERLINK("https://klasma.github.io/Logging_1783/kartor/A 15219-2025 karta.png", "A 15219-2025")</f>
        <v/>
      </c>
      <c r="Y42">
        <f>HYPERLINK("https://klasma.github.io/Logging_1783/kartor_geotiff/A 15219-2025 georefererad karta.tif", "A 15219-2025")</f>
        <v/>
      </c>
      <c r="AA42">
        <f>HYPERLINK("https://klasma.github.io/Logging_1783/klagomål/A 15219-2025 FSC-klagomål.docx", "A 15219-2025")</f>
        <v/>
      </c>
      <c r="AB42">
        <f>HYPERLINK("https://klasma.github.io/Logging_1783/klagomålsmail/A 15219-2025 FSC-klagomål mail.docx", "A 15219-2025")</f>
        <v/>
      </c>
      <c r="AC42">
        <f>HYPERLINK("https://klasma.github.io/Logging_1783/tillsyn/A 15219-2025 tillsynsbegäran.docx", "A 15219-2025")</f>
        <v/>
      </c>
      <c r="AD42">
        <f>HYPERLINK("https://klasma.github.io/Logging_1783/tillsynsmail/A 15219-2025 tillsynsbegäran mail.docx", "A 15219-2025")</f>
        <v/>
      </c>
    </row>
    <row r="43" ht="15" customHeight="1">
      <c r="A43" t="inlineStr">
        <is>
          <t>A 50030-2025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46255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HYPERLINK("https://klasma.github.io/Logging_1783/artfynd/A 50030-2025 artfynd.xlsx", "A 50030-2025")</f>
        <v/>
      </c>
      <c r="X43">
        <f>HYPERLINK("https://klasma.github.io/Logging_1783/kartor/A 50030-2025 karta.png", "A 50030-2025")</f>
        <v/>
      </c>
      <c r="Y43">
        <f>HYPERLINK("https://klasma.github.io/Logging_1783/kartor_geotiff/A 50030-2025 georefererad karta.tif", "A 50030-2025")</f>
        <v/>
      </c>
      <c r="AA43">
        <f>HYPERLINK("https://klasma.github.io/Logging_1783/klagomål/A 50030-2025 FSC-klagomål.docx", "A 50030-2025")</f>
        <v/>
      </c>
      <c r="AB43">
        <f>HYPERLINK("https://klasma.github.io/Logging_1783/klagomålsmail/A 50030-2025 FSC-klagomål mail.docx", "A 50030-2025")</f>
        <v/>
      </c>
      <c r="AC43">
        <f>HYPERLINK("https://klasma.github.io/Logging_1783/tillsyn/A 50030-2025 tillsynsbegäran.docx", "A 50030-2025")</f>
        <v/>
      </c>
      <c r="AD43">
        <f>HYPERLINK("https://klasma.github.io/Logging_1783/tillsynsmail/A 50030-2025 tillsynsbegäran mail.docx", "A 50030-2025")</f>
        <v/>
      </c>
    </row>
    <row r="44" ht="15" customHeight="1">
      <c r="A44" t="inlineStr">
        <is>
          <t>A 12445-2026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46255</v>
      </c>
      <c r="F44" t="inlineStr">
        <is>
          <t>VÄRMLANDS LÄN</t>
        </is>
      </c>
      <c r="G44" t="inlineStr">
        <is>
          <t>HAGFORS</t>
        </is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HYPERLINK("https://klasma.github.io/Logging_1783/artfynd/A 12445-2026 artfynd.xlsx", "A 12445-2026")</f>
        <v/>
      </c>
      <c r="X44">
        <f>HYPERLINK("https://klasma.github.io/Logging_1783/kartor/A 12445-2026 karta.png", "A 12445-2026")</f>
        <v/>
      </c>
      <c r="Y44">
        <f>HYPERLINK("https://klasma.github.io/Logging_1783/kartor_geotiff/A 12445-2026 georefererad karta.tif", "A 12445-2026")</f>
        <v/>
      </c>
      <c r="AA44">
        <f>HYPERLINK("https://klasma.github.io/Logging_1783/klagomål/A 12445-2026 FSC-klagomål.docx", "A 12445-2026")</f>
        <v/>
      </c>
      <c r="AB44">
        <f>HYPERLINK("https://klasma.github.io/Logging_1783/klagomålsmail/A 12445-2026 FSC-klagomål mail.docx", "A 12445-2026")</f>
        <v/>
      </c>
      <c r="AC44">
        <f>HYPERLINK("https://klasma.github.io/Logging_1783/tillsyn/A 12445-2026 tillsynsbegäran.docx", "A 12445-2026")</f>
        <v/>
      </c>
      <c r="AD44">
        <f>HYPERLINK("https://klasma.github.io/Logging_1783/tillsynsmail/A 12445-2026 tillsynsbegäran mail.docx", "A 12445-2026")</f>
        <v/>
      </c>
      <c r="AE44">
        <f>HYPERLINK("https://klasma.github.io/Logging_1783/fåglar/A 12445-2026 prioriterade fågelarter.docx", "A 12445-2026")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46255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46255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46255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HYPERLINK("https://klasma.github.io/Logging_1783/artfynd/A 6986-2022 artfynd.xlsx", "A 6986-2022")</f>
        <v/>
      </c>
      <c r="X47">
        <f>HYPERLINK("https://klasma.github.io/Logging_1783/kartor/A 6986-2022 karta.png", "A 6986-2022")</f>
        <v/>
      </c>
      <c r="Y47">
        <f>HYPERLINK("https://klasma.github.io/Logging_1783/kartor_geotiff/A 6986-2022 georefererad karta.tif", "A 6986-2022")</f>
        <v/>
      </c>
      <c r="AA47">
        <f>HYPERLINK("https://klasma.github.io/Logging_1783/klagomål/A 6986-2022 FSC-klagomål.docx", "A 6986-2022")</f>
        <v/>
      </c>
      <c r="AB47">
        <f>HYPERLINK("https://klasma.github.io/Logging_1783/klagomålsmail/A 6986-2022 FSC-klagomål mail.docx", "A 6986-2022")</f>
        <v/>
      </c>
      <c r="AC47">
        <f>HYPERLINK("https://klasma.github.io/Logging_1783/tillsyn/A 6986-2022 tillsynsbegäran.docx", "A 6986-2022")</f>
        <v/>
      </c>
      <c r="AD47">
        <f>HYPERLINK("https://klasma.github.io/Logging_1783/tillsynsmail/A 6986-2022 tillsynsbegäran mail.docx", "A 6986-2022")</f>
        <v/>
      </c>
    </row>
    <row r="48" ht="15" customHeight="1">
      <c r="A48" t="inlineStr">
        <is>
          <t>A 62954-2025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46255</v>
      </c>
      <c r="F48" t="inlineStr">
        <is>
          <t>VÄRMLANDS LÄN</t>
        </is>
      </c>
      <c r="G48" t="inlineStr">
        <is>
          <t>HAGFORS</t>
        </is>
      </c>
      <c r="I48" t="n">
        <v>9.1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Kråka</t>
        </is>
      </c>
      <c r="W48">
        <f>HYPERLINK("https://klasma.github.io/Logging_1783/artfynd/A 62954-2025 artfynd.xlsx", "A 62954-2025")</f>
        <v/>
      </c>
      <c r="X48">
        <f>HYPERLINK("https://klasma.github.io/Logging_1783/kartor/A 62954-2025 karta.png", "A 62954-2025")</f>
        <v/>
      </c>
      <c r="Y48">
        <f>HYPERLINK("https://klasma.github.io/Logging_1783/kartor_geotiff/A 62954-2025 georefererad karta.tif", "A 62954-2025")</f>
        <v/>
      </c>
      <c r="AA48">
        <f>HYPERLINK("https://klasma.github.io/Logging_1783/klagomål/A 62954-2025 FSC-klagomål.docx", "A 62954-2025")</f>
        <v/>
      </c>
      <c r="AB48">
        <f>HYPERLINK("https://klasma.github.io/Logging_1783/klagomålsmail/A 62954-2025 FSC-klagomål mail.docx", "A 62954-2025")</f>
        <v/>
      </c>
      <c r="AC48">
        <f>HYPERLINK("https://klasma.github.io/Logging_1783/tillsyn/A 62954-2025 tillsynsbegäran.docx", "A 62954-2025")</f>
        <v/>
      </c>
      <c r="AD48">
        <f>HYPERLINK("https://klasma.github.io/Logging_1783/tillsynsmail/A 62954-2025 tillsynsbegäran mail.docx", "A 62954-2025")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46255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46255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44095-2023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46255</v>
      </c>
      <c r="F51" t="inlineStr">
        <is>
          <t>VÄRMLANDS LÄN</t>
        </is>
      </c>
      <c r="G51" t="inlineStr">
        <is>
          <t>HAGFORS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44095-2023 artfynd.xlsx", "A 44095-2023")</f>
        <v/>
      </c>
      <c r="X51">
        <f>HYPERLINK("https://klasma.github.io/Logging_1783/kartor/A 44095-2023 karta.png", "A 44095-2023")</f>
        <v/>
      </c>
      <c r="Y51">
        <f>HYPERLINK("https://klasma.github.io/Logging_1783/kartor_geotiff/A 44095-2023 georefererad karta.tif", "A 44095-2023")</f>
        <v/>
      </c>
      <c r="AA51">
        <f>HYPERLINK("https://klasma.github.io/Logging_1783/klagomål/A 44095-2023 FSC-klagomål.docx", "A 44095-2023")</f>
        <v/>
      </c>
      <c r="AB51">
        <f>HYPERLINK("https://klasma.github.io/Logging_1783/klagomålsmail/A 44095-2023 FSC-klagomål mail.docx", "A 44095-2023")</f>
        <v/>
      </c>
      <c r="AC51">
        <f>HYPERLINK("https://klasma.github.io/Logging_1783/tillsyn/A 44095-2023 tillsynsbegäran.docx", "A 44095-2023")</f>
        <v/>
      </c>
      <c r="AD51">
        <f>HYPERLINK("https://klasma.github.io/Logging_1783/tillsynsmail/A 44095-2023 tillsynsbegäran mail.docx", "A 44095-2023")</f>
        <v/>
      </c>
    </row>
    <row r="52" ht="15" customHeight="1">
      <c r="A52" t="inlineStr">
        <is>
          <t>A 34158-2025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45845</v>
      </c>
      <c r="E52" s="1" t="n">
        <v>46255</v>
      </c>
      <c r="F52" t="inlineStr">
        <is>
          <t>VÄRMLANDS LÄN</t>
        </is>
      </c>
      <c r="G52" t="inlineStr">
        <is>
          <t>HAGFORS</t>
        </is>
      </c>
      <c r="I52" t="n">
        <v>5.8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Korallblylav</t>
        </is>
      </c>
      <c r="W52">
        <f>HYPERLINK("https://klasma.github.io/Logging_1783/artfynd/A 34158-2025 artfynd.xlsx", "A 34158-2025")</f>
        <v/>
      </c>
      <c r="X52">
        <f>HYPERLINK("https://klasma.github.io/Logging_1783/kartor/A 34158-2025 karta.png", "A 34158-2025")</f>
        <v/>
      </c>
      <c r="Y52">
        <f>HYPERLINK("https://klasma.github.io/Logging_1783/kartor_geotiff/A 34158-2025 georefererad karta.tif", "A 34158-2025")</f>
        <v/>
      </c>
      <c r="AA52">
        <f>HYPERLINK("https://klasma.github.io/Logging_1783/klagomål/A 34158-2025 FSC-klagomål.docx", "A 34158-2025")</f>
        <v/>
      </c>
      <c r="AB52">
        <f>HYPERLINK("https://klasma.github.io/Logging_1783/klagomålsmail/A 34158-2025 FSC-klagomål mail.docx", "A 34158-2025")</f>
        <v/>
      </c>
      <c r="AC52">
        <f>HYPERLINK("https://klasma.github.io/Logging_1783/tillsyn/A 34158-2025 tillsynsbegäran.docx", "A 34158-2025")</f>
        <v/>
      </c>
      <c r="AD52">
        <f>HYPERLINK("https://klasma.github.io/Logging_1783/tillsynsmail/A 34158-2025 tillsynsbegäran mail.docx", "A 34158-2025")</f>
        <v/>
      </c>
    </row>
    <row r="53" ht="15" customHeight="1">
      <c r="A53" t="inlineStr">
        <is>
          <t>A 51194-2022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46255</v>
      </c>
      <c r="F53" t="inlineStr">
        <is>
          <t>VÄRMLANDS LÄN</t>
        </is>
      </c>
      <c r="G53" t="inlineStr">
        <is>
          <t>HAGFORS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HYPERLINK("https://klasma.github.io/Logging_1783/artfynd/A 51194-2022 artfynd.xlsx", "A 51194-2022")</f>
        <v/>
      </c>
      <c r="X53">
        <f>HYPERLINK("https://klasma.github.io/Logging_1783/kartor/A 51194-2022 karta.png", "A 51194-2022")</f>
        <v/>
      </c>
      <c r="Y53">
        <f>HYPERLINK("https://klasma.github.io/Logging_1783/kartor_geotiff/A 51194-2022 georefererad karta.tif", "A 51194-2022")</f>
        <v/>
      </c>
      <c r="AA53">
        <f>HYPERLINK("https://klasma.github.io/Logging_1783/klagomål/A 51194-2022 FSC-klagomål.docx", "A 51194-2022")</f>
        <v/>
      </c>
      <c r="AB53">
        <f>HYPERLINK("https://klasma.github.io/Logging_1783/klagomålsmail/A 51194-2022 FSC-klagomål mail.docx", "A 51194-2022")</f>
        <v/>
      </c>
      <c r="AC53">
        <f>HYPERLINK("https://klasma.github.io/Logging_1783/tillsyn/A 51194-2022 tillsynsbegäran.docx", "A 51194-2022")</f>
        <v/>
      </c>
      <c r="AD53">
        <f>HYPERLINK("https://klasma.github.io/Logging_1783/tillsynsmail/A 51194-2022 tillsynsbegäran mail.docx", "A 51194-2022")</f>
        <v/>
      </c>
    </row>
    <row r="54" ht="15" customHeight="1">
      <c r="A54" t="inlineStr">
        <is>
          <t>A 24659-2026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46255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24659-2026 artfynd.xlsx", "A 24659-2026")</f>
        <v/>
      </c>
      <c r="X54">
        <f>HYPERLINK("https://klasma.github.io/Logging_1783/kartor/A 24659-2026 karta.png", "A 24659-2026")</f>
        <v/>
      </c>
      <c r="Y54">
        <f>HYPERLINK("https://klasma.github.io/Logging_1783/kartor_geotiff/A 24659-2026 georefererad karta.tif", "A 24659-2026")</f>
        <v/>
      </c>
      <c r="AA54">
        <f>HYPERLINK("https://klasma.github.io/Logging_1783/klagomål/A 24659-2026 FSC-klagomål.docx", "A 24659-2026")</f>
        <v/>
      </c>
      <c r="AB54">
        <f>HYPERLINK("https://klasma.github.io/Logging_1783/klagomålsmail/A 24659-2026 FSC-klagomål mail.docx", "A 24659-2026")</f>
        <v/>
      </c>
      <c r="AC54">
        <f>HYPERLINK("https://klasma.github.io/Logging_1783/tillsyn/A 24659-2026 tillsynsbegäran.docx", "A 24659-2026")</f>
        <v/>
      </c>
      <c r="AD54">
        <f>HYPERLINK("https://klasma.github.io/Logging_1783/tillsynsmail/A 24659-2026 tillsynsbegäran mail.docx", "A 24659-2026")</f>
        <v/>
      </c>
    </row>
    <row r="55" ht="15" customHeight="1">
      <c r="A55" t="inlineStr">
        <is>
          <t>A 24716-2026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46255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82.3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HYPERLINK("https://klasma.github.io/Logging_1783/artfynd/A 24716-2026 artfynd.xlsx", "A 24716-2026")</f>
        <v/>
      </c>
      <c r="X55">
        <f>HYPERLINK("https://klasma.github.io/Logging_1783/kartor/A 24716-2026 karta.png", "A 24716-2026")</f>
        <v/>
      </c>
      <c r="Y55">
        <f>HYPERLINK("https://klasma.github.io/Logging_1783/kartor_geotiff/A 24716-2026 georefererad karta.tif", "A 24716-2026")</f>
        <v/>
      </c>
      <c r="AA55">
        <f>HYPERLINK("https://klasma.github.io/Logging_1783/klagomål/A 24716-2026 FSC-klagomål.docx", "A 24716-2026")</f>
        <v/>
      </c>
      <c r="AB55">
        <f>HYPERLINK("https://klasma.github.io/Logging_1783/klagomålsmail/A 24716-2026 FSC-klagomål mail.docx", "A 24716-2026")</f>
        <v/>
      </c>
      <c r="AC55">
        <f>HYPERLINK("https://klasma.github.io/Logging_1783/tillsyn/A 24716-2026 tillsynsbegäran.docx", "A 24716-2026")</f>
        <v/>
      </c>
      <c r="AD55">
        <f>HYPERLINK("https://klasma.github.io/Logging_1783/tillsynsmail/A 24716-2026 tillsynsbegäran mail.docx", "A 24716-2026")</f>
        <v/>
      </c>
    </row>
    <row r="56" ht="15" customHeight="1">
      <c r="A56" t="inlineStr">
        <is>
          <t>A 26189-2026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46255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Sävsparv</t>
        </is>
      </c>
      <c r="W56">
        <f>HYPERLINK("https://klasma.github.io/Logging_1783/artfynd/A 26189-2026 artfynd.xlsx", "A 26189-2026")</f>
        <v/>
      </c>
      <c r="X56">
        <f>HYPERLINK("https://klasma.github.io/Logging_1783/kartor/A 26189-2026 karta.png", "A 26189-2026")</f>
        <v/>
      </c>
      <c r="Y56">
        <f>HYPERLINK("https://klasma.github.io/Logging_1783/kartor_geotiff/A 26189-2026 georefererad karta.tif", "A 26189-2026")</f>
        <v/>
      </c>
      <c r="AA56">
        <f>HYPERLINK("https://klasma.github.io/Logging_1783/klagomål/A 26189-2026 FSC-klagomål.docx", "A 26189-2026")</f>
        <v/>
      </c>
      <c r="AB56">
        <f>HYPERLINK("https://klasma.github.io/Logging_1783/klagomålsmail/A 26189-2026 FSC-klagomål mail.docx", "A 26189-2026")</f>
        <v/>
      </c>
      <c r="AC56">
        <f>HYPERLINK("https://klasma.github.io/Logging_1783/tillsyn/A 26189-2026 tillsynsbegäran.docx", "A 26189-2026")</f>
        <v/>
      </c>
      <c r="AD56">
        <f>HYPERLINK("https://klasma.github.io/Logging_1783/tillsynsmail/A 26189-2026 tillsynsbegäran mail.docx", "A 26189-2026")</f>
        <v/>
      </c>
      <c r="AE56">
        <f>HYPERLINK("https://klasma.github.io/Logging_1783/fåglar/A 26189-2026 prioriterade fågelarter.docx", "A 26189-2026")</f>
        <v/>
      </c>
    </row>
    <row r="57" ht="15" customHeight="1">
      <c r="A57" t="inlineStr">
        <is>
          <t>A 31742-2026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46227</v>
      </c>
      <c r="E57" s="1" t="n">
        <v>46255</v>
      </c>
      <c r="F57" t="inlineStr">
        <is>
          <t>VÄRMLANDS LÄN</t>
        </is>
      </c>
      <c r="G57" t="inlineStr">
        <is>
          <t>HAGFORS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HYPERLINK("https://klasma.github.io/Logging_1783/artfynd/A 31742-2026 artfynd.xlsx", "A 31742-2026")</f>
        <v/>
      </c>
      <c r="X57">
        <f>HYPERLINK("https://klasma.github.io/Logging_1783/kartor/A 31742-2026 karta.png", "A 31742-2026")</f>
        <v/>
      </c>
      <c r="Y57">
        <f>HYPERLINK("https://klasma.github.io/Logging_1783/kartor_geotiff/A 31742-2026 georefererad karta.tif", "A 31742-2026")</f>
        <v/>
      </c>
      <c r="AA57">
        <f>HYPERLINK("https://klasma.github.io/Logging_1783/klagomål/A 31742-2026 FSC-klagomål.docx", "A 31742-2026")</f>
        <v/>
      </c>
      <c r="AB57">
        <f>HYPERLINK("https://klasma.github.io/Logging_1783/klagomålsmail/A 31742-2026 FSC-klagomål mail.docx", "A 31742-2026")</f>
        <v/>
      </c>
      <c r="AC57">
        <f>HYPERLINK("https://klasma.github.io/Logging_1783/tillsyn/A 31742-2026 tillsynsbegäran.docx", "A 31742-2026")</f>
        <v/>
      </c>
      <c r="AD57">
        <f>HYPERLINK("https://klasma.github.io/Logging_1783/tillsynsmail/A 31742-2026 tillsynsbegäran mail.docx", "A 31742-2026")</f>
        <v/>
      </c>
    </row>
    <row r="58" ht="15" customHeight="1">
      <c r="A58" t="inlineStr">
        <is>
          <t>A 32592-2026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46240</v>
      </c>
      <c r="E58" s="1" t="n">
        <v>46255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HYPERLINK("https://klasma.github.io/Logging_1783/artfynd/A 32592-2026 artfynd.xlsx", "A 32592-2026")</f>
        <v/>
      </c>
      <c r="X58">
        <f>HYPERLINK("https://klasma.github.io/Logging_1783/kartor/A 32592-2026 karta.png", "A 32592-2026")</f>
        <v/>
      </c>
      <c r="Y58">
        <f>HYPERLINK("https://klasma.github.io/Logging_1783/kartor_geotiff/A 32592-2026 georefererad karta.tif", "A 32592-2026")</f>
        <v/>
      </c>
      <c r="AA58">
        <f>HYPERLINK("https://klasma.github.io/Logging_1783/klagomål/A 32592-2026 FSC-klagomål.docx", "A 32592-2026")</f>
        <v/>
      </c>
      <c r="AB58">
        <f>HYPERLINK("https://klasma.github.io/Logging_1783/klagomålsmail/A 32592-2026 FSC-klagomål mail.docx", "A 32592-2026")</f>
        <v/>
      </c>
      <c r="AC58">
        <f>HYPERLINK("https://klasma.github.io/Logging_1783/tillsyn/A 32592-2026 tillsynsbegäran.docx", "A 32592-2026")</f>
        <v/>
      </c>
      <c r="AD58">
        <f>HYPERLINK("https://klasma.github.io/Logging_1783/tillsynsmail/A 32592-2026 tillsynsbegäran mail.docx", "A 32592-2026")</f>
        <v/>
      </c>
    </row>
    <row r="59" ht="15" customHeight="1">
      <c r="A59" t="inlineStr">
        <is>
          <t>A 29432-2026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46255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HYPERLINK("https://klasma.github.io/Logging_1783/artfynd/A 29432-2026 artfynd.xlsx", "A 29432-2026")</f>
        <v/>
      </c>
      <c r="X59">
        <f>HYPERLINK("https://klasma.github.io/Logging_1783/kartor/A 29432-2026 karta.png", "A 29432-2026")</f>
        <v/>
      </c>
      <c r="Y59">
        <f>HYPERLINK("https://klasma.github.io/Logging_1783/kartor_geotiff/A 29432-2026 georefererad karta.tif", "A 29432-2026")</f>
        <v/>
      </c>
      <c r="AA59">
        <f>HYPERLINK("https://klasma.github.io/Logging_1783/klagomål/A 29432-2026 FSC-klagomål.docx", "A 29432-2026")</f>
        <v/>
      </c>
      <c r="AB59">
        <f>HYPERLINK("https://klasma.github.io/Logging_1783/klagomålsmail/A 29432-2026 FSC-klagomål mail.docx", "A 29432-2026")</f>
        <v/>
      </c>
      <c r="AC59">
        <f>HYPERLINK("https://klasma.github.io/Logging_1783/tillsyn/A 29432-2026 tillsynsbegäran.docx", "A 29432-2026")</f>
        <v/>
      </c>
      <c r="AD59">
        <f>HYPERLINK("https://klasma.github.io/Logging_1783/tillsynsmail/A 29432-2026 tillsynsbegäran mail.docx", "A 29432-2026")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46255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24885-2025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46255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Mörk husmossa</t>
        </is>
      </c>
      <c r="W61">
        <f>HYPERLINK("https://klasma.github.io/Logging_1783/artfynd/A 24885-2025 artfynd.xlsx", "A 24885-2025")</f>
        <v/>
      </c>
      <c r="X61">
        <f>HYPERLINK("https://klasma.github.io/Logging_1783/kartor/A 24885-2025 karta.png", "A 24885-2025")</f>
        <v/>
      </c>
      <c r="Y61">
        <f>HYPERLINK("https://klasma.github.io/Logging_1783/kartor_geotiff/A 24885-2025 georefererad karta.tif", "A 24885-2025")</f>
        <v/>
      </c>
      <c r="AA61">
        <f>HYPERLINK("https://klasma.github.io/Logging_1783/klagomål/A 24885-2025 FSC-klagomål.docx", "A 24885-2025")</f>
        <v/>
      </c>
      <c r="AB61">
        <f>HYPERLINK("https://klasma.github.io/Logging_1783/klagomålsmail/A 24885-2025 FSC-klagomål mail.docx", "A 24885-2025")</f>
        <v/>
      </c>
      <c r="AC61">
        <f>HYPERLINK("https://klasma.github.io/Logging_1783/tillsyn/A 24885-2025 tillsynsbegäran.docx", "A 24885-2025")</f>
        <v/>
      </c>
      <c r="AD61">
        <f>HYPERLINK("https://klasma.github.io/Logging_1783/tillsynsmail/A 24885-2025 tillsynsbegäran mail.docx", "A 24885-2025")</f>
        <v/>
      </c>
    </row>
    <row r="62" ht="15" customHeight="1">
      <c r="A62" t="inlineStr">
        <is>
          <t>A 26624-2025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45810</v>
      </c>
      <c r="E62" s="1" t="n">
        <v>46255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HYPERLINK("https://klasma.github.io/Logging_1783/artfynd/A 26624-2025 artfynd.xlsx", "A 26624-2025")</f>
        <v/>
      </c>
      <c r="X62">
        <f>HYPERLINK("https://klasma.github.io/Logging_1783/kartor/A 26624-2025 karta.png", "A 26624-2025")</f>
        <v/>
      </c>
      <c r="Y62">
        <f>HYPERLINK("https://klasma.github.io/Logging_1783/kartor_geotiff/A 26624-2025 georefererad karta.tif", "A 26624-2025")</f>
        <v/>
      </c>
      <c r="AA62">
        <f>HYPERLINK("https://klasma.github.io/Logging_1783/klagomål/A 26624-2025 FSC-klagomål.docx", "A 26624-2025")</f>
        <v/>
      </c>
      <c r="AB62">
        <f>HYPERLINK("https://klasma.github.io/Logging_1783/klagomålsmail/A 26624-2025 FSC-klagomål mail.docx", "A 26624-2025")</f>
        <v/>
      </c>
      <c r="AC62">
        <f>HYPERLINK("https://klasma.github.io/Logging_1783/tillsyn/A 26624-2025 tillsynsbegäran.docx", "A 26624-2025")</f>
        <v/>
      </c>
      <c r="AD62">
        <f>HYPERLINK("https://klasma.github.io/Logging_1783/tillsynsmail/A 26624-2025 tillsynsbegäran mail.docx", "A 26624-2025")</f>
        <v/>
      </c>
    </row>
    <row r="63" ht="15" customHeight="1">
      <c r="A63" t="inlineStr">
        <is>
          <t>S 412-2024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45335</v>
      </c>
      <c r="E63" s="1" t="n">
        <v>46255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344.9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HYPERLINK("https://klasma.github.io/Logging_1783/artfynd/S 412-2024 artfynd.xlsx", "S 412-2024")</f>
        <v/>
      </c>
      <c r="X63">
        <f>HYPERLINK("https://klasma.github.io/Logging_1783/kartor/S 412-2024 karta.png", "S 412-2024")</f>
        <v/>
      </c>
      <c r="Y63">
        <f>HYPERLINK("https://klasma.github.io/Logging_1783/kartor_geotiff/S 412-2024 georefererad karta.tif", "S 412-2024")</f>
        <v/>
      </c>
      <c r="AA63">
        <f>HYPERLINK("https://klasma.github.io/Logging_1783/klagomål/S 412-2024 FSC-klagomål.docx", "S 412-2024")</f>
        <v/>
      </c>
      <c r="AB63">
        <f>HYPERLINK("https://klasma.github.io/Logging_1783/klagomålsmail/S 412-2024 FSC-klagomål mail.docx", "S 412-2024")</f>
        <v/>
      </c>
      <c r="AC63">
        <f>HYPERLINK("https://klasma.github.io/Logging_1783/tillsyn/S 412-2024 tillsynsbegäran.docx", "S 412-2024")</f>
        <v/>
      </c>
      <c r="AD63">
        <f>HYPERLINK("https://klasma.github.io/Logging_1783/tillsynsmail/S 412-2024 tillsynsbegäran mail.docx", "S 412-2024")</f>
        <v/>
      </c>
      <c r="AE63">
        <f>HYPERLINK("https://klasma.github.io/Logging_1783/fåglar/S 412-2024 prioriterade fågelarter.docx", "S 412-2024")</f>
        <v/>
      </c>
    </row>
    <row r="64" ht="15" customHeight="1">
      <c r="A64" t="inlineStr">
        <is>
          <t>S 4427-2023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45266</v>
      </c>
      <c r="E64" s="1" t="n">
        <v>46255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33.3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Fjällig jordtunga</t>
        </is>
      </c>
      <c r="W64">
        <f>HYPERLINK("https://klasma.github.io/Logging_1783/artfynd/S 4427-2023 artfynd.xlsx", "S 4427-2023")</f>
        <v/>
      </c>
      <c r="X64">
        <f>HYPERLINK("https://klasma.github.io/Logging_1783/kartor/S 4427-2023 karta.png", "S 4427-2023")</f>
        <v/>
      </c>
      <c r="Y64">
        <f>HYPERLINK("https://klasma.github.io/Logging_1783/kartor_geotiff/S 4427-2023 georefererad karta.tif", "S 4427-2023")</f>
        <v/>
      </c>
      <c r="AA64">
        <f>HYPERLINK("https://klasma.github.io/Logging_1783/klagomål/S 4427-2023 FSC-klagomål.docx", "S 4427-2023")</f>
        <v/>
      </c>
      <c r="AB64">
        <f>HYPERLINK("https://klasma.github.io/Logging_1783/klagomålsmail/S 4427-2023 FSC-klagomål mail.docx", "S 4427-2023")</f>
        <v/>
      </c>
      <c r="AC64">
        <f>HYPERLINK("https://klasma.github.io/Logging_1783/tillsyn/S 4427-2023 tillsynsbegäran.docx", "S 4427-2023")</f>
        <v/>
      </c>
      <c r="AD64">
        <f>HYPERLINK("https://klasma.github.io/Logging_1783/tillsynsmail/S 4427-2023 tillsynsbegäran mail.docx", "S 4427-2023")</f>
        <v/>
      </c>
    </row>
    <row r="65" ht="15" customHeight="1">
      <c r="A65" t="inlineStr">
        <is>
          <t>S 61-2026</t>
        </is>
      </c>
      <c r="B65" t="inlineStr">
        <is>
          <t>samrådsanmälan</t>
        </is>
      </c>
      <c r="C65" t="inlineStr">
        <is>
          <t>Skogsgödsling</t>
        </is>
      </c>
      <c r="D65" s="1" t="n">
        <v>46013</v>
      </c>
      <c r="E65" s="1" t="n">
        <v>46255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421.5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HYPERLINK("https://klasma.github.io/Logging_1783/artfynd/S 61-2026 artfynd.xlsx", "S 61-2026")</f>
        <v/>
      </c>
      <c r="X65">
        <f>HYPERLINK("https://klasma.github.io/Logging_1783/kartor/S 61-2026 karta.png", "S 61-2026")</f>
        <v/>
      </c>
      <c r="Y65">
        <f>HYPERLINK("https://klasma.github.io/Logging_1783/kartor_geotiff/S 61-2026 georefererad karta.tif", "S 61-2026")</f>
        <v/>
      </c>
      <c r="AA65">
        <f>HYPERLINK("https://klasma.github.io/Logging_1783/klagomål/S 61-2026 FSC-klagomål.docx", "S 61-2026")</f>
        <v/>
      </c>
      <c r="AB65">
        <f>HYPERLINK("https://klasma.github.io/Logging_1783/klagomålsmail/S 61-2026 FSC-klagomål mail.docx", "S 61-2026")</f>
        <v/>
      </c>
      <c r="AC65">
        <f>HYPERLINK("https://klasma.github.io/Logging_1783/tillsyn/S 61-2026 tillsynsbegäran.docx", "S 61-2026")</f>
        <v/>
      </c>
      <c r="AD65">
        <f>HYPERLINK("https://klasma.github.io/Logging_1783/tillsynsmail/S 61-2026 tillsynsbegäran mail.docx", "S 61-2026")</f>
        <v/>
      </c>
    </row>
    <row r="66" ht="15" customHeight="1">
      <c r="A66" t="inlineStr">
        <is>
          <t>A 42739-2022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44832</v>
      </c>
      <c r="E66" s="1" t="n">
        <v>46255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46255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46255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46255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46255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46255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46255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46255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46255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46255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65295-2021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46255</v>
      </c>
      <c r="F76" t="inlineStr">
        <is>
          <t>VÄRMLANDS LÄN</t>
        </is>
      </c>
      <c r="G76" t="inlineStr">
        <is>
          <t>HAGFORS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46255</v>
      </c>
      <c r="F77" t="inlineStr">
        <is>
          <t>VÄRMLANDS LÄN</t>
        </is>
      </c>
      <c r="G77" t="inlineStr">
        <is>
          <t>HAGFORS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46255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46255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46255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46255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44059-2021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46255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46255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46255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44435</v>
      </c>
      <c r="E85" s="1" t="n">
        <v>46255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27.3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46255</v>
      </c>
      <c r="F86" t="inlineStr">
        <is>
          <t>VÄRMLANDS LÄN</t>
        </is>
      </c>
      <c r="G86" t="inlineStr">
        <is>
          <t>HAGFORS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46255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44432</v>
      </c>
      <c r="E88" s="1" t="n">
        <v>46255</v>
      </c>
      <c r="F88" t="inlineStr">
        <is>
          <t>VÄRMLANDS LÄN</t>
        </is>
      </c>
      <c r="G88" t="inlineStr">
        <is>
          <t>HAGFORS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46255</v>
      </c>
      <c r="F89" t="inlineStr">
        <is>
          <t>VÄRMLANDS LÄN</t>
        </is>
      </c>
      <c r="G89" t="inlineStr">
        <is>
          <t>HAGFORS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8577-2022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44613</v>
      </c>
      <c r="E90" s="1" t="n">
        <v>46255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46255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46255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46255</v>
      </c>
      <c r="F93" t="inlineStr">
        <is>
          <t>VÄRMLANDS LÄN</t>
        </is>
      </c>
      <c r="G93" t="inlineStr">
        <is>
          <t>HAGFORS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46255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44799</v>
      </c>
      <c r="E95" s="1" t="n">
        <v>46255</v>
      </c>
      <c r="F95" t="inlineStr">
        <is>
          <t>VÄRMLANDS LÄN</t>
        </is>
      </c>
      <c r="G95" t="inlineStr">
        <is>
          <t>HAGFORS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46255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46255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46255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46255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44545</v>
      </c>
      <c r="E100" s="1" t="n">
        <v>46255</v>
      </c>
      <c r="F100" t="inlineStr">
        <is>
          <t>VÄRMLANDS LÄN</t>
        </is>
      </c>
      <c r="G100" t="inlineStr">
        <is>
          <t>HAGFORS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43475-2022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44836</v>
      </c>
      <c r="E101" s="1" t="n">
        <v>46255</v>
      </c>
      <c r="F101" t="inlineStr">
        <is>
          <t>VÄRMLANDS LÄN</t>
        </is>
      </c>
      <c r="G101" t="inlineStr">
        <is>
          <t>HAGFORS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44872</v>
      </c>
      <c r="E102" s="1" t="n">
        <v>46255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11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70713-2021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46255</v>
      </c>
      <c r="F103" t="inlineStr">
        <is>
          <t>VÄRMLANDS LÄN</t>
        </is>
      </c>
      <c r="G103" t="inlineStr">
        <is>
          <t>HAGFORS</t>
        </is>
      </c>
      <c r="H103" t="inlineStr">
        <is>
          <t>Kommuner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46255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46255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44594</v>
      </c>
      <c r="E106" s="1" t="n">
        <v>46255</v>
      </c>
      <c r="F106" t="inlineStr">
        <is>
          <t>VÄRMLANDS LÄN</t>
        </is>
      </c>
      <c r="G106" t="inlineStr">
        <is>
          <t>HAGFORS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46255</v>
      </c>
      <c r="F107" t="inlineStr">
        <is>
          <t>VÄRMLANDS LÄN</t>
        </is>
      </c>
      <c r="G107" t="inlineStr">
        <is>
          <t>HAGFORS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46255</v>
      </c>
      <c r="F108" t="inlineStr">
        <is>
          <t>VÄRMLANDS LÄN</t>
        </is>
      </c>
      <c r="G108" t="inlineStr">
        <is>
          <t>HAGFORS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46255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17402-2022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44678</v>
      </c>
      <c r="E110" s="1" t="n">
        <v>46255</v>
      </c>
      <c r="F110" t="inlineStr">
        <is>
          <t>VÄRMLANDS LÄN</t>
        </is>
      </c>
      <c r="G110" t="inlineStr">
        <is>
          <t>HAGFORS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46255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53757-2021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44469</v>
      </c>
      <c r="E112" s="1" t="n">
        <v>46255</v>
      </c>
      <c r="F112" t="inlineStr">
        <is>
          <t>VÄRMLANDS LÄN</t>
        </is>
      </c>
      <c r="G112" t="inlineStr">
        <is>
          <t>HAGFORS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46255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46255</v>
      </c>
      <c r="F114" t="inlineStr">
        <is>
          <t>VÄRMLANDS LÄN</t>
        </is>
      </c>
      <c r="G114" t="inlineStr">
        <is>
          <t>HAGFORS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46255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45621</v>
      </c>
      <c r="E116" s="1" t="n">
        <v>46255</v>
      </c>
      <c r="F116" t="inlineStr">
        <is>
          <t>VÄRMLANDS LÄN</t>
        </is>
      </c>
      <c r="G116" t="inlineStr">
        <is>
          <t>HAGFORS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46255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46255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45414</v>
      </c>
      <c r="E119" s="1" t="n">
        <v>46255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45414</v>
      </c>
      <c r="E120" s="1" t="n">
        <v>46255</v>
      </c>
      <c r="F120" t="inlineStr">
        <is>
          <t>VÄRMLANDS LÄN</t>
        </is>
      </c>
      <c r="G120" t="inlineStr">
        <is>
          <t>HAGFORS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45338</v>
      </c>
      <c r="E121" s="1" t="n">
        <v>46255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46255</v>
      </c>
      <c r="F122" t="inlineStr">
        <is>
          <t>VÄRMLANDS LÄN</t>
        </is>
      </c>
      <c r="G122" t="inlineStr">
        <is>
          <t>HAGFORS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44770</v>
      </c>
      <c r="E123" s="1" t="n">
        <v>46255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15538-2024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45401</v>
      </c>
      <c r="E124" s="1" t="n">
        <v>46255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45400</v>
      </c>
      <c r="E125" s="1" t="n">
        <v>46255</v>
      </c>
      <c r="F125" t="inlineStr">
        <is>
          <t>VÄRMLANDS LÄN</t>
        </is>
      </c>
      <c r="G125" t="inlineStr">
        <is>
          <t>HAGFORS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45371</v>
      </c>
      <c r="E126" s="1" t="n">
        <v>46255</v>
      </c>
      <c r="F126" t="inlineStr">
        <is>
          <t>VÄRMLANDS LÄN</t>
        </is>
      </c>
      <c r="G126" t="inlineStr">
        <is>
          <t>HAGFORS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45441</v>
      </c>
      <c r="E127" s="1" t="n">
        <v>46255</v>
      </c>
      <c r="F127" t="inlineStr">
        <is>
          <t>VÄRMLANDS LÄN</t>
        </is>
      </c>
      <c r="G127" t="inlineStr">
        <is>
          <t>HAGFORS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45434</v>
      </c>
      <c r="E128" s="1" t="n">
        <v>46255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46255</v>
      </c>
      <c r="F129" t="inlineStr">
        <is>
          <t>VÄRMLANDS LÄN</t>
        </is>
      </c>
      <c r="G129" t="inlineStr">
        <is>
          <t>HAGFORS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46255</v>
      </c>
      <c r="F130" t="inlineStr">
        <is>
          <t>VÄRMLANDS LÄN</t>
        </is>
      </c>
      <c r="G130" t="inlineStr">
        <is>
          <t>HAGFORS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46255</v>
      </c>
      <c r="F131" t="inlineStr">
        <is>
          <t>VÄRMLANDS LÄN</t>
        </is>
      </c>
      <c r="G131" t="inlineStr">
        <is>
          <t>HAGFORS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45398</v>
      </c>
      <c r="E132" s="1" t="n">
        <v>46255</v>
      </c>
      <c r="F132" t="inlineStr">
        <is>
          <t>VÄRMLANDS LÄN</t>
        </is>
      </c>
      <c r="G132" t="inlineStr">
        <is>
          <t>HAGFORS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45562</v>
      </c>
      <c r="E133" s="1" t="n">
        <v>46255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46255</v>
      </c>
      <c r="F134" t="inlineStr">
        <is>
          <t>VÄRMLANDS LÄN</t>
        </is>
      </c>
      <c r="G134" t="inlineStr">
        <is>
          <t>HAGFORS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46255</v>
      </c>
      <c r="F135" t="inlineStr">
        <is>
          <t>VÄRMLANDS LÄN</t>
        </is>
      </c>
      <c r="G135" t="inlineStr">
        <is>
          <t>HAGFORS</t>
        </is>
      </c>
      <c r="H135" t="inlineStr">
        <is>
          <t>Kyrkan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46255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45420</v>
      </c>
      <c r="E137" s="1" t="n">
        <v>46255</v>
      </c>
      <c r="F137" t="inlineStr">
        <is>
          <t>VÄRMLANDS LÄN</t>
        </is>
      </c>
      <c r="G137" t="inlineStr">
        <is>
          <t>HAGFORS</t>
        </is>
      </c>
      <c r="I137" t="n">
        <v>11.5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46255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45366</v>
      </c>
      <c r="E139" s="1" t="n">
        <v>46255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46255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46255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46255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46255</v>
      </c>
      <c r="F143" t="inlineStr">
        <is>
          <t>VÄRMLANDS LÄN</t>
        </is>
      </c>
      <c r="G143" t="inlineStr">
        <is>
          <t>HAGFORS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60167-2023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45258</v>
      </c>
      <c r="E144" s="1" t="n">
        <v>46255</v>
      </c>
      <c r="F144" t="inlineStr">
        <is>
          <t>VÄRMLANDS LÄN</t>
        </is>
      </c>
      <c r="G144" t="inlineStr">
        <is>
          <t>HAGFORS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46255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46255</v>
      </c>
      <c r="F146" t="inlineStr">
        <is>
          <t>VÄRMLANDS LÄN</t>
        </is>
      </c>
      <c r="G146" t="inlineStr">
        <is>
          <t>HAGFORS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46255</v>
      </c>
      <c r="F147" t="inlineStr">
        <is>
          <t>VÄRMLANDS LÄN</t>
        </is>
      </c>
      <c r="G147" t="inlineStr">
        <is>
          <t>HAGFORS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46255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46255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45140</v>
      </c>
      <c r="E150" s="1" t="n">
        <v>46255</v>
      </c>
      <c r="F150" t="inlineStr">
        <is>
          <t>VÄRMLANDS LÄN</t>
        </is>
      </c>
      <c r="G150" t="inlineStr">
        <is>
          <t>HAGFORS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58808-2022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46255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71447-2021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46255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44924</v>
      </c>
      <c r="E153" s="1" t="n">
        <v>46255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46255</v>
      </c>
      <c r="F154" t="inlineStr">
        <is>
          <t>VÄRMLANDS LÄN</t>
        </is>
      </c>
      <c r="G154" t="inlineStr">
        <is>
          <t>HAGFORS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46255</v>
      </c>
      <c r="F155" t="inlineStr">
        <is>
          <t>VÄRMLANDS LÄN</t>
        </is>
      </c>
      <c r="G155" t="inlineStr">
        <is>
          <t>HAGFORS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46255</v>
      </c>
      <c r="F156" t="inlineStr">
        <is>
          <t>VÄRMLANDS LÄN</t>
        </is>
      </c>
      <c r="G156" t="inlineStr">
        <is>
          <t>HAGFORS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61169-2024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45645</v>
      </c>
      <c r="E157" s="1" t="n">
        <v>46255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44582</v>
      </c>
      <c r="E158" s="1" t="n">
        <v>46255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45050</v>
      </c>
      <c r="E159" s="1" t="n">
        <v>46255</v>
      </c>
      <c r="F159" t="inlineStr">
        <is>
          <t>VÄRMLANDS LÄN</t>
        </is>
      </c>
      <c r="G159" t="inlineStr">
        <is>
          <t>HAGFORS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46255</v>
      </c>
      <c r="F160" t="inlineStr">
        <is>
          <t>VÄRMLANDS LÄN</t>
        </is>
      </c>
      <c r="G160" t="inlineStr">
        <is>
          <t>HAGFORS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28437-2025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46255</v>
      </c>
      <c r="F161" t="inlineStr">
        <is>
          <t>VÄRMLANDS LÄN</t>
        </is>
      </c>
      <c r="G161" t="inlineStr">
        <is>
          <t>HAGFORS</t>
        </is>
      </c>
      <c r="H161" t="inlineStr">
        <is>
          <t>Kyrkan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46255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46255</v>
      </c>
      <c r="F163" t="inlineStr">
        <is>
          <t>VÄRMLANDS LÄN</t>
        </is>
      </c>
      <c r="G163" t="inlineStr">
        <is>
          <t>HAGFORS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46255</v>
      </c>
      <c r="F164" t="inlineStr">
        <is>
          <t>VÄRMLANDS LÄN</t>
        </is>
      </c>
      <c r="G164" t="inlineStr">
        <is>
          <t>HAGFORS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53443-2024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46255</v>
      </c>
      <c r="F165" t="inlineStr">
        <is>
          <t>VÄRMLANDS LÄN</t>
        </is>
      </c>
      <c r="G165" t="inlineStr">
        <is>
          <t>HAGFORS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46255</v>
      </c>
      <c r="F166" t="inlineStr">
        <is>
          <t>VÄRMLANDS LÄN</t>
        </is>
      </c>
      <c r="G166" t="inlineStr">
        <is>
          <t>HAGFORS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16824-2023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45033</v>
      </c>
      <c r="E167" s="1" t="n">
        <v>46255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45826</v>
      </c>
      <c r="E168" s="1" t="n">
        <v>46255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15.9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46255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44883</v>
      </c>
      <c r="E170" s="1" t="n">
        <v>46255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46255</v>
      </c>
      <c r="F171" t="inlineStr">
        <is>
          <t>VÄRMLANDS LÄN</t>
        </is>
      </c>
      <c r="G171" t="inlineStr">
        <is>
          <t>HAGFORS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46255</v>
      </c>
      <c r="F172" t="inlineStr">
        <is>
          <t>VÄRMLANDS LÄN</t>
        </is>
      </c>
      <c r="G172" t="inlineStr">
        <is>
          <t>HAGFORS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46255</v>
      </c>
      <c r="F173" t="inlineStr">
        <is>
          <t>VÄRMLANDS LÄN</t>
        </is>
      </c>
      <c r="G173" t="inlineStr">
        <is>
          <t>HAGFORS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46255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46255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46255</v>
      </c>
      <c r="F176" t="inlineStr">
        <is>
          <t>VÄRMLANDS LÄN</t>
        </is>
      </c>
      <c r="G176" t="inlineStr">
        <is>
          <t>HAGFORS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46255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46255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46255</v>
      </c>
      <c r="F179" t="inlineStr">
        <is>
          <t>VÄRMLANDS LÄN</t>
        </is>
      </c>
      <c r="G179" t="inlineStr">
        <is>
          <t>HAGFORS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46255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12426-2024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45379</v>
      </c>
      <c r="E181" s="1" t="n">
        <v>46255</v>
      </c>
      <c r="F181" t="inlineStr">
        <is>
          <t>VÄRMLANDS LÄN</t>
        </is>
      </c>
      <c r="G181" t="inlineStr">
        <is>
          <t>HAGFORS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45492</v>
      </c>
      <c r="E182" s="1" t="n">
        <v>46255</v>
      </c>
      <c r="F182" t="inlineStr">
        <is>
          <t>VÄRMLANDS LÄN</t>
        </is>
      </c>
      <c r="G182" t="inlineStr">
        <is>
          <t>HAGFORS</t>
        </is>
      </c>
      <c r="H182" t="inlineStr">
        <is>
          <t>Kyrkan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45446</v>
      </c>
      <c r="E183" s="1" t="n">
        <v>46255</v>
      </c>
      <c r="F183" t="inlineStr">
        <is>
          <t>VÄRMLANDS LÄN</t>
        </is>
      </c>
      <c r="G183" t="inlineStr">
        <is>
          <t>HAGFORS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45282</v>
      </c>
      <c r="E184" s="1" t="n">
        <v>46255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46255</v>
      </c>
      <c r="F185" t="inlineStr">
        <is>
          <t>VÄRMLANDS LÄN</t>
        </is>
      </c>
      <c r="G185" t="inlineStr">
        <is>
          <t>HAGFORS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46255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46255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33440-2025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45841</v>
      </c>
      <c r="E188" s="1" t="n">
        <v>46255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46255</v>
      </c>
      <c r="F189" t="inlineStr">
        <is>
          <t>VÄRMLANDS LÄN</t>
        </is>
      </c>
      <c r="G189" t="inlineStr">
        <is>
          <t>HAGFORS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46255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46255</v>
      </c>
      <c r="F191" t="inlineStr">
        <is>
          <t>VÄRMLANDS LÄN</t>
        </is>
      </c>
      <c r="G191" t="inlineStr">
        <is>
          <t>HAGFORS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45845</v>
      </c>
      <c r="E192" s="1" t="n">
        <v>46255</v>
      </c>
      <c r="F192" t="inlineStr">
        <is>
          <t>VÄRMLANDS LÄN</t>
        </is>
      </c>
      <c r="G192" t="inlineStr">
        <is>
          <t>HAGFORS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46255</v>
      </c>
      <c r="F193" t="inlineStr">
        <is>
          <t>VÄRMLANDS LÄN</t>
        </is>
      </c>
      <c r="G193" t="inlineStr">
        <is>
          <t>HAGFORS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46255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45784</v>
      </c>
      <c r="E195" s="1" t="n">
        <v>46255</v>
      </c>
      <c r="F195" t="inlineStr">
        <is>
          <t>VÄRMLANDS LÄN</t>
        </is>
      </c>
      <c r="G195" t="inlineStr">
        <is>
          <t>HAGFORS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46255</v>
      </c>
      <c r="F196" t="inlineStr">
        <is>
          <t>VÄRMLANDS LÄN</t>
        </is>
      </c>
      <c r="G196" t="inlineStr">
        <is>
          <t>HAGFORS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46255</v>
      </c>
      <c r="F197" t="inlineStr">
        <is>
          <t>VÄRMLANDS LÄN</t>
        </is>
      </c>
      <c r="G197" t="inlineStr">
        <is>
          <t>HAGFORS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46255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45854</v>
      </c>
      <c r="E199" s="1" t="n">
        <v>46255</v>
      </c>
      <c r="F199" t="inlineStr">
        <is>
          <t>VÄRMLANDS LÄN</t>
        </is>
      </c>
      <c r="G199" t="inlineStr">
        <is>
          <t>HAGFORS</t>
        </is>
      </c>
      <c r="H199" t="inlineStr">
        <is>
          <t>Kyrkan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45854</v>
      </c>
      <c r="E200" s="1" t="n">
        <v>46255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46255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19072-2025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45765</v>
      </c>
      <c r="E202" s="1" t="n">
        <v>46255</v>
      </c>
      <c r="F202" t="inlineStr">
        <is>
          <t>VÄRMLANDS LÄN</t>
        </is>
      </c>
      <c r="G202" t="inlineStr">
        <is>
          <t>HAGFORS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46065</v>
      </c>
      <c r="E203" s="1" t="n">
        <v>46255</v>
      </c>
      <c r="F203" t="inlineStr">
        <is>
          <t>VÄRMLANDS LÄN</t>
        </is>
      </c>
      <c r="G203" t="inlineStr">
        <is>
          <t>HAGFORS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46255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46255</v>
      </c>
      <c r="F205" t="inlineStr">
        <is>
          <t>VÄRMLANDS LÄN</t>
        </is>
      </c>
      <c r="G205" t="inlineStr">
        <is>
          <t>HAGFORS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46255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46255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46255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45739</v>
      </c>
      <c r="E209" s="1" t="n">
        <v>46255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46255</v>
      </c>
      <c r="F210" t="inlineStr">
        <is>
          <t>VÄRMLANDS LÄN</t>
        </is>
      </c>
      <c r="G210" t="inlineStr">
        <is>
          <t>HAGFORS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46255</v>
      </c>
      <c r="F211" t="inlineStr">
        <is>
          <t>VÄRMLANDS LÄN</t>
        </is>
      </c>
      <c r="G211" t="inlineStr">
        <is>
          <t>HAGFORS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46255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41739-2025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45902</v>
      </c>
      <c r="E213" s="1" t="n">
        <v>46255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46072</v>
      </c>
      <c r="E214" s="1" t="n">
        <v>46255</v>
      </c>
      <c r="F214" t="inlineStr">
        <is>
          <t>VÄRMLANDS LÄN</t>
        </is>
      </c>
      <c r="G214" t="inlineStr">
        <is>
          <t>HAGFORS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46072</v>
      </c>
      <c r="E215" s="1" t="n">
        <v>46255</v>
      </c>
      <c r="F215" t="inlineStr">
        <is>
          <t>VÄRMLANDS LÄN</t>
        </is>
      </c>
      <c r="G215" t="inlineStr">
        <is>
          <t>HAGFORS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46255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46255</v>
      </c>
      <c r="F217" t="inlineStr">
        <is>
          <t>VÄRMLANDS LÄN</t>
        </is>
      </c>
      <c r="G217" t="inlineStr">
        <is>
          <t>HAGFORS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46255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46255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44125-2021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44434</v>
      </c>
      <c r="E220" s="1" t="n">
        <v>46255</v>
      </c>
      <c r="F220" t="inlineStr">
        <is>
          <t>VÄRMLANDS LÄN</t>
        </is>
      </c>
      <c r="G220" t="inlineStr">
        <is>
          <t>HAGFORS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46255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46255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46255</v>
      </c>
      <c r="F223" t="inlineStr">
        <is>
          <t>VÄRMLANDS LÄN</t>
        </is>
      </c>
      <c r="G223" t="inlineStr">
        <is>
          <t>HAGFORS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46255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45609</v>
      </c>
      <c r="E225" s="1" t="n">
        <v>46255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46255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45623</v>
      </c>
      <c r="E227" s="1" t="n">
        <v>46255</v>
      </c>
      <c r="F227" t="inlineStr">
        <is>
          <t>VÄRMLANDS LÄN</t>
        </is>
      </c>
      <c r="G227" t="inlineStr">
        <is>
          <t>HAGFORS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46255</v>
      </c>
      <c r="F228" t="inlineStr">
        <is>
          <t>VÄRMLANDS LÄN</t>
        </is>
      </c>
      <c r="G228" t="inlineStr">
        <is>
          <t>HAGFORS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45824</v>
      </c>
      <c r="E229" s="1" t="n">
        <v>46255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29447-2025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46255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46255</v>
      </c>
      <c r="F231" t="inlineStr">
        <is>
          <t>VÄRMLANDS LÄN</t>
        </is>
      </c>
      <c r="G231" t="inlineStr">
        <is>
          <t>HAGFORS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46255</v>
      </c>
      <c r="F232" t="inlineStr">
        <is>
          <t>VÄRMLANDS LÄN</t>
        </is>
      </c>
      <c r="G232" t="inlineStr">
        <is>
          <t>HAGFORS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8830-2024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46255</v>
      </c>
      <c r="F233" t="inlineStr">
        <is>
          <t>VÄRMLANDS LÄN</t>
        </is>
      </c>
      <c r="G233" t="inlineStr">
        <is>
          <t>HAGFORS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46255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46255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45750</v>
      </c>
      <c r="E236" s="1" t="n">
        <v>46255</v>
      </c>
      <c r="F236" t="inlineStr">
        <is>
          <t>VÄRMLANDS LÄN</t>
        </is>
      </c>
      <c r="G236" t="inlineStr">
        <is>
          <t>HAGFORS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45006</v>
      </c>
      <c r="E237" s="1" t="n">
        <v>46255</v>
      </c>
      <c r="F237" t="inlineStr">
        <is>
          <t>VÄRMLANDS LÄN</t>
        </is>
      </c>
      <c r="G237" t="inlineStr">
        <is>
          <t>HAGFORS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46255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46255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46255</v>
      </c>
      <c r="F240" t="inlineStr">
        <is>
          <t>VÄRMLANDS LÄN</t>
        </is>
      </c>
      <c r="G240" t="inlineStr">
        <is>
          <t>HAGFORS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45461</v>
      </c>
      <c r="E241" s="1" t="n">
        <v>46255</v>
      </c>
      <c r="F241" t="inlineStr">
        <is>
          <t>VÄRMLANDS LÄN</t>
        </is>
      </c>
      <c r="G241" t="inlineStr">
        <is>
          <t>HAGFORS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46076</v>
      </c>
      <c r="E242" s="1" t="n">
        <v>46255</v>
      </c>
      <c r="F242" t="inlineStr">
        <is>
          <t>VÄRMLANDS LÄN</t>
        </is>
      </c>
      <c r="G242" t="inlineStr">
        <is>
          <t>HAGFORS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46255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46255</v>
      </c>
      <c r="F244" t="inlineStr">
        <is>
          <t>VÄRMLANDS LÄN</t>
        </is>
      </c>
      <c r="G244" t="inlineStr">
        <is>
          <t>HAGFORS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46255</v>
      </c>
      <c r="F245" t="inlineStr">
        <is>
          <t>VÄRMLANDS LÄN</t>
        </is>
      </c>
      <c r="G245" t="inlineStr">
        <is>
          <t>HAGFORS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45201</v>
      </c>
      <c r="E246" s="1" t="n">
        <v>46255</v>
      </c>
      <c r="F246" t="inlineStr">
        <is>
          <t>VÄRMLANDS LÄN</t>
        </is>
      </c>
      <c r="G246" t="inlineStr">
        <is>
          <t>HAGFORS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46255</v>
      </c>
      <c r="F247" t="inlineStr">
        <is>
          <t>VÄRMLANDS LÄN</t>
        </is>
      </c>
      <c r="G247" t="inlineStr">
        <is>
          <t>HAGFORS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46255</v>
      </c>
      <c r="F248" t="inlineStr">
        <is>
          <t>VÄRMLANDS LÄN</t>
        </is>
      </c>
      <c r="G248" t="inlineStr">
        <is>
          <t>HAGFORS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46255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45436</v>
      </c>
      <c r="E250" s="1" t="n">
        <v>46255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46255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46255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45927</v>
      </c>
      <c r="E253" s="1" t="n">
        <v>46255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46255</v>
      </c>
      <c r="F254" t="inlineStr">
        <is>
          <t>VÄRMLANDS LÄN</t>
        </is>
      </c>
      <c r="G254" t="inlineStr">
        <is>
          <t>HAGFORS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46255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45927</v>
      </c>
      <c r="E256" s="1" t="n">
        <v>46255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45928</v>
      </c>
      <c r="E257" s="1" t="n">
        <v>46255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13.8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46255</v>
      </c>
      <c r="F258" t="inlineStr">
        <is>
          <t>VÄRMLANDS LÄN</t>
        </is>
      </c>
      <c r="G258" t="inlineStr">
        <is>
          <t>HAGFORS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46255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44757</v>
      </c>
      <c r="E260" s="1" t="n">
        <v>46255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46255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19702-2022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44694</v>
      </c>
      <c r="E262" s="1" t="n">
        <v>46255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46255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46255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36360-2023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45152</v>
      </c>
      <c r="E265" s="1" t="n">
        <v>46255</v>
      </c>
      <c r="F265" t="inlineStr">
        <is>
          <t>VÄRMLANDS LÄN</t>
        </is>
      </c>
      <c r="G265" t="inlineStr">
        <is>
          <t>HAGFORS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44770</v>
      </c>
      <c r="E266" s="1" t="n">
        <v>46255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46255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48176-2025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46255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46255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46255</v>
      </c>
      <c r="F270" t="inlineStr">
        <is>
          <t>VÄRMLANDS LÄN</t>
        </is>
      </c>
      <c r="G270" t="inlineStr">
        <is>
          <t>HAGFORS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46255</v>
      </c>
      <c r="F271" t="inlineStr">
        <is>
          <t>VÄRMLANDS LÄN</t>
        </is>
      </c>
      <c r="G271" t="inlineStr">
        <is>
          <t>HAGFORS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46255</v>
      </c>
      <c r="F272" t="inlineStr">
        <is>
          <t>VÄRMLANDS LÄN</t>
        </is>
      </c>
      <c r="G272" t="inlineStr">
        <is>
          <t>HAGFORS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45939</v>
      </c>
      <c r="E273" s="1" t="n">
        <v>46255</v>
      </c>
      <c r="F273" t="inlineStr">
        <is>
          <t>VÄRMLANDS LÄN</t>
        </is>
      </c>
      <c r="G273" t="inlineStr">
        <is>
          <t>HAGFORS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57379-2022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44896</v>
      </c>
      <c r="E274" s="1" t="n">
        <v>46255</v>
      </c>
      <c r="F274" t="inlineStr">
        <is>
          <t>VÄRMLANDS LÄN</t>
        </is>
      </c>
      <c r="G274" t="inlineStr">
        <is>
          <t>HAGFORS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45201</v>
      </c>
      <c r="E275" s="1" t="n">
        <v>46255</v>
      </c>
      <c r="F275" t="inlineStr">
        <is>
          <t>VÄRMLANDS LÄN</t>
        </is>
      </c>
      <c r="G275" t="inlineStr">
        <is>
          <t>HAGFORS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49967-2025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45941</v>
      </c>
      <c r="E276" s="1" t="n">
        <v>46255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45029</v>
      </c>
      <c r="E277" s="1" t="n">
        <v>46255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39029-2022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44817</v>
      </c>
      <c r="E278" s="1" t="n">
        <v>46255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46255</v>
      </c>
      <c r="F279" t="inlineStr">
        <is>
          <t>VÄRMLANDS LÄN</t>
        </is>
      </c>
      <c r="G279" t="inlineStr">
        <is>
          <t>HAGFORS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46255</v>
      </c>
      <c r="F280" t="inlineStr">
        <is>
          <t>VÄRMLANDS LÄN</t>
        </is>
      </c>
      <c r="G280" t="inlineStr">
        <is>
          <t>HAGFORS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46255</v>
      </c>
      <c r="F281" t="inlineStr">
        <is>
          <t>VÄRMLANDS LÄN</t>
        </is>
      </c>
      <c r="G281" t="inlineStr">
        <is>
          <t>HAGFORS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46255</v>
      </c>
      <c r="F282" t="inlineStr">
        <is>
          <t>VÄRMLANDS LÄN</t>
        </is>
      </c>
      <c r="G282" t="inlineStr">
        <is>
          <t>HAGFORS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20652-2022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44700</v>
      </c>
      <c r="E283" s="1" t="n">
        <v>46255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45947</v>
      </c>
      <c r="E284" s="1" t="n">
        <v>46255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46255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46255</v>
      </c>
      <c r="F286" t="inlineStr">
        <is>
          <t>VÄRMLANDS LÄN</t>
        </is>
      </c>
      <c r="G286" t="inlineStr">
        <is>
          <t>HAGFORS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51273-2025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45949</v>
      </c>
      <c r="E287" s="1" t="n">
        <v>46255</v>
      </c>
      <c r="F287" t="inlineStr">
        <is>
          <t>VÄRMLANDS LÄN</t>
        </is>
      </c>
      <c r="G287" t="inlineStr">
        <is>
          <t>HAGFORS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12611-2026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46091</v>
      </c>
      <c r="E288" s="1" t="n">
        <v>46255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46255</v>
      </c>
      <c r="F289" t="inlineStr">
        <is>
          <t>VÄRMLANDS LÄN</t>
        </is>
      </c>
      <c r="G289" t="inlineStr">
        <is>
          <t>HAGFORS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46255</v>
      </c>
      <c r="F290" t="inlineStr">
        <is>
          <t>VÄRMLANDS LÄN</t>
        </is>
      </c>
      <c r="G290" t="inlineStr">
        <is>
          <t>HAGFORS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45223</v>
      </c>
      <c r="E291" s="1" t="n">
        <v>46255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52479-2025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46255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46255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46255</v>
      </c>
      <c r="F294" t="inlineStr">
        <is>
          <t>VÄRMLANDS LÄN</t>
        </is>
      </c>
      <c r="G294" t="inlineStr">
        <is>
          <t>HAGFORS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46255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46255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46255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45155</v>
      </c>
      <c r="E298" s="1" t="n">
        <v>46255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46255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37463-2022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44809</v>
      </c>
      <c r="E300" s="1" t="n">
        <v>46255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46255</v>
      </c>
      <c r="F301" t="inlineStr">
        <is>
          <t>VÄRMLANDS LÄN</t>
        </is>
      </c>
      <c r="G301" t="inlineStr">
        <is>
          <t>HAGFORS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44851</v>
      </c>
      <c r="E302" s="1" t="n">
        <v>46255</v>
      </c>
      <c r="F302" t="inlineStr">
        <is>
          <t>VÄRMLANDS LÄN</t>
        </is>
      </c>
      <c r="G302" t="inlineStr">
        <is>
          <t>HAGFORS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34540-2024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45525</v>
      </c>
      <c r="E303" s="1" t="n">
        <v>46255</v>
      </c>
      <c r="F303" t="inlineStr">
        <is>
          <t>VÄRMLANDS LÄN</t>
        </is>
      </c>
      <c r="G303" t="inlineStr">
        <is>
          <t>HAGFORS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45961</v>
      </c>
      <c r="E304" s="1" t="n">
        <v>46255</v>
      </c>
      <c r="F304" t="inlineStr">
        <is>
          <t>VÄRMLANDS LÄN</t>
        </is>
      </c>
      <c r="G304" t="inlineStr">
        <is>
          <t>HAGFORS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33969-2022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44790</v>
      </c>
      <c r="E305" s="1" t="n">
        <v>46255</v>
      </c>
      <c r="F305" t="inlineStr">
        <is>
          <t>VÄRMLANDS LÄN</t>
        </is>
      </c>
      <c r="G305" t="inlineStr">
        <is>
          <t>HAGFORS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13419-2026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46255</v>
      </c>
      <c r="F306" t="inlineStr">
        <is>
          <t>VÄRMLANDS LÄN</t>
        </is>
      </c>
      <c r="G306" t="inlineStr">
        <is>
          <t>HAGFORS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46255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46255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45461</v>
      </c>
      <c r="E309" s="1" t="n">
        <v>46255</v>
      </c>
      <c r="F309" t="inlineStr">
        <is>
          <t>VÄRMLANDS LÄN</t>
        </is>
      </c>
      <c r="G309" t="inlineStr">
        <is>
          <t>HAGFORS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55190-2025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45968</v>
      </c>
      <c r="E310" s="1" t="n">
        <v>46255</v>
      </c>
      <c r="F310" t="inlineStr">
        <is>
          <t>VÄRMLANDS LÄN</t>
        </is>
      </c>
      <c r="G310" t="inlineStr">
        <is>
          <t>HAGFORS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45967</v>
      </c>
      <c r="E311" s="1" t="n">
        <v>46255</v>
      </c>
      <c r="F311" t="inlineStr">
        <is>
          <t>VÄRMLANDS LÄN</t>
        </is>
      </c>
      <c r="G311" t="inlineStr">
        <is>
          <t>HAGFORS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46255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46255</v>
      </c>
      <c r="F313" t="inlineStr">
        <is>
          <t>VÄRMLANDS LÄN</t>
        </is>
      </c>
      <c r="G313" t="inlineStr">
        <is>
          <t>HAGFORS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46255</v>
      </c>
      <c r="F314" t="inlineStr">
        <is>
          <t>VÄRMLANDS LÄN</t>
        </is>
      </c>
      <c r="G314" t="inlineStr">
        <is>
          <t>HAGFORS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46255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70712-2021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44537</v>
      </c>
      <c r="E316" s="1" t="n">
        <v>46255</v>
      </c>
      <c r="F316" t="inlineStr">
        <is>
          <t>VÄRMLANDS LÄN</t>
        </is>
      </c>
      <c r="G316" t="inlineStr">
        <is>
          <t>HAGFORS</t>
        </is>
      </c>
      <c r="H316" t="inlineStr">
        <is>
          <t>Kommuner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46255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13360-2026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46255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46255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46255</v>
      </c>
      <c r="F320" t="inlineStr">
        <is>
          <t>VÄRMLANDS LÄN</t>
        </is>
      </c>
      <c r="G320" t="inlineStr">
        <is>
          <t>HAGFORS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20060-2023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45054</v>
      </c>
      <c r="E321" s="1" t="n">
        <v>46255</v>
      </c>
      <c r="F321" t="inlineStr">
        <is>
          <t>VÄRMLANDS LÄN</t>
        </is>
      </c>
      <c r="G321" t="inlineStr">
        <is>
          <t>HAGFORS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44571</v>
      </c>
      <c r="E322" s="1" t="n">
        <v>46255</v>
      </c>
      <c r="F322" t="inlineStr">
        <is>
          <t>VÄRMLANDS LÄN</t>
        </is>
      </c>
      <c r="G322" t="inlineStr">
        <is>
          <t>HAGFORS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46255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46255</v>
      </c>
      <c r="F324" t="inlineStr">
        <is>
          <t>VÄRMLANDS LÄN</t>
        </is>
      </c>
      <c r="G324" t="inlineStr">
        <is>
          <t>HAGFORS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44924</v>
      </c>
      <c r="E325" s="1" t="n">
        <v>46255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46255</v>
      </c>
      <c r="F326" t="inlineStr">
        <is>
          <t>VÄRMLANDS LÄN</t>
        </is>
      </c>
      <c r="G326" t="inlineStr">
        <is>
          <t>HAGFORS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61140-2023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45261</v>
      </c>
      <c r="E327" s="1" t="n">
        <v>46255</v>
      </c>
      <c r="F327" t="inlineStr">
        <is>
          <t>VÄRMLANDS LÄN</t>
        </is>
      </c>
      <c r="G327" t="inlineStr">
        <is>
          <t>HAGFORS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46098</v>
      </c>
      <c r="E328" s="1" t="n">
        <v>46255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45741</v>
      </c>
      <c r="E329" s="1" t="n">
        <v>46255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46255</v>
      </c>
      <c r="F330" t="inlineStr">
        <is>
          <t>VÄRMLANDS LÄN</t>
        </is>
      </c>
      <c r="G330" t="inlineStr">
        <is>
          <t>HAGFORS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46255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46255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46255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57359-2022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46255</v>
      </c>
      <c r="F334" t="inlineStr">
        <is>
          <t>VÄRMLANDS LÄN</t>
        </is>
      </c>
      <c r="G334" t="inlineStr">
        <is>
          <t>HAGFORS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46255</v>
      </c>
      <c r="F335" t="inlineStr">
        <is>
          <t>VÄRMLANDS LÄN</t>
        </is>
      </c>
      <c r="G335" t="inlineStr">
        <is>
          <t>HAGFORS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46098</v>
      </c>
      <c r="E336" s="1" t="n">
        <v>46255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46255</v>
      </c>
      <c r="F337" t="inlineStr">
        <is>
          <t>VÄRMLANDS LÄN</t>
        </is>
      </c>
      <c r="G337" t="inlineStr">
        <is>
          <t>HAGFORS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25759-2023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45090</v>
      </c>
      <c r="E338" s="1" t="n">
        <v>46255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46098</v>
      </c>
      <c r="E339" s="1" t="n">
        <v>46255</v>
      </c>
      <c r="F339" t="inlineStr">
        <is>
          <t>VÄRMLANDS LÄN</t>
        </is>
      </c>
      <c r="G339" t="inlineStr">
        <is>
          <t>HAGFORS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44839</v>
      </c>
      <c r="E340" s="1" t="n">
        <v>46255</v>
      </c>
      <c r="F340" t="inlineStr">
        <is>
          <t>VÄRMLANDS LÄN</t>
        </is>
      </c>
      <c r="G340" t="inlineStr">
        <is>
          <t>HAGFORS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14667-2026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46101</v>
      </c>
      <c r="E341" s="1" t="n">
        <v>46255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46255</v>
      </c>
      <c r="F342" t="inlineStr">
        <is>
          <t>VÄRMLANDS LÄN</t>
        </is>
      </c>
      <c r="G342" t="inlineStr">
        <is>
          <t>HAGFORS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46255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46255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46255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45218-2021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44439</v>
      </c>
      <c r="E346" s="1" t="n">
        <v>46255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49.5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46255</v>
      </c>
      <c r="F347" t="inlineStr">
        <is>
          <t>VÄRMLANDS LÄN</t>
        </is>
      </c>
      <c r="G347" t="inlineStr">
        <is>
          <t>HAGFORS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61818-2023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46255</v>
      </c>
      <c r="F348" t="inlineStr">
        <is>
          <t>VÄRMLANDS LÄN</t>
        </is>
      </c>
      <c r="G348" t="inlineStr">
        <is>
          <t>HAGFORS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46104</v>
      </c>
      <c r="E349" s="1" t="n">
        <v>46255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44883</v>
      </c>
      <c r="E350" s="1" t="n">
        <v>46255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46255</v>
      </c>
      <c r="F351" t="inlineStr">
        <is>
          <t>VÄRMLANDS LÄN</t>
        </is>
      </c>
      <c r="G351" t="inlineStr">
        <is>
          <t>HAGFORS</t>
        </is>
      </c>
      <c r="H351" t="inlineStr">
        <is>
          <t>Kyrkan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59047-2025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45988</v>
      </c>
      <c r="E352" s="1" t="n">
        <v>46255</v>
      </c>
      <c r="F352" t="inlineStr">
        <is>
          <t>VÄRMLANDS LÄN</t>
        </is>
      </c>
      <c r="G352" t="inlineStr">
        <is>
          <t>HAGFORS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15213-2026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46255</v>
      </c>
      <c r="F353" t="inlineStr">
        <is>
          <t>VÄRMLANDS LÄN</t>
        </is>
      </c>
      <c r="G353" t="inlineStr">
        <is>
          <t>HAGFORS</t>
        </is>
      </c>
      <c r="H353" t="inlineStr">
        <is>
          <t>Kyrkan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46255</v>
      </c>
      <c r="F354" t="inlineStr">
        <is>
          <t>VÄRMLANDS LÄN</t>
        </is>
      </c>
      <c r="G354" t="inlineStr">
        <is>
          <t>HAGFORS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46255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18.8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45772</v>
      </c>
      <c r="E356" s="1" t="n">
        <v>46255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46255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46255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19554-2024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45429</v>
      </c>
      <c r="E359" s="1" t="n">
        <v>46255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46255</v>
      </c>
      <c r="F360" t="inlineStr">
        <is>
          <t>VÄRMLANDS LÄN</t>
        </is>
      </c>
      <c r="G360" t="inlineStr">
        <is>
          <t>HAGFORS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46255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46255</v>
      </c>
      <c r="F362" t="inlineStr">
        <is>
          <t>VÄRMLANDS LÄN</t>
        </is>
      </c>
      <c r="G362" t="inlineStr">
        <is>
          <t>HAGFORS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46255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15639-2026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46255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22503-2024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45447</v>
      </c>
      <c r="E365" s="1" t="n">
        <v>46255</v>
      </c>
      <c r="F365" t="inlineStr">
        <is>
          <t>VÄRMLANDS LÄN</t>
        </is>
      </c>
      <c r="G365" t="inlineStr">
        <is>
          <t>HAGFORS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45996</v>
      </c>
      <c r="E366" s="1" t="n">
        <v>46255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60648-2025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45996</v>
      </c>
      <c r="E367" s="1" t="n">
        <v>46255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42168-2024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45562</v>
      </c>
      <c r="E368" s="1" t="n">
        <v>46255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15491-2026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46255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46255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9.4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46255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46255</v>
      </c>
      <c r="F372" t="inlineStr">
        <is>
          <t>VÄRMLANDS LÄN</t>
        </is>
      </c>
      <c r="G372" t="inlineStr">
        <is>
          <t>HAGFORS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45684</v>
      </c>
      <c r="E373" s="1" t="n">
        <v>46255</v>
      </c>
      <c r="F373" t="inlineStr">
        <is>
          <t>VÄRMLANDS LÄN</t>
        </is>
      </c>
      <c r="G373" t="inlineStr">
        <is>
          <t>HAGFORS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16146-2026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46255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44728-2023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45190</v>
      </c>
      <c r="E375" s="1" t="n">
        <v>46255</v>
      </c>
      <c r="F375" t="inlineStr">
        <is>
          <t>VÄRMLANDS LÄN</t>
        </is>
      </c>
      <c r="G375" t="inlineStr">
        <is>
          <t>HAGFORS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44950</v>
      </c>
      <c r="E376" s="1" t="n">
        <v>46255</v>
      </c>
      <c r="F376" t="inlineStr">
        <is>
          <t>VÄRMLANDS LÄN</t>
        </is>
      </c>
      <c r="G376" t="inlineStr">
        <is>
          <t>HAGFORS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44950</v>
      </c>
      <c r="E377" s="1" t="n">
        <v>46255</v>
      </c>
      <c r="F377" t="inlineStr">
        <is>
          <t>VÄRMLANDS LÄN</t>
        </is>
      </c>
      <c r="G377" t="inlineStr">
        <is>
          <t>HAGFORS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46002</v>
      </c>
      <c r="E378" s="1" t="n">
        <v>46255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46002</v>
      </c>
      <c r="E379" s="1" t="n">
        <v>46255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61910-2025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46003</v>
      </c>
      <c r="E380" s="1" t="n">
        <v>46255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46255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46255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45287</v>
      </c>
      <c r="E383" s="1" t="n">
        <v>46255</v>
      </c>
      <c r="F383" t="inlineStr">
        <is>
          <t>VÄRMLANDS LÄN</t>
        </is>
      </c>
      <c r="G383" t="inlineStr">
        <is>
          <t>HAGFORS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46255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58210-2022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44901</v>
      </c>
      <c r="E385" s="1" t="n">
        <v>46255</v>
      </c>
      <c r="F385" t="inlineStr">
        <is>
          <t>VÄRMLANDS LÄN</t>
        </is>
      </c>
      <c r="G385" t="inlineStr">
        <is>
          <t>HAGFORS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46006</v>
      </c>
      <c r="E386" s="1" t="n">
        <v>46255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46006</v>
      </c>
      <c r="E387" s="1" t="n">
        <v>46255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61843-2025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46003</v>
      </c>
      <c r="E388" s="1" t="n">
        <v>46255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46255</v>
      </c>
      <c r="F389" t="inlineStr">
        <is>
          <t>VÄRMLANDS LÄN</t>
        </is>
      </c>
      <c r="G389" t="inlineStr">
        <is>
          <t>HAGFORS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46255</v>
      </c>
      <c r="F390" t="inlineStr">
        <is>
          <t>VÄRMLANDS LÄN</t>
        </is>
      </c>
      <c r="G390" t="inlineStr">
        <is>
          <t>HAGFORS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46255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46007</v>
      </c>
      <c r="E392" s="1" t="n">
        <v>46255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25258-2023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45079</v>
      </c>
      <c r="E393" s="1" t="n">
        <v>46255</v>
      </c>
      <c r="F393" t="inlineStr">
        <is>
          <t>VÄRMLANDS LÄN</t>
        </is>
      </c>
      <c r="G393" t="inlineStr">
        <is>
          <t>HAGFORS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46255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46255</v>
      </c>
      <c r="F395" t="inlineStr">
        <is>
          <t>VÄRMLANDS LÄN</t>
        </is>
      </c>
      <c r="G395" t="inlineStr">
        <is>
          <t>HAGFORS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63301-2025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46255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46255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46255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46255</v>
      </c>
      <c r="F399" t="inlineStr">
        <is>
          <t>VÄRMLANDS LÄN</t>
        </is>
      </c>
      <c r="G399" t="inlineStr">
        <is>
          <t>HAGFORS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45519</v>
      </c>
      <c r="E400" s="1" t="n">
        <v>46255</v>
      </c>
      <c r="F400" t="inlineStr">
        <is>
          <t>VÄRMLANDS LÄN</t>
        </is>
      </c>
      <c r="G400" t="inlineStr">
        <is>
          <t>HAGFORS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45489</v>
      </c>
      <c r="E401" s="1" t="n">
        <v>46255</v>
      </c>
      <c r="F401" t="inlineStr">
        <is>
          <t>VÄRMLANDS LÄN</t>
        </is>
      </c>
      <c r="G401" t="inlineStr">
        <is>
          <t>HAGFORS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46020</v>
      </c>
      <c r="E402" s="1" t="n">
        <v>46255</v>
      </c>
      <c r="F402" t="inlineStr">
        <is>
          <t>VÄRMLANDS LÄN</t>
        </is>
      </c>
      <c r="G402" t="inlineStr">
        <is>
          <t>HAGFORS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46018</v>
      </c>
      <c r="E403" s="1" t="n">
        <v>46255</v>
      </c>
      <c r="F403" t="inlineStr">
        <is>
          <t>VÄRMLANDS LÄN</t>
        </is>
      </c>
      <c r="G403" t="inlineStr">
        <is>
          <t>HAGFORS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63765-2025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46018</v>
      </c>
      <c r="E404" s="1" t="n">
        <v>46255</v>
      </c>
      <c r="F404" t="inlineStr">
        <is>
          <t>VÄRMLANDS LÄN</t>
        </is>
      </c>
      <c r="G404" t="inlineStr">
        <is>
          <t>HAGFORS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38612-2023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45162</v>
      </c>
      <c r="E405" s="1" t="n">
        <v>46255</v>
      </c>
      <c r="F405" t="inlineStr">
        <is>
          <t>VÄRMLANDS LÄN</t>
        </is>
      </c>
      <c r="G405" t="inlineStr">
        <is>
          <t>HAGFORS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46255</v>
      </c>
      <c r="F406" t="inlineStr">
        <is>
          <t>VÄRMLANDS LÄN</t>
        </is>
      </c>
      <c r="G406" t="inlineStr">
        <is>
          <t>HAGFORS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63834-2025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46020</v>
      </c>
      <c r="E407" s="1" t="n">
        <v>46255</v>
      </c>
      <c r="F407" t="inlineStr">
        <is>
          <t>VÄRMLANDS LÄN</t>
        </is>
      </c>
      <c r="G407" t="inlineStr">
        <is>
          <t>HAGFORS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60390-2025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46255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45084</v>
      </c>
      <c r="E409" s="1" t="n">
        <v>46255</v>
      </c>
      <c r="F409" t="inlineStr">
        <is>
          <t>VÄRMLANDS LÄN</t>
        </is>
      </c>
      <c r="G409" t="inlineStr">
        <is>
          <t>HAGFORS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46255</v>
      </c>
      <c r="F410" t="inlineStr">
        <is>
          <t>VÄRMLANDS LÄN</t>
        </is>
      </c>
      <c r="G410" t="inlineStr">
        <is>
          <t>HAGFORS</t>
        </is>
      </c>
      <c r="H410" t="inlineStr">
        <is>
          <t>Kyrkan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46255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46255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48807-2025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45937</v>
      </c>
      <c r="E413" s="1" t="n">
        <v>46255</v>
      </c>
      <c r="F413" t="inlineStr">
        <is>
          <t>VÄRMLANDS LÄN</t>
        </is>
      </c>
      <c r="G413" t="inlineStr">
        <is>
          <t>HAGFORS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46255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975-2026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46030</v>
      </c>
      <c r="E415" s="1" t="n">
        <v>46255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44938</v>
      </c>
      <c r="E416" s="1" t="n">
        <v>46255</v>
      </c>
      <c r="F416" t="inlineStr">
        <is>
          <t>VÄRMLANDS LÄN</t>
        </is>
      </c>
      <c r="G416" t="inlineStr">
        <is>
          <t>HAGFORS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6910-2024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45343</v>
      </c>
      <c r="E417" s="1" t="n">
        <v>46255</v>
      </c>
      <c r="F417" t="inlineStr">
        <is>
          <t>VÄRMLANDS LÄN</t>
        </is>
      </c>
      <c r="G417" t="inlineStr">
        <is>
          <t>HAGFORS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46029</v>
      </c>
      <c r="E418" s="1" t="n">
        <v>46255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17778-2026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46255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45475</v>
      </c>
      <c r="E420" s="1" t="n">
        <v>46255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45475</v>
      </c>
      <c r="E421" s="1" t="n">
        <v>46255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19125-2024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45428</v>
      </c>
      <c r="E422" s="1" t="n">
        <v>46255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46255</v>
      </c>
      <c r="F423" t="inlineStr">
        <is>
          <t>VÄRMLANDS LÄN</t>
        </is>
      </c>
      <c r="G423" t="inlineStr">
        <is>
          <t>HAGFORS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45335</v>
      </c>
      <c r="E424" s="1" t="n">
        <v>46255</v>
      </c>
      <c r="F424" t="inlineStr">
        <is>
          <t>VÄRMLANDS LÄN</t>
        </is>
      </c>
      <c r="G424" t="inlineStr">
        <is>
          <t>HAGFORS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46255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17305-2023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45035</v>
      </c>
      <c r="E426" s="1" t="n">
        <v>46255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44567</v>
      </c>
      <c r="E427" s="1" t="n">
        <v>46255</v>
      </c>
      <c r="F427" t="inlineStr">
        <is>
          <t>VÄRMLANDS LÄN</t>
        </is>
      </c>
      <c r="G427" t="inlineStr">
        <is>
          <t>HAGFORS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46255</v>
      </c>
      <c r="F428" t="inlineStr">
        <is>
          <t>VÄRMLANDS LÄN</t>
        </is>
      </c>
      <c r="G428" t="inlineStr">
        <is>
          <t>HAGFORS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18528-2026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46127</v>
      </c>
      <c r="E429" s="1" t="n">
        <v>46255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10236-2022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44622</v>
      </c>
      <c r="E430" s="1" t="n">
        <v>46255</v>
      </c>
      <c r="F430" t="inlineStr">
        <is>
          <t>VÄRMLANDS LÄN</t>
        </is>
      </c>
      <c r="G430" t="inlineStr">
        <is>
          <t>HAGFORS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46255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46255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10297-2025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45720</v>
      </c>
      <c r="E433" s="1" t="n">
        <v>46255</v>
      </c>
      <c r="F433" t="inlineStr">
        <is>
          <t>VÄRMLANDS LÄN</t>
        </is>
      </c>
      <c r="G433" t="inlineStr">
        <is>
          <t>HAGFORS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41603-2023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46255</v>
      </c>
      <c r="F434" t="inlineStr">
        <is>
          <t>VÄRMLANDS LÄN</t>
        </is>
      </c>
      <c r="G434" t="inlineStr">
        <is>
          <t>HAGFORS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46255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32147-2023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46255</v>
      </c>
      <c r="F436" t="inlineStr">
        <is>
          <t>VÄRMLANDS LÄN</t>
        </is>
      </c>
      <c r="G436" t="inlineStr">
        <is>
          <t>HAGFORS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44906-2024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45575</v>
      </c>
      <c r="E437" s="1" t="n">
        <v>46255</v>
      </c>
      <c r="F437" t="inlineStr">
        <is>
          <t>VÄRMLANDS LÄN</t>
        </is>
      </c>
      <c r="G437" t="inlineStr">
        <is>
          <t>HAGFORS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46255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46255</v>
      </c>
      <c r="F439" t="inlineStr">
        <is>
          <t>VÄRMLANDS LÄN</t>
        </is>
      </c>
      <c r="G439" t="inlineStr">
        <is>
          <t>HAGFORS</t>
        </is>
      </c>
      <c r="I439" t="n">
        <v>13.1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46255</v>
      </c>
      <c r="F440" t="inlineStr">
        <is>
          <t>VÄRMLANDS LÄN</t>
        </is>
      </c>
      <c r="G440" t="inlineStr">
        <is>
          <t>HAGFORS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46255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46255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19459-2026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46255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46255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46133</v>
      </c>
      <c r="E445" s="1" t="n">
        <v>46255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46134</v>
      </c>
      <c r="E446" s="1" t="n">
        <v>46255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46255</v>
      </c>
      <c r="F447" t="inlineStr">
        <is>
          <t>VÄRMLANDS LÄN</t>
        </is>
      </c>
      <c r="G447" t="inlineStr">
        <is>
          <t>HAGFORS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19421-2026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46255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46255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46050</v>
      </c>
      <c r="E450" s="1" t="n">
        <v>46255</v>
      </c>
      <c r="F450" t="inlineStr">
        <is>
          <t>VÄRMLANDS LÄN</t>
        </is>
      </c>
      <c r="G450" t="inlineStr">
        <is>
          <t>HAGFORS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46255</v>
      </c>
      <c r="F451" t="inlineStr">
        <is>
          <t>VÄRMLANDS LÄN</t>
        </is>
      </c>
      <c r="G451" t="inlineStr">
        <is>
          <t>HAGFORS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46255</v>
      </c>
      <c r="F452" t="inlineStr">
        <is>
          <t>VÄRMLANDS LÄN</t>
        </is>
      </c>
      <c r="G452" t="inlineStr">
        <is>
          <t>HAGFORS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46255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46255</v>
      </c>
      <c r="F454" t="inlineStr">
        <is>
          <t>VÄRMLANDS LÄN</t>
        </is>
      </c>
      <c r="G454" t="inlineStr">
        <is>
          <t>HAGFORS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19363-2026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46133</v>
      </c>
      <c r="E455" s="1" t="n">
        <v>46255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38887-2024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46255</v>
      </c>
      <c r="F456" t="inlineStr">
        <is>
          <t>VÄRMLANDS LÄN</t>
        </is>
      </c>
      <c r="G456" t="inlineStr">
        <is>
          <t>HAGFORS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45145</v>
      </c>
      <c r="E457" s="1" t="n">
        <v>46255</v>
      </c>
      <c r="F457" t="inlineStr">
        <is>
          <t>VÄRMLANDS LÄN</t>
        </is>
      </c>
      <c r="G457" t="inlineStr">
        <is>
          <t>HAGFORS</t>
        </is>
      </c>
      <c r="I457" t="n">
        <v>13.5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45526</v>
      </c>
      <c r="E458" s="1" t="n">
        <v>46255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57162-2024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45629</v>
      </c>
      <c r="E459" s="1" t="n">
        <v>46255</v>
      </c>
      <c r="F459" t="inlineStr">
        <is>
          <t>VÄRMLANDS LÄN</t>
        </is>
      </c>
      <c r="G459" t="inlineStr">
        <is>
          <t>HAGFORS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46255</v>
      </c>
      <c r="F460" t="inlineStr">
        <is>
          <t>VÄRMLANDS LÄN</t>
        </is>
      </c>
      <c r="G460" t="inlineStr">
        <is>
          <t>HAGFORS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46255</v>
      </c>
      <c r="F461" t="inlineStr">
        <is>
          <t>VÄRMLANDS LÄN</t>
        </is>
      </c>
      <c r="G461" t="inlineStr">
        <is>
          <t>HAGFORS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40692-2022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44824</v>
      </c>
      <c r="E462" s="1" t="n">
        <v>46255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46057</v>
      </c>
      <c r="E463" s="1" t="n">
        <v>46255</v>
      </c>
      <c r="F463" t="inlineStr">
        <is>
          <t>VÄRMLANDS LÄN</t>
        </is>
      </c>
      <c r="G463" t="inlineStr">
        <is>
          <t>HAGFORS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52083-2024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46255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45582</v>
      </c>
      <c r="E465" s="1" t="n">
        <v>46255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43998-2024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45572</v>
      </c>
      <c r="E466" s="1" t="n">
        <v>46255</v>
      </c>
      <c r="F466" t="inlineStr">
        <is>
          <t>VÄRMLANDS LÄN</t>
        </is>
      </c>
      <c r="G466" t="inlineStr">
        <is>
          <t>HAGFORS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59552-2024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46255</v>
      </c>
      <c r="F467" t="inlineStr">
        <is>
          <t>VÄRMLANDS LÄN</t>
        </is>
      </c>
      <c r="G467" t="inlineStr">
        <is>
          <t>HAGFORS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44603</v>
      </c>
      <c r="E468" s="1" t="n">
        <v>46255</v>
      </c>
      <c r="F468" t="inlineStr">
        <is>
          <t>VÄRMLANDS LÄN</t>
        </is>
      </c>
      <c r="G468" t="inlineStr">
        <is>
          <t>HAGFORS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44596</v>
      </c>
      <c r="E469" s="1" t="n">
        <v>46255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50929-2023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45211</v>
      </c>
      <c r="E470" s="1" t="n">
        <v>46255</v>
      </c>
      <c r="F470" t="inlineStr">
        <is>
          <t>VÄRMLANDS LÄN</t>
        </is>
      </c>
      <c r="G470" t="inlineStr">
        <is>
          <t>HAGFORS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45559</v>
      </c>
      <c r="E471" s="1" t="n">
        <v>46255</v>
      </c>
      <c r="F471" t="inlineStr">
        <is>
          <t>VÄRMLANDS LÄN</t>
        </is>
      </c>
      <c r="G471" t="inlineStr">
        <is>
          <t>HAGFORS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54744-2024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45618</v>
      </c>
      <c r="E472" s="1" t="n">
        <v>46255</v>
      </c>
      <c r="F472" t="inlineStr">
        <is>
          <t>VÄRMLANDS LÄN</t>
        </is>
      </c>
      <c r="G472" t="inlineStr">
        <is>
          <t>HAGFORS</t>
        </is>
      </c>
      <c r="H472" t="inlineStr">
        <is>
          <t>Kyrkan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22031-2023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45069</v>
      </c>
      <c r="E473" s="1" t="n">
        <v>46255</v>
      </c>
      <c r="F473" t="inlineStr">
        <is>
          <t>VÄRMLANDS LÄN</t>
        </is>
      </c>
      <c r="G473" t="inlineStr">
        <is>
          <t>HAGFORS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45644</v>
      </c>
      <c r="E474" s="1" t="n">
        <v>46255</v>
      </c>
      <c r="F474" t="inlineStr">
        <is>
          <t>VÄRMLANDS LÄN</t>
        </is>
      </c>
      <c r="G474" t="inlineStr">
        <is>
          <t>HAGFORS</t>
        </is>
      </c>
      <c r="H474" t="inlineStr">
        <is>
          <t>Kyrkan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45838</v>
      </c>
      <c r="E475" s="1" t="n">
        <v>46255</v>
      </c>
      <c r="F475" t="inlineStr">
        <is>
          <t>VÄRMLANDS LÄN</t>
        </is>
      </c>
      <c r="G475" t="inlineStr">
        <is>
          <t>HAGFORS</t>
        </is>
      </c>
      <c r="H475" t="inlineStr">
        <is>
          <t>Kyrkan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31657-2024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45506</v>
      </c>
      <c r="E476" s="1" t="n">
        <v>46255</v>
      </c>
      <c r="F476" t="inlineStr">
        <is>
          <t>VÄRMLANDS LÄN</t>
        </is>
      </c>
      <c r="G476" t="inlineStr">
        <is>
          <t>HAGFORS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45684</v>
      </c>
      <c r="E477" s="1" t="n">
        <v>46255</v>
      </c>
      <c r="F477" t="inlineStr">
        <is>
          <t>VÄRMLANDS LÄN</t>
        </is>
      </c>
      <c r="G477" t="inlineStr">
        <is>
          <t>HAGFORS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60991-2024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46255</v>
      </c>
      <c r="F478" t="inlineStr">
        <is>
          <t>VÄRMLANDS LÄN</t>
        </is>
      </c>
      <c r="G478" t="inlineStr">
        <is>
          <t>HAGFORS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15886-2022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44664</v>
      </c>
      <c r="E479" s="1" t="n">
        <v>46255</v>
      </c>
      <c r="F479" t="inlineStr">
        <is>
          <t>VÄRMLANDS LÄN</t>
        </is>
      </c>
      <c r="G479" t="inlineStr">
        <is>
          <t>HAGFORS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46255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45659</v>
      </c>
      <c r="E481" s="1" t="n">
        <v>46255</v>
      </c>
      <c r="F481" t="inlineStr">
        <is>
          <t>VÄRMLANDS LÄN</t>
        </is>
      </c>
      <c r="G481" t="inlineStr">
        <is>
          <t>HAGFORS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46255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45783</v>
      </c>
      <c r="E483" s="1" t="n">
        <v>46255</v>
      </c>
      <c r="F483" t="inlineStr">
        <is>
          <t>VÄRMLANDS LÄN</t>
        </is>
      </c>
      <c r="G483" t="inlineStr">
        <is>
          <t>HAGFORS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19993-2026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46136</v>
      </c>
      <c r="E484" s="1" t="n">
        <v>46255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8.4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45786</v>
      </c>
      <c r="E485" s="1" t="n">
        <v>46255</v>
      </c>
      <c r="F485" t="inlineStr">
        <is>
          <t>VÄRMLANDS LÄN</t>
        </is>
      </c>
      <c r="G485" t="inlineStr">
        <is>
          <t>HAGFORS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45055</v>
      </c>
      <c r="E486" s="1" t="n">
        <v>46255</v>
      </c>
      <c r="F486" t="inlineStr">
        <is>
          <t>VÄRMLANDS LÄN</t>
        </is>
      </c>
      <c r="G486" t="inlineStr">
        <is>
          <t>HAGFORS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46255</v>
      </c>
      <c r="F487" t="inlineStr">
        <is>
          <t>VÄRMLANDS LÄN</t>
        </is>
      </c>
      <c r="G487" t="inlineStr">
        <is>
          <t>HAGFORS</t>
        </is>
      </c>
      <c r="H487" t="inlineStr">
        <is>
          <t>Kyrkan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46255</v>
      </c>
      <c r="F488" t="inlineStr">
        <is>
          <t>VÄRMLANDS LÄN</t>
        </is>
      </c>
      <c r="G488" t="inlineStr">
        <is>
          <t>HAGFORS</t>
        </is>
      </c>
      <c r="I488" t="n">
        <v>18.2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45450</v>
      </c>
      <c r="E489" s="1" t="n">
        <v>46255</v>
      </c>
      <c r="F489" t="inlineStr">
        <is>
          <t>VÄRMLANDS LÄN</t>
        </is>
      </c>
      <c r="G489" t="inlineStr">
        <is>
          <t>HAGFORS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45232</v>
      </c>
      <c r="E490" s="1" t="n">
        <v>46255</v>
      </c>
      <c r="F490" t="inlineStr">
        <is>
          <t>VÄRMLANDS LÄN</t>
        </is>
      </c>
      <c r="G490" t="inlineStr">
        <is>
          <t>HAGFORS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45121</v>
      </c>
      <c r="E491" s="1" t="n">
        <v>46255</v>
      </c>
      <c r="F491" t="inlineStr">
        <is>
          <t>VÄRMLANDS LÄN</t>
        </is>
      </c>
      <c r="G491" t="inlineStr">
        <is>
          <t>HAGFORS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45716</v>
      </c>
      <c r="E492" s="1" t="n">
        <v>46255</v>
      </c>
      <c r="F492" t="inlineStr">
        <is>
          <t>VÄRMLANDS LÄN</t>
        </is>
      </c>
      <c r="G492" t="inlineStr">
        <is>
          <t>HAGFORS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45226</v>
      </c>
      <c r="E493" s="1" t="n">
        <v>46255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13094-2024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45385</v>
      </c>
      <c r="E494" s="1" t="n">
        <v>46255</v>
      </c>
      <c r="F494" t="inlineStr">
        <is>
          <t>VÄRMLANDS LÄN</t>
        </is>
      </c>
      <c r="G494" t="inlineStr">
        <is>
          <t>HAGFORS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45847</v>
      </c>
      <c r="E495" s="1" t="n">
        <v>46255</v>
      </c>
      <c r="F495" t="inlineStr">
        <is>
          <t>VÄRMLANDS LÄN</t>
        </is>
      </c>
      <c r="G495" t="inlineStr">
        <is>
          <t>HAGFORS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8496-2022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44613</v>
      </c>
      <c r="E496" s="1" t="n">
        <v>46255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63868-2025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46020</v>
      </c>
      <c r="E497" s="1" t="n">
        <v>46255</v>
      </c>
      <c r="F497" t="inlineStr">
        <is>
          <t>VÄRMLANDS LÄN</t>
        </is>
      </c>
      <c r="G497" t="inlineStr">
        <is>
          <t>HAGFORS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45679</v>
      </c>
      <c r="E498" s="1" t="n">
        <v>46255</v>
      </c>
      <c r="F498" t="inlineStr">
        <is>
          <t>VÄRMLANDS LÄN</t>
        </is>
      </c>
      <c r="G498" t="inlineStr">
        <is>
          <t>HAGFORS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29492-2024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45484</v>
      </c>
      <c r="E499" s="1" t="n">
        <v>46255</v>
      </c>
      <c r="F499" t="inlineStr">
        <is>
          <t>VÄRMLANDS LÄN</t>
        </is>
      </c>
      <c r="G499" t="inlineStr">
        <is>
          <t>HAGFORS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45692</v>
      </c>
      <c r="E500" s="1" t="n">
        <v>46255</v>
      </c>
      <c r="F500" t="inlineStr">
        <is>
          <t>VÄRMLANDS LÄN</t>
        </is>
      </c>
      <c r="G500" t="inlineStr">
        <is>
          <t>HAGFORS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20260-2026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46139</v>
      </c>
      <c r="E501" s="1" t="n">
        <v>46255</v>
      </c>
      <c r="F501" t="inlineStr">
        <is>
          <t>VÄRMLANDS LÄN</t>
        </is>
      </c>
      <c r="G501" t="inlineStr">
        <is>
          <t>HAGFORS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32690-2025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46255</v>
      </c>
      <c r="F502" t="inlineStr">
        <is>
          <t>VÄRMLANDS LÄN</t>
        </is>
      </c>
      <c r="G502" t="inlineStr">
        <is>
          <t>HAGFORS</t>
        </is>
      </c>
      <c r="H502" t="inlineStr">
        <is>
          <t>Kyrkan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45791</v>
      </c>
      <c r="E503" s="1" t="n">
        <v>46255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45873</v>
      </c>
      <c r="E504" s="1" t="n">
        <v>46255</v>
      </c>
      <c r="F504" t="inlineStr">
        <is>
          <t>VÄRMLANDS LÄN</t>
        </is>
      </c>
      <c r="G504" t="inlineStr">
        <is>
          <t>HAGFORS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44638</v>
      </c>
      <c r="E505" s="1" t="n">
        <v>46255</v>
      </c>
      <c r="F505" t="inlineStr">
        <is>
          <t>VÄRMLANDS LÄN</t>
        </is>
      </c>
      <c r="G505" t="inlineStr">
        <is>
          <t>HAGFORS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20564-2026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46255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20594-2026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46255</v>
      </c>
      <c r="F507" t="inlineStr">
        <is>
          <t>VÄRMLANDS LÄN</t>
        </is>
      </c>
      <c r="G507" t="inlineStr">
        <is>
          <t>HAGFORS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36030-2023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45149</v>
      </c>
      <c r="E508" s="1" t="n">
        <v>46255</v>
      </c>
      <c r="F508" t="inlineStr">
        <is>
          <t>VÄRMLANDS LÄN</t>
        </is>
      </c>
      <c r="G508" t="inlineStr">
        <is>
          <t>HAGFORS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45796</v>
      </c>
      <c r="E509" s="1" t="n">
        <v>46255</v>
      </c>
      <c r="F509" t="inlineStr">
        <is>
          <t>VÄRMLANDS LÄN</t>
        </is>
      </c>
      <c r="G509" t="inlineStr">
        <is>
          <t>HAGFORS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45703</v>
      </c>
      <c r="E510" s="1" t="n">
        <v>46255</v>
      </c>
      <c r="F510" t="inlineStr">
        <is>
          <t>VÄRMLANDS LÄN</t>
        </is>
      </c>
      <c r="G510" t="inlineStr">
        <is>
          <t>HAGFORS</t>
        </is>
      </c>
      <c r="H510" t="inlineStr">
        <is>
          <t>Kyrkan</t>
        </is>
      </c>
      <c r="I510" t="n">
        <v>15.9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35886-2023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45148</v>
      </c>
      <c r="E511" s="1" t="n">
        <v>46255</v>
      </c>
      <c r="F511" t="inlineStr">
        <is>
          <t>VÄRMLANDS LÄN</t>
        </is>
      </c>
      <c r="G511" t="inlineStr">
        <is>
          <t>HAGFORS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46255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46255</v>
      </c>
      <c r="F513" t="inlineStr">
        <is>
          <t>VÄRMLANDS LÄN</t>
        </is>
      </c>
      <c r="G513" t="inlineStr">
        <is>
          <t>HAGFORS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44687</v>
      </c>
      <c r="E514" s="1" t="n">
        <v>46255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20.2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45469</v>
      </c>
      <c r="E515" s="1" t="n">
        <v>46255</v>
      </c>
      <c r="F515" t="inlineStr">
        <is>
          <t>VÄRMLANDS LÄN</t>
        </is>
      </c>
      <c r="G515" t="inlineStr">
        <is>
          <t>HAGFORS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26628-2024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45469</v>
      </c>
      <c r="E516" s="1" t="n">
        <v>46255</v>
      </c>
      <c r="F516" t="inlineStr">
        <is>
          <t>VÄRMLANDS LÄN</t>
        </is>
      </c>
      <c r="G516" t="inlineStr">
        <is>
          <t>HAGFORS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46255</v>
      </c>
      <c r="F517" t="inlineStr">
        <is>
          <t>VÄRMLANDS LÄN</t>
        </is>
      </c>
      <c r="G517" t="inlineStr">
        <is>
          <t>HAGFORS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45733</v>
      </c>
      <c r="E518" s="1" t="n">
        <v>46255</v>
      </c>
      <c r="F518" t="inlineStr">
        <is>
          <t>VÄRMLANDS LÄN</t>
        </is>
      </c>
      <c r="G518" t="inlineStr">
        <is>
          <t>HAGFORS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34281-2025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45846</v>
      </c>
      <c r="E519" s="1" t="n">
        <v>46255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45684</v>
      </c>
      <c r="E520" s="1" t="n">
        <v>46255</v>
      </c>
      <c r="F520" t="inlineStr">
        <is>
          <t>VÄRMLANDS LÄN</t>
        </is>
      </c>
      <c r="G520" t="inlineStr">
        <is>
          <t>HAGFORS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20756-2026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46255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8.300000000000001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46255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61265-2022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44915</v>
      </c>
      <c r="E523" s="1" t="n">
        <v>46255</v>
      </c>
      <c r="F523" t="inlineStr">
        <is>
          <t>VÄRMLANDS LÄN</t>
        </is>
      </c>
      <c r="G523" t="inlineStr">
        <is>
          <t>HAGFORS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68252-2021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44526</v>
      </c>
      <c r="E524" s="1" t="n">
        <v>46255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20752-2026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46141</v>
      </c>
      <c r="E525" s="1" t="n">
        <v>46255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20729-2026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46255</v>
      </c>
      <c r="F526" t="inlineStr">
        <is>
          <t>VÄRMLANDS LÄN</t>
        </is>
      </c>
      <c r="G526" t="inlineStr">
        <is>
          <t>HAGFORS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20880-2026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46142</v>
      </c>
      <c r="E527" s="1" t="n">
        <v>46255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46255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40835-2023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45172</v>
      </c>
      <c r="E529" s="1" t="n">
        <v>46255</v>
      </c>
      <c r="F529" t="inlineStr">
        <is>
          <t>VÄRMLANDS LÄN</t>
        </is>
      </c>
      <c r="G529" t="inlineStr">
        <is>
          <t>HAGFORS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52224-2023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45224</v>
      </c>
      <c r="E530" s="1" t="n">
        <v>46255</v>
      </c>
      <c r="F530" t="inlineStr">
        <is>
          <t>VÄRMLANDS LÄN</t>
        </is>
      </c>
      <c r="G530" t="inlineStr">
        <is>
          <t>HAGFORS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19391-2025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45769</v>
      </c>
      <c r="E531" s="1" t="n">
        <v>46255</v>
      </c>
      <c r="F531" t="inlineStr">
        <is>
          <t>VÄRMLANDS LÄN</t>
        </is>
      </c>
      <c r="G531" t="inlineStr">
        <is>
          <t>HAGFORS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46255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9474-2025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46255</v>
      </c>
      <c r="F533" t="inlineStr">
        <is>
          <t>VÄRMLANDS LÄN</t>
        </is>
      </c>
      <c r="G533" t="inlineStr">
        <is>
          <t>HAGFORS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45764</v>
      </c>
      <c r="E534" s="1" t="n">
        <v>46255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46142</v>
      </c>
      <c r="E535" s="1" t="n">
        <v>46255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46142</v>
      </c>
      <c r="E536" s="1" t="n">
        <v>46255</v>
      </c>
      <c r="F536" t="inlineStr">
        <is>
          <t>VÄRMLANDS LÄN</t>
        </is>
      </c>
      <c r="G536" t="inlineStr">
        <is>
          <t>HAGFORS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20706-2026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46141</v>
      </c>
      <c r="E537" s="1" t="n">
        <v>46255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45110</v>
      </c>
      <c r="E538" s="1" t="n">
        <v>46255</v>
      </c>
      <c r="F538" t="inlineStr">
        <is>
          <t>VÄRMLANDS LÄN</t>
        </is>
      </c>
      <c r="G538" t="inlineStr">
        <is>
          <t>HAGFORS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46146</v>
      </c>
      <c r="E539" s="1" t="n">
        <v>46255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61232-2024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45645</v>
      </c>
      <c r="E540" s="1" t="n">
        <v>46255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64155-2023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45279</v>
      </c>
      <c r="E541" s="1" t="n">
        <v>46255</v>
      </c>
      <c r="F541" t="inlineStr">
        <is>
          <t>VÄRMLANDS LÄN</t>
        </is>
      </c>
      <c r="G541" t="inlineStr">
        <is>
          <t>HAGFORS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46150</v>
      </c>
      <c r="E542" s="1" t="n">
        <v>46255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46150</v>
      </c>
      <c r="E543" s="1" t="n">
        <v>46255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46149</v>
      </c>
      <c r="E544" s="1" t="n">
        <v>46255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21762-2026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46150</v>
      </c>
      <c r="E545" s="1" t="n">
        <v>46255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45741</v>
      </c>
      <c r="E546" s="1" t="n">
        <v>46255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8129-2024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45351</v>
      </c>
      <c r="E547" s="1" t="n">
        <v>46255</v>
      </c>
      <c r="F547" t="inlineStr">
        <is>
          <t>VÄRMLANDS LÄN</t>
        </is>
      </c>
      <c r="G547" t="inlineStr">
        <is>
          <t>HAGFORS</t>
        </is>
      </c>
      <c r="H547" t="inlineStr">
        <is>
          <t>Kyrkan</t>
        </is>
      </c>
      <c r="I547" t="n">
        <v>10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58437-2023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46255</v>
      </c>
      <c r="F548" t="inlineStr">
        <is>
          <t>VÄRMLANDS LÄN</t>
        </is>
      </c>
      <c r="G548" t="inlineStr">
        <is>
          <t>HAGFORS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45723</v>
      </c>
      <c r="E549" s="1" t="n">
        <v>46255</v>
      </c>
      <c r="F549" t="inlineStr">
        <is>
          <t>VÄRMLANDS LÄN</t>
        </is>
      </c>
      <c r="G549" t="inlineStr">
        <is>
          <t>HAGFORS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45725</v>
      </c>
      <c r="E550" s="1" t="n">
        <v>46255</v>
      </c>
      <c r="F550" t="inlineStr">
        <is>
          <t>VÄRMLANDS LÄN</t>
        </is>
      </c>
      <c r="G550" t="inlineStr">
        <is>
          <t>HAGFORS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46255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30710-2022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44763</v>
      </c>
      <c r="E552" s="1" t="n">
        <v>46255</v>
      </c>
      <c r="F552" t="inlineStr">
        <is>
          <t>VÄRMLANDS LÄN</t>
        </is>
      </c>
      <c r="G552" t="inlineStr">
        <is>
          <t>HAGFORS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46255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46255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45310</v>
      </c>
      <c r="E555" s="1" t="n">
        <v>46255</v>
      </c>
      <c r="F555" t="inlineStr">
        <is>
          <t>VÄRMLANDS LÄN</t>
        </is>
      </c>
      <c r="G555" t="inlineStr">
        <is>
          <t>HAGFORS</t>
        </is>
      </c>
      <c r="H555" t="inlineStr">
        <is>
          <t>Kyrkan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46255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6.7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22648-2026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46155</v>
      </c>
      <c r="E557" s="1" t="n">
        <v>46255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46155</v>
      </c>
      <c r="E558" s="1" t="n">
        <v>46255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46255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49585-2023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45211</v>
      </c>
      <c r="E560" s="1" t="n">
        <v>46255</v>
      </c>
      <c r="F560" t="inlineStr">
        <is>
          <t>VÄRMLANDS LÄN</t>
        </is>
      </c>
      <c r="G560" t="inlineStr">
        <is>
          <t>HAGFORS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25349-2023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45087</v>
      </c>
      <c r="E561" s="1" t="n">
        <v>46255</v>
      </c>
      <c r="F561" t="inlineStr">
        <is>
          <t>VÄRMLANDS LÄN</t>
        </is>
      </c>
      <c r="G561" t="inlineStr">
        <is>
          <t>HAGFORS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61304-2023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46255</v>
      </c>
      <c r="F562" t="inlineStr">
        <is>
          <t>VÄRMLANDS LÄN</t>
        </is>
      </c>
      <c r="G562" t="inlineStr">
        <is>
          <t>HAGFORS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5482-2022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44595</v>
      </c>
      <c r="E563" s="1" t="n">
        <v>46255</v>
      </c>
      <c r="F563" t="inlineStr">
        <is>
          <t>VÄRMLANDS LÄN</t>
        </is>
      </c>
      <c r="G563" t="inlineStr">
        <is>
          <t>HAGFORS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22911-2026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46160</v>
      </c>
      <c r="E564" s="1" t="n">
        <v>46255</v>
      </c>
      <c r="F564" t="inlineStr">
        <is>
          <t>VÄRMLANDS LÄN</t>
        </is>
      </c>
      <c r="G564" t="inlineStr">
        <is>
          <t>HAGFORS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22925-2026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46255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30327-2022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44760</v>
      </c>
      <c r="E566" s="1" t="n">
        <v>46255</v>
      </c>
      <c r="F566" t="inlineStr">
        <is>
          <t>VÄRMLANDS LÄN</t>
        </is>
      </c>
      <c r="G566" t="inlineStr">
        <is>
          <t>HAGFORS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23129-2026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46255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8.699999999999999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23016-2026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46161</v>
      </c>
      <c r="E568" s="1" t="n">
        <v>46255</v>
      </c>
      <c r="F568" t="inlineStr">
        <is>
          <t>VÄRMLANDS LÄN</t>
        </is>
      </c>
      <c r="G568" t="inlineStr">
        <is>
          <t>HAGFORS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54929-2024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46255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49753-2023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45212</v>
      </c>
      <c r="E570" s="1" t="n">
        <v>46255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46255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8.800000000000001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31660-2022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44776</v>
      </c>
      <c r="E572" s="1" t="n">
        <v>46255</v>
      </c>
      <c r="F572" t="inlineStr">
        <is>
          <t>VÄRMLANDS LÄN</t>
        </is>
      </c>
      <c r="G572" t="inlineStr">
        <is>
          <t>HAGFORS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23269-2026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46162</v>
      </c>
      <c r="E573" s="1" t="n">
        <v>46255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23525-2026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46255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46255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23728-2026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46164</v>
      </c>
      <c r="E576" s="1" t="n">
        <v>46255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56466-2024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45625</v>
      </c>
      <c r="E577" s="1" t="n">
        <v>46255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31087-2024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45502</v>
      </c>
      <c r="E578" s="1" t="n">
        <v>46255</v>
      </c>
      <c r="F578" t="inlineStr">
        <is>
          <t>VÄRMLANDS LÄN</t>
        </is>
      </c>
      <c r="G578" t="inlineStr">
        <is>
          <t>HAGFORS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45673</v>
      </c>
      <c r="E579" s="1" t="n">
        <v>46255</v>
      </c>
      <c r="F579" t="inlineStr">
        <is>
          <t>VÄRMLANDS LÄN</t>
        </is>
      </c>
      <c r="G579" t="inlineStr">
        <is>
          <t>HAGFORS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46255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8.300000000000001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28087-2024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46255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51015-2025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45947</v>
      </c>
      <c r="E582" s="1" t="n">
        <v>46255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8.9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36494-2025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45869</v>
      </c>
      <c r="E583" s="1" t="n">
        <v>46255</v>
      </c>
      <c r="F583" t="inlineStr">
        <is>
          <t>VÄRMLANDS LÄN</t>
        </is>
      </c>
      <c r="G583" t="inlineStr">
        <is>
          <t>HAGFORS</t>
        </is>
      </c>
      <c r="H583" t="inlineStr">
        <is>
          <t>Kyrkan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36206-2024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45534</v>
      </c>
      <c r="E584" s="1" t="n">
        <v>46255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45831</v>
      </c>
      <c r="E585" s="1" t="n">
        <v>46255</v>
      </c>
      <c r="F585" t="inlineStr">
        <is>
          <t>VÄRMLANDS LÄN</t>
        </is>
      </c>
      <c r="G585" t="inlineStr">
        <is>
          <t>HAGFORS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31812-2024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45509</v>
      </c>
      <c r="E586" s="1" t="n">
        <v>46255</v>
      </c>
      <c r="F586" t="inlineStr">
        <is>
          <t>VÄRMLANDS LÄN</t>
        </is>
      </c>
      <c r="G586" t="inlineStr">
        <is>
          <t>HAGFORS</t>
        </is>
      </c>
      <c r="H586" t="inlineStr">
        <is>
          <t>Kommuner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46255</v>
      </c>
      <c r="F587" t="inlineStr">
        <is>
          <t>VÄRMLANDS LÄN</t>
        </is>
      </c>
      <c r="G587" t="inlineStr">
        <is>
          <t>HAGFORS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42150-2024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46255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60178-2023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45258</v>
      </c>
      <c r="E589" s="1" t="n">
        <v>46255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24240-2026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46255</v>
      </c>
      <c r="F590" t="inlineStr">
        <is>
          <t>VÄRMLANDS LÄN</t>
        </is>
      </c>
      <c r="G590" t="inlineStr">
        <is>
          <t>HAGFORS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46168</v>
      </c>
      <c r="E591" s="1" t="n">
        <v>46255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45400</v>
      </c>
      <c r="E592" s="1" t="n">
        <v>46255</v>
      </c>
      <c r="F592" t="inlineStr">
        <is>
          <t>VÄRMLANDS LÄN</t>
        </is>
      </c>
      <c r="G592" t="inlineStr">
        <is>
          <t>HAGFORS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24625-2026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46171</v>
      </c>
      <c r="E593" s="1" t="n">
        <v>46255</v>
      </c>
      <c r="F593" t="inlineStr">
        <is>
          <t>VÄRMLANDS LÄN</t>
        </is>
      </c>
      <c r="G593" t="inlineStr">
        <is>
          <t>HAGFORS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24699-2026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46171</v>
      </c>
      <c r="E594" s="1" t="n">
        <v>46255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14850-2025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45743</v>
      </c>
      <c r="E595" s="1" t="n">
        <v>46255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8304-2022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44610</v>
      </c>
      <c r="E596" s="1" t="n">
        <v>46255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46213</v>
      </c>
      <c r="E597" s="1" t="n">
        <v>46255</v>
      </c>
      <c r="F597" t="inlineStr">
        <is>
          <t>VÄRMLANDS LÄN</t>
        </is>
      </c>
      <c r="G597" t="inlineStr">
        <is>
          <t>HAGFORS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55447-2022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44887</v>
      </c>
      <c r="E598" s="1" t="n">
        <v>46255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46171</v>
      </c>
      <c r="E599" s="1" t="n">
        <v>46255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46255</v>
      </c>
      <c r="F600" t="inlineStr">
        <is>
          <t>VÄRMLANDS LÄN</t>
        </is>
      </c>
      <c r="G600" t="inlineStr">
        <is>
          <t>HAGFORS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24761-2026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46171</v>
      </c>
      <c r="E601" s="1" t="n">
        <v>46255</v>
      </c>
      <c r="F601" t="inlineStr">
        <is>
          <t>VÄRMLANDS LÄN</t>
        </is>
      </c>
      <c r="G601" t="inlineStr">
        <is>
          <t>HAGFORS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44953</v>
      </c>
      <c r="E602" s="1" t="n">
        <v>46255</v>
      </c>
      <c r="F602" t="inlineStr">
        <is>
          <t>VÄRMLANDS LÄN</t>
        </is>
      </c>
      <c r="G602" t="inlineStr">
        <is>
          <t>HAGFORS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44951</v>
      </c>
      <c r="E603" s="1" t="n">
        <v>46255</v>
      </c>
      <c r="F603" t="inlineStr">
        <is>
          <t>VÄRMLANDS LÄN</t>
        </is>
      </c>
      <c r="G603" t="inlineStr">
        <is>
          <t>HAGFORS</t>
        </is>
      </c>
      <c r="H603" t="inlineStr">
        <is>
          <t>Kommuner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24628-2026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46171</v>
      </c>
      <c r="E604" s="1" t="n">
        <v>46255</v>
      </c>
      <c r="F604" t="inlineStr">
        <is>
          <t>VÄRMLANDS LÄN</t>
        </is>
      </c>
      <c r="G604" t="inlineStr">
        <is>
          <t>HAGFORS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24626-2026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46171</v>
      </c>
      <c r="E605" s="1" t="n">
        <v>46255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24677-2026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46171</v>
      </c>
      <c r="E606" s="1" t="n">
        <v>46255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13850-2022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44649</v>
      </c>
      <c r="E607" s="1" t="n">
        <v>46255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61902-2021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44502</v>
      </c>
      <c r="E608" s="1" t="n">
        <v>46255</v>
      </c>
      <c r="F608" t="inlineStr">
        <is>
          <t>VÄRMLANDS LÄN</t>
        </is>
      </c>
      <c r="G608" t="inlineStr">
        <is>
          <t>HAGFORS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58307-2023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45250</v>
      </c>
      <c r="E609" s="1" t="n">
        <v>46255</v>
      </c>
      <c r="F609" t="inlineStr">
        <is>
          <t>VÄRMLANDS LÄN</t>
        </is>
      </c>
      <c r="G609" t="inlineStr">
        <is>
          <t>HAGFORS</t>
        </is>
      </c>
      <c r="H609" t="inlineStr">
        <is>
          <t>Kommuner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11104-2022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44628</v>
      </c>
      <c r="E610" s="1" t="n">
        <v>46255</v>
      </c>
      <c r="F610" t="inlineStr">
        <is>
          <t>VÄRMLANDS LÄN</t>
        </is>
      </c>
      <c r="G610" t="inlineStr">
        <is>
          <t>HAGFORS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39396-2023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45166</v>
      </c>
      <c r="E611" s="1" t="n">
        <v>46255</v>
      </c>
      <c r="F611" t="inlineStr">
        <is>
          <t>VÄRMLANDS LÄN</t>
        </is>
      </c>
      <c r="G611" t="inlineStr">
        <is>
          <t>HAGFORS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24862-2026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46255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25589-2026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46177</v>
      </c>
      <c r="E613" s="1" t="n">
        <v>46255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25560-2026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46255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60664-2023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45259</v>
      </c>
      <c r="E615" s="1" t="n">
        <v>46255</v>
      </c>
      <c r="F615" t="inlineStr">
        <is>
          <t>VÄRMLANDS LÄN</t>
        </is>
      </c>
      <c r="G615" t="inlineStr">
        <is>
          <t>HAGFORS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25276-2026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46255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46255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8820-2024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45356</v>
      </c>
      <c r="E618" s="1" t="n">
        <v>46255</v>
      </c>
      <c r="F618" t="inlineStr">
        <is>
          <t>VÄRMLANDS LÄN</t>
        </is>
      </c>
      <c r="G618" t="inlineStr">
        <is>
          <t>HAGFORS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26019-2026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46181</v>
      </c>
      <c r="E619" s="1" t="n">
        <v>46255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44566</v>
      </c>
      <c r="E620" s="1" t="n">
        <v>46255</v>
      </c>
      <c r="F620" t="inlineStr">
        <is>
          <t>VÄRMLANDS LÄN</t>
        </is>
      </c>
      <c r="G620" t="inlineStr">
        <is>
          <t>HAGFORS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46255</v>
      </c>
      <c r="F621" t="inlineStr">
        <is>
          <t>VÄRMLANDS LÄN</t>
        </is>
      </c>
      <c r="G621" t="inlineStr">
        <is>
          <t>HAGFORS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59048-2022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44903</v>
      </c>
      <c r="E622" s="1" t="n">
        <v>46255</v>
      </c>
      <c r="F622" t="inlineStr">
        <is>
          <t>VÄRMLANDS LÄN</t>
        </is>
      </c>
      <c r="G622" t="inlineStr">
        <is>
          <t>HAGFORS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29372-2023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45106</v>
      </c>
      <c r="E623" s="1" t="n">
        <v>46255</v>
      </c>
      <c r="F623" t="inlineStr">
        <is>
          <t>VÄRMLANDS LÄN</t>
        </is>
      </c>
      <c r="G623" t="inlineStr">
        <is>
          <t>HAGFORS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60221-2023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45258</v>
      </c>
      <c r="E624" s="1" t="n">
        <v>46255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34541-2024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45525</v>
      </c>
      <c r="E625" s="1" t="n">
        <v>46255</v>
      </c>
      <c r="F625" t="inlineStr">
        <is>
          <t>VÄRMLANDS LÄN</t>
        </is>
      </c>
      <c r="G625" t="inlineStr">
        <is>
          <t>HAGFORS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35668-2023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46255</v>
      </c>
      <c r="F626" t="inlineStr">
        <is>
          <t>VÄRMLANDS LÄN</t>
        </is>
      </c>
      <c r="G626" t="inlineStr">
        <is>
          <t>HAGFORS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46255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46190-2024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45581</v>
      </c>
      <c r="E628" s="1" t="n">
        <v>46255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31671-2026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46225</v>
      </c>
      <c r="E629" s="1" t="n">
        <v>46255</v>
      </c>
      <c r="F629" t="inlineStr">
        <is>
          <t>VÄRMLANDS LÄN</t>
        </is>
      </c>
      <c r="G629" t="inlineStr">
        <is>
          <t>HAGFORS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31691-2026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46226</v>
      </c>
      <c r="E630" s="1" t="n">
        <v>46255</v>
      </c>
      <c r="F630" t="inlineStr">
        <is>
          <t>VÄRMLANDS LÄN</t>
        </is>
      </c>
      <c r="G630" t="inlineStr">
        <is>
          <t>HAGFORS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2971-2025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45678</v>
      </c>
      <c r="E631" s="1" t="n">
        <v>46255</v>
      </c>
      <c r="F631" t="inlineStr">
        <is>
          <t>VÄRMLANDS LÄN</t>
        </is>
      </c>
      <c r="G631" t="inlineStr">
        <is>
          <t>HAGFORS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46255</v>
      </c>
      <c r="F632" t="inlineStr">
        <is>
          <t>VÄRMLANDS LÄN</t>
        </is>
      </c>
      <c r="G632" t="inlineStr">
        <is>
          <t>HAGFORS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46255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33.4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45470</v>
      </c>
      <c r="E634" s="1" t="n">
        <v>46255</v>
      </c>
      <c r="F634" t="inlineStr">
        <is>
          <t>VÄRMLANDS LÄN</t>
        </is>
      </c>
      <c r="G634" t="inlineStr">
        <is>
          <t>HAGFORS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46255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31690-2026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46226</v>
      </c>
      <c r="E636" s="1" t="n">
        <v>46255</v>
      </c>
      <c r="F636" t="inlineStr">
        <is>
          <t>VÄRMLANDS LÄN</t>
        </is>
      </c>
      <c r="G636" t="inlineStr">
        <is>
          <t>HAGFORS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26342-2026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46182</v>
      </c>
      <c r="E637" s="1" t="n">
        <v>46255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36.8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46225</v>
      </c>
      <c r="E638" s="1" t="n">
        <v>46255</v>
      </c>
      <c r="F638" t="inlineStr">
        <is>
          <t>VÄRMLANDS LÄN</t>
        </is>
      </c>
      <c r="G638" t="inlineStr">
        <is>
          <t>HAGFORS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45726</v>
      </c>
      <c r="E639" s="1" t="n">
        <v>46255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46208-2023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45196</v>
      </c>
      <c r="E640" s="1" t="n">
        <v>46255</v>
      </c>
      <c r="F640" t="inlineStr">
        <is>
          <t>VÄRMLANDS LÄN</t>
        </is>
      </c>
      <c r="G640" t="inlineStr">
        <is>
          <t>HAGFORS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46255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46255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26740-2026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46184</v>
      </c>
      <c r="E643" s="1" t="n">
        <v>46255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9.5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46255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18.2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46255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29373-2023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45106</v>
      </c>
      <c r="E646" s="1" t="n">
        <v>46255</v>
      </c>
      <c r="F646" t="inlineStr">
        <is>
          <t>VÄRMLANDS LÄN</t>
        </is>
      </c>
      <c r="G646" t="inlineStr">
        <is>
          <t>HAGFORS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26660-2026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46184</v>
      </c>
      <c r="E647" s="1" t="n">
        <v>46255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4279-2024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45324</v>
      </c>
      <c r="E648" s="1" t="n">
        <v>46255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46255</v>
      </c>
      <c r="F649" t="inlineStr">
        <is>
          <t>VÄRMLANDS LÄN</t>
        </is>
      </c>
      <c r="G649" t="inlineStr">
        <is>
          <t>HAGFORS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52378-2021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44465</v>
      </c>
      <c r="E650" s="1" t="n">
        <v>46255</v>
      </c>
      <c r="F650" t="inlineStr">
        <is>
          <t>VÄRMLANDS LÄN</t>
        </is>
      </c>
      <c r="G650" t="inlineStr">
        <is>
          <t>HAGFORS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27306-2026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46255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27210-2026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46255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27268-2026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46188</v>
      </c>
      <c r="E653" s="1" t="n">
        <v>46255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27394-2026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46255</v>
      </c>
      <c r="F654" t="inlineStr">
        <is>
          <t>VÄRMLANDS LÄN</t>
        </is>
      </c>
      <c r="G654" t="inlineStr">
        <is>
          <t>HAGFORS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3426-2023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44949</v>
      </c>
      <c r="E655" s="1" t="n">
        <v>46255</v>
      </c>
      <c r="F655" t="inlineStr">
        <is>
          <t>VÄRMLANDS LÄN</t>
        </is>
      </c>
      <c r="G655" t="inlineStr">
        <is>
          <t>HAGFORS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42223-2022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44830</v>
      </c>
      <c r="E656" s="1" t="n">
        <v>46255</v>
      </c>
      <c r="F656" t="inlineStr">
        <is>
          <t>VÄRMLANDS LÄN</t>
        </is>
      </c>
      <c r="G656" t="inlineStr">
        <is>
          <t>HAGFORS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17584-2023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45036</v>
      </c>
      <c r="E657" s="1" t="n">
        <v>46255</v>
      </c>
      <c r="F657" t="inlineStr">
        <is>
          <t>VÄRMLANDS LÄN</t>
        </is>
      </c>
      <c r="G657" t="inlineStr">
        <is>
          <t>HAGFORS</t>
        </is>
      </c>
      <c r="H657" t="inlineStr">
        <is>
          <t>Kommuner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46188</v>
      </c>
      <c r="E658" s="1" t="n">
        <v>46255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46189</v>
      </c>
      <c r="E659" s="1" t="n">
        <v>46255</v>
      </c>
      <c r="F659" t="inlineStr">
        <is>
          <t>VÄRMLANDS LÄN</t>
        </is>
      </c>
      <c r="G659" t="inlineStr">
        <is>
          <t>HAGFORS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46191</v>
      </c>
      <c r="E660" s="1" t="n">
        <v>46255</v>
      </c>
      <c r="F660" t="inlineStr">
        <is>
          <t>VÄRMLANDS LÄN</t>
        </is>
      </c>
      <c r="G660" t="inlineStr">
        <is>
          <t>HAGFORS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27799-2026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46191</v>
      </c>
      <c r="E661" s="1" t="n">
        <v>46255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46255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32696-2023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45112</v>
      </c>
      <c r="E663" s="1" t="n">
        <v>46255</v>
      </c>
      <c r="F663" t="inlineStr">
        <is>
          <t>VÄRMLANDS LÄN</t>
        </is>
      </c>
      <c r="G663" t="inlineStr">
        <is>
          <t>HAGFORS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46255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58799-2022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44903</v>
      </c>
      <c r="E665" s="1" t="n">
        <v>46255</v>
      </c>
      <c r="F665" t="inlineStr">
        <is>
          <t>VÄRMLANDS LÄN</t>
        </is>
      </c>
      <c r="G665" t="inlineStr">
        <is>
          <t>HAGFORS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59092-2022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44904</v>
      </c>
      <c r="E666" s="1" t="n">
        <v>46255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20466-2023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45057</v>
      </c>
      <c r="E667" s="1" t="n">
        <v>46255</v>
      </c>
      <c r="F667" t="inlineStr">
        <is>
          <t>VÄRMLANDS LÄN</t>
        </is>
      </c>
      <c r="G667" t="inlineStr">
        <is>
          <t>HAGFORS</t>
        </is>
      </c>
      <c r="H667" t="inlineStr">
        <is>
          <t>Kyrkan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32031-2024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45510</v>
      </c>
      <c r="E668" s="1" t="n">
        <v>46255</v>
      </c>
      <c r="F668" t="inlineStr">
        <is>
          <t>VÄRMLANDS LÄN</t>
        </is>
      </c>
      <c r="G668" t="inlineStr">
        <is>
          <t>HAGFORS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53192-2022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44876</v>
      </c>
      <c r="E669" s="1" t="n">
        <v>46255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45673</v>
      </c>
      <c r="E670" s="1" t="n">
        <v>46255</v>
      </c>
      <c r="F670" t="inlineStr">
        <is>
          <t>VÄRMLANDS LÄN</t>
        </is>
      </c>
      <c r="G670" t="inlineStr">
        <is>
          <t>HAGFORS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18014-2024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45419</v>
      </c>
      <c r="E671" s="1" t="n">
        <v>46255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28185-2026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46255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9.6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1931-2024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45308</v>
      </c>
      <c r="E673" s="1" t="n">
        <v>46255</v>
      </c>
      <c r="F673" t="inlineStr">
        <is>
          <t>VÄRMLANDS LÄN</t>
        </is>
      </c>
      <c r="G673" t="inlineStr">
        <is>
          <t>HAGFORS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36013-2023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45149</v>
      </c>
      <c r="E674" s="1" t="n">
        <v>46255</v>
      </c>
      <c r="F674" t="inlineStr">
        <is>
          <t>VÄRMLANDS LÄN</t>
        </is>
      </c>
      <c r="G674" t="inlineStr">
        <is>
          <t>HAGFORS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56895-2023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45244</v>
      </c>
      <c r="E675" s="1" t="n">
        <v>46255</v>
      </c>
      <c r="F675" t="inlineStr">
        <is>
          <t>VÄRMLANDS LÄN</t>
        </is>
      </c>
      <c r="G675" t="inlineStr">
        <is>
          <t>HAGFORS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35664-2023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45147</v>
      </c>
      <c r="E676" s="1" t="n">
        <v>46255</v>
      </c>
      <c r="F676" t="inlineStr">
        <is>
          <t>VÄRMLANDS LÄN</t>
        </is>
      </c>
      <c r="G676" t="inlineStr">
        <is>
          <t>HAGFORS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32535-2026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46239</v>
      </c>
      <c r="E677" s="1" t="n">
        <v>46255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32490-2026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46239</v>
      </c>
      <c r="E678" s="1" t="n">
        <v>46255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32507-2026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46239</v>
      </c>
      <c r="E679" s="1" t="n">
        <v>46255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32483-2026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46239</v>
      </c>
      <c r="E680" s="1" t="n">
        <v>46255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6478-2025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45699</v>
      </c>
      <c r="E681" s="1" t="n">
        <v>46255</v>
      </c>
      <c r="F681" t="inlineStr">
        <is>
          <t>VÄRMLANDS LÄN</t>
        </is>
      </c>
      <c r="G681" t="inlineStr">
        <is>
          <t>HAGFORS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28788-2026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46255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9.699999999999999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21309-2023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45062</v>
      </c>
      <c r="E683" s="1" t="n">
        <v>46255</v>
      </c>
      <c r="F683" t="inlineStr">
        <is>
          <t>VÄRMLANDS LÄN</t>
        </is>
      </c>
      <c r="G683" t="inlineStr">
        <is>
          <t>HAGFORS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45328</v>
      </c>
      <c r="E684" s="1" t="n">
        <v>46255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46255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32721-2026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46241</v>
      </c>
      <c r="E686" s="1" t="n">
        <v>46255</v>
      </c>
      <c r="F686" t="inlineStr">
        <is>
          <t>VÄRMLANDS LÄN</t>
        </is>
      </c>
      <c r="G686" t="inlineStr">
        <is>
          <t>HAGFORS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13282-2024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45386</v>
      </c>
      <c r="E687" s="1" t="n">
        <v>46255</v>
      </c>
      <c r="F687" t="inlineStr">
        <is>
          <t>VÄRMLANDS LÄN</t>
        </is>
      </c>
      <c r="G687" t="inlineStr">
        <is>
          <t>HAGFORS</t>
        </is>
      </c>
      <c r="H687" t="inlineStr">
        <is>
          <t>Kommuner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32713-2026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46255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46255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48276-2024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45590</v>
      </c>
      <c r="E690" s="1" t="n">
        <v>46255</v>
      </c>
      <c r="F690" t="inlineStr">
        <is>
          <t>VÄRMLANDS LÄN</t>
        </is>
      </c>
      <c r="G690" t="inlineStr">
        <is>
          <t>HAGFORS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46241</v>
      </c>
      <c r="E691" s="1" t="n">
        <v>46255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28748-2026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46198</v>
      </c>
      <c r="E692" s="1" t="n">
        <v>46255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29102-2026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46200</v>
      </c>
      <c r="E693" s="1" t="n">
        <v>46255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57159-2024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45629</v>
      </c>
      <c r="E694" s="1" t="n">
        <v>46255</v>
      </c>
      <c r="F694" t="inlineStr">
        <is>
          <t>VÄRMLANDS LÄN</t>
        </is>
      </c>
      <c r="G694" t="inlineStr">
        <is>
          <t>HAGFORS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29103-2026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46200</v>
      </c>
      <c r="E695" s="1" t="n">
        <v>46255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33073-2026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46245</v>
      </c>
      <c r="E696" s="1" t="n">
        <v>46255</v>
      </c>
      <c r="F696" t="inlineStr">
        <is>
          <t>VÄRMLANDS LÄN</t>
        </is>
      </c>
      <c r="G696" t="inlineStr">
        <is>
          <t>HAGFORS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46255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46255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29438-2026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46203</v>
      </c>
      <c r="E699" s="1" t="n">
        <v>46255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29428-2026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46203</v>
      </c>
      <c r="E700" s="1" t="n">
        <v>46255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29400-2026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46255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27855-2026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46191</v>
      </c>
      <c r="E702" s="1" t="n">
        <v>46255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29427-2026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46203</v>
      </c>
      <c r="E703" s="1" t="n">
        <v>46255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9.6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33146-2024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45518</v>
      </c>
      <c r="E704" s="1" t="n">
        <v>46255</v>
      </c>
      <c r="F704" t="inlineStr">
        <is>
          <t>VÄRMLANDS LÄN</t>
        </is>
      </c>
      <c r="G704" t="inlineStr">
        <is>
          <t>HAGFORS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33627-2026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46248</v>
      </c>
      <c r="E705" s="1" t="n">
        <v>46255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33515-2026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46248</v>
      </c>
      <c r="E706" s="1" t="n">
        <v>46255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6.5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51346-2022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44869</v>
      </c>
      <c r="E707" s="1" t="n">
        <v>46255</v>
      </c>
      <c r="F707" t="inlineStr">
        <is>
          <t>VÄRMLANDS LÄN</t>
        </is>
      </c>
      <c r="G707" t="inlineStr">
        <is>
          <t>HAGFORS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32033-2024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45510</v>
      </c>
      <c r="E708" s="1" t="n">
        <v>46255</v>
      </c>
      <c r="F708" t="inlineStr">
        <is>
          <t>VÄRMLANDS LÄN</t>
        </is>
      </c>
      <c r="G708" t="inlineStr">
        <is>
          <t>HAGFORS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29580-2026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46255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56888-2023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45244</v>
      </c>
      <c r="E710" s="1" t="n">
        <v>46255</v>
      </c>
      <c r="F710" t="inlineStr">
        <is>
          <t>VÄRMLANDS LÄN</t>
        </is>
      </c>
      <c r="G710" t="inlineStr">
        <is>
          <t>HAGFORS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33635-2026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46248</v>
      </c>
      <c r="E711" s="1" t="n">
        <v>46255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33821-2026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46251</v>
      </c>
      <c r="E712" s="1" t="n">
        <v>46255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30153-2026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46255</v>
      </c>
      <c r="F713" t="inlineStr">
        <is>
          <t>VÄRMLANDS LÄN</t>
        </is>
      </c>
      <c r="G713" t="inlineStr">
        <is>
          <t>HAGFORS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60974-2024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45645</v>
      </c>
      <c r="E714" s="1" t="n">
        <v>46255</v>
      </c>
      <c r="F714" t="inlineStr">
        <is>
          <t>VÄRMLANDS LÄN</t>
        </is>
      </c>
      <c r="G714" t="inlineStr">
        <is>
          <t>HAGFORS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35775-2024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45532</v>
      </c>
      <c r="E715" s="1" t="n">
        <v>46255</v>
      </c>
      <c r="F715" t="inlineStr">
        <is>
          <t>VÄRMLANDS LÄN</t>
        </is>
      </c>
      <c r="G715" t="inlineStr">
        <is>
          <t>HAGFORS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46255</v>
      </c>
      <c r="F716" t="inlineStr">
        <is>
          <t>VÄRMLANDS LÄN</t>
        </is>
      </c>
      <c r="G716" t="inlineStr">
        <is>
          <t>HAGFORS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45238-2024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45575</v>
      </c>
      <c r="E717" s="1" t="n">
        <v>46255</v>
      </c>
      <c r="F717" t="inlineStr">
        <is>
          <t>VÄRMLANDS LÄN</t>
        </is>
      </c>
      <c r="G717" t="inlineStr">
        <is>
          <t>HAGFORS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30167-2026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46206</v>
      </c>
      <c r="E718" s="1" t="n">
        <v>46255</v>
      </c>
      <c r="F718" t="inlineStr">
        <is>
          <t>VÄRMLANDS LÄN</t>
        </is>
      </c>
      <c r="G718" t="inlineStr">
        <is>
          <t>HAGFORS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32149-2023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45107</v>
      </c>
      <c r="E719" s="1" t="n">
        <v>46255</v>
      </c>
      <c r="F719" t="inlineStr">
        <is>
          <t>VÄRMLANDS LÄN</t>
        </is>
      </c>
      <c r="G719" t="inlineStr">
        <is>
          <t>HAGFORS</t>
        </is>
      </c>
      <c r="I719" t="n">
        <v>9.1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26777-2023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45093</v>
      </c>
      <c r="E720" s="1" t="n">
        <v>46255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56165-2024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45624</v>
      </c>
      <c r="E721" s="1" t="n">
        <v>46255</v>
      </c>
      <c r="F721" t="inlineStr">
        <is>
          <t>VÄRMLANDS LÄN</t>
        </is>
      </c>
      <c r="G721" t="inlineStr">
        <is>
          <t>HAGFORS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3980-2025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45684</v>
      </c>
      <c r="E722" s="1" t="n">
        <v>46255</v>
      </c>
      <c r="F722" t="inlineStr">
        <is>
          <t>VÄRMLANDS LÄN</t>
        </is>
      </c>
      <c r="G722" t="inlineStr">
        <is>
          <t>HAGFORS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4012-2025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45684</v>
      </c>
      <c r="E723" s="1" t="n">
        <v>46255</v>
      </c>
      <c r="F723" t="inlineStr">
        <is>
          <t>VÄRMLANDS LÄN</t>
        </is>
      </c>
      <c r="G723" t="inlineStr">
        <is>
          <t>HAGFORS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34014-2026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46252</v>
      </c>
      <c r="E724" s="1" t="n">
        <v>46255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45433</v>
      </c>
      <c r="E725" s="1" t="n">
        <v>46255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5796-2024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45335</v>
      </c>
      <c r="E726" s="1" t="n">
        <v>46255</v>
      </c>
      <c r="F726" t="inlineStr">
        <is>
          <t>VÄRMLANDS LÄN</t>
        </is>
      </c>
      <c r="G726" t="inlineStr">
        <is>
          <t>HAGFORS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4047-2024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45323</v>
      </c>
      <c r="E727" s="1" t="n">
        <v>46255</v>
      </c>
      <c r="F727" t="inlineStr">
        <is>
          <t>VÄRMLANDS LÄN</t>
        </is>
      </c>
      <c r="G727" t="inlineStr">
        <is>
          <t>HAGFORS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30141-2026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46255</v>
      </c>
      <c r="F728" t="inlineStr">
        <is>
          <t>VÄRMLANDS LÄN</t>
        </is>
      </c>
      <c r="G728" t="inlineStr">
        <is>
          <t>HAGFORS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29950-2026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46205</v>
      </c>
      <c r="E729" s="1" t="n">
        <v>46255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7.4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36228-2024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45534</v>
      </c>
      <c r="E730" s="1" t="n">
        <v>46255</v>
      </c>
      <c r="F730" t="inlineStr">
        <is>
          <t>VÄRMLANDS LÄN</t>
        </is>
      </c>
      <c r="G730" t="inlineStr">
        <is>
          <t>HAGFORS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46255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42178-2024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45562</v>
      </c>
      <c r="E732" s="1" t="n">
        <v>46255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42235-2024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46255</v>
      </c>
      <c r="F733" t="inlineStr">
        <is>
          <t>VÄRMLANDS LÄN</t>
        </is>
      </c>
      <c r="G733" t="inlineStr">
        <is>
          <t>HAGFORS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46255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5.8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30436-2026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46209</v>
      </c>
      <c r="E735" s="1" t="n">
        <v>46255</v>
      </c>
      <c r="F735" t="inlineStr">
        <is>
          <t>VÄRMLANDS LÄN</t>
        </is>
      </c>
      <c r="G735" t="inlineStr">
        <is>
          <t>HAGFORS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30437-2026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46209</v>
      </c>
      <c r="E736" s="1" t="n">
        <v>46255</v>
      </c>
      <c r="F736" t="inlineStr">
        <is>
          <t>VÄRMLANDS LÄN</t>
        </is>
      </c>
      <c r="G736" t="inlineStr">
        <is>
          <t>HAGFORS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30629-2026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46211</v>
      </c>
      <c r="E737" s="1" t="n">
        <v>46255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21067-2025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45777</v>
      </c>
      <c r="E738" s="1" t="n">
        <v>46255</v>
      </c>
      <c r="F738" t="inlineStr">
        <is>
          <t>VÄRMLANDS LÄN</t>
        </is>
      </c>
      <c r="G738" t="inlineStr">
        <is>
          <t>HAGFORS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47425-2024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45587</v>
      </c>
      <c r="E739" s="1" t="n">
        <v>46255</v>
      </c>
      <c r="F739" t="inlineStr">
        <is>
          <t>VÄRMLANDS LÄN</t>
        </is>
      </c>
      <c r="G739" t="inlineStr">
        <is>
          <t>HAGFORS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24680-2024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45460</v>
      </c>
      <c r="E740" s="1" t="n">
        <v>46255</v>
      </c>
      <c r="F740" t="inlineStr">
        <is>
          <t>VÄRMLANDS LÄN</t>
        </is>
      </c>
      <c r="G740" t="inlineStr">
        <is>
          <t>HAGFORS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40332-2023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45169</v>
      </c>
      <c r="E741" s="1" t="n">
        <v>46255</v>
      </c>
      <c r="F741" t="inlineStr">
        <is>
          <t>VÄRMLANDS LÄN</t>
        </is>
      </c>
      <c r="G741" t="inlineStr">
        <is>
          <t>HAGFORS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21723-2025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45783</v>
      </c>
      <c r="E742" s="1" t="n">
        <v>46255</v>
      </c>
      <c r="F742" t="inlineStr">
        <is>
          <t>VÄRMLANDS LÄN</t>
        </is>
      </c>
      <c r="G742" t="inlineStr">
        <is>
          <t>HAGFORS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34399-2026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46254</v>
      </c>
      <c r="E743" s="1" t="n">
        <v>46255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22461-2025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45786</v>
      </c>
      <c r="E744" s="1" t="n">
        <v>46255</v>
      </c>
      <c r="F744" t="inlineStr">
        <is>
          <t>VÄRMLANDS LÄN</t>
        </is>
      </c>
      <c r="G744" t="inlineStr">
        <is>
          <t>HAGFORS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44683</v>
      </c>
      <c r="E745" s="1" t="n">
        <v>46255</v>
      </c>
      <c r="F745" t="inlineStr">
        <is>
          <t>VÄRMLANDS LÄN</t>
        </is>
      </c>
      <c r="G745" t="inlineStr">
        <is>
          <t>HAGFORS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22917-2025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45790</v>
      </c>
      <c r="E746" s="1" t="n">
        <v>46255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22964-2025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45790</v>
      </c>
      <c r="E747" s="1" t="n">
        <v>46255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22799-2025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45789</v>
      </c>
      <c r="E748" s="1" t="n">
        <v>46255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23268-2025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45791</v>
      </c>
      <c r="E749" s="1" t="n">
        <v>46255</v>
      </c>
      <c r="F749" t="inlineStr">
        <is>
          <t>VÄRMLANDS LÄN</t>
        </is>
      </c>
      <c r="G749" t="inlineStr">
        <is>
          <t>HAGFORS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23556-2025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45792</v>
      </c>
      <c r="E750" s="1" t="n">
        <v>46255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23525-2025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45792</v>
      </c>
      <c r="E751" s="1" t="n">
        <v>46255</v>
      </c>
      <c r="F751" t="inlineStr">
        <is>
          <t>VÄRMLANDS LÄN</t>
        </is>
      </c>
      <c r="G751" t="inlineStr">
        <is>
          <t>HAGFORS</t>
        </is>
      </c>
      <c r="I751" t="n">
        <v>5.5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38239-2024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45545</v>
      </c>
      <c r="E752" s="1" t="n">
        <v>46255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54008-2024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45615</v>
      </c>
      <c r="E753" s="1" t="n">
        <v>46255</v>
      </c>
      <c r="F753" t="inlineStr">
        <is>
          <t>VÄRMLANDS LÄN</t>
        </is>
      </c>
      <c r="G753" t="inlineStr">
        <is>
          <t>HAGFORS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55950-2024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45623</v>
      </c>
      <c r="E754" s="1" t="n">
        <v>46255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23674-2025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45793</v>
      </c>
      <c r="E755" s="1" t="n">
        <v>46255</v>
      </c>
      <c r="F755" t="inlineStr">
        <is>
          <t>VÄRMLANDS LÄN</t>
        </is>
      </c>
      <c r="G755" t="inlineStr">
        <is>
          <t>HAGFORS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15643-2024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45404</v>
      </c>
      <c r="E756" s="1" t="n">
        <v>46255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23712-2025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45793</v>
      </c>
      <c r="E757" s="1" t="n">
        <v>46255</v>
      </c>
      <c r="F757" t="inlineStr">
        <is>
          <t>VÄRMLANDS LÄN</t>
        </is>
      </c>
      <c r="G757" t="inlineStr">
        <is>
          <t>HAGFORS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24435-2025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45797</v>
      </c>
      <c r="E758" s="1" t="n">
        <v>46255</v>
      </c>
      <c r="F758" t="inlineStr">
        <is>
          <t>VÄRMLANDS LÄN</t>
        </is>
      </c>
      <c r="G758" t="inlineStr">
        <is>
          <t>HAGFORS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16798-2025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45754</v>
      </c>
      <c r="E759" s="1" t="n">
        <v>46255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24434-2025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45797</v>
      </c>
      <c r="E760" s="1" t="n">
        <v>46255</v>
      </c>
      <c r="F760" t="inlineStr">
        <is>
          <t>VÄRMLANDS LÄN</t>
        </is>
      </c>
      <c r="G760" t="inlineStr">
        <is>
          <t>HAGFORS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13524-2025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45736</v>
      </c>
      <c r="E761" s="1" t="n">
        <v>46255</v>
      </c>
      <c r="F761" t="inlineStr">
        <is>
          <t>VÄRMLANDS LÄN</t>
        </is>
      </c>
      <c r="G761" t="inlineStr">
        <is>
          <t>HAGFORS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24438-2025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45797</v>
      </c>
      <c r="E762" s="1" t="n">
        <v>46255</v>
      </c>
      <c r="F762" t="inlineStr">
        <is>
          <t>VÄRMLANDS LÄN</t>
        </is>
      </c>
      <c r="G762" t="inlineStr">
        <is>
          <t>HAGFORS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24895-2025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45799</v>
      </c>
      <c r="E763" s="1" t="n">
        <v>46255</v>
      </c>
      <c r="F763" t="inlineStr">
        <is>
          <t>VÄRMLANDS LÄN</t>
        </is>
      </c>
      <c r="G763" t="inlineStr">
        <is>
          <t>HAGFORS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24793-2025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45799</v>
      </c>
      <c r="E764" s="1" t="n">
        <v>46255</v>
      </c>
      <c r="F764" t="inlineStr">
        <is>
          <t>VÄRMLANDS LÄN</t>
        </is>
      </c>
      <c r="G764" t="inlineStr">
        <is>
          <t>HAGFORS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25031-2025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45799</v>
      </c>
      <c r="E765" s="1" t="n">
        <v>46255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33823-2025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45842</v>
      </c>
      <c r="E766" s="1" t="n">
        <v>46255</v>
      </c>
      <c r="F766" t="inlineStr">
        <is>
          <t>VÄRMLANDS LÄN</t>
        </is>
      </c>
      <c r="G766" t="inlineStr">
        <is>
          <t>HAGFORS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38474-2024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45546</v>
      </c>
      <c r="E767" s="1" t="n">
        <v>46255</v>
      </c>
      <c r="F767" t="inlineStr">
        <is>
          <t>VÄRMLANDS LÄN</t>
        </is>
      </c>
      <c r="G767" t="inlineStr">
        <is>
          <t>HAGFORS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26463-2025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45807</v>
      </c>
      <c r="E768" s="1" t="n">
        <v>46255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52383-2024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45608</v>
      </c>
      <c r="E769" s="1" t="n">
        <v>46255</v>
      </c>
      <c r="F769" t="inlineStr">
        <is>
          <t>VÄRMLANDS LÄN</t>
        </is>
      </c>
      <c r="G769" t="inlineStr">
        <is>
          <t>HAGFORS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16755-2025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45754</v>
      </c>
      <c r="E770" s="1" t="n">
        <v>46255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7.7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26617-2025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45810</v>
      </c>
      <c r="E771" s="1" t="n">
        <v>46255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27071-2025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45811</v>
      </c>
      <c r="E772" s="1" t="n">
        <v>46255</v>
      </c>
      <c r="F772" t="inlineStr">
        <is>
          <t>VÄRMLANDS LÄN</t>
        </is>
      </c>
      <c r="G772" t="inlineStr">
        <is>
          <t>HAGFORS</t>
        </is>
      </c>
      <c r="I772" t="n">
        <v>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26980-2025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45811</v>
      </c>
      <c r="E773" s="1" t="n">
        <v>46255</v>
      </c>
      <c r="F773" t="inlineStr">
        <is>
          <t>VÄRMLANDS LÄN</t>
        </is>
      </c>
      <c r="G773" t="inlineStr">
        <is>
          <t>HAGFORS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26982-2025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45811</v>
      </c>
      <c r="E774" s="1" t="n">
        <v>46255</v>
      </c>
      <c r="F774" t="inlineStr">
        <is>
          <t>VÄRMLANDS LÄN</t>
        </is>
      </c>
      <c r="G774" t="inlineStr">
        <is>
          <t>HAGFORS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27319-2025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45812</v>
      </c>
      <c r="E775" s="1" t="n">
        <v>46255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27229-2025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45812</v>
      </c>
      <c r="E776" s="1" t="n">
        <v>46255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27119-2025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45811</v>
      </c>
      <c r="E777" s="1" t="n">
        <v>46255</v>
      </c>
      <c r="F777" t="inlineStr">
        <is>
          <t>VÄRMLANDS LÄN</t>
        </is>
      </c>
      <c r="G777" t="inlineStr">
        <is>
          <t>HAGFORS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27181-2025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45812</v>
      </c>
      <c r="E778" s="1" t="n">
        <v>46255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45812</v>
      </c>
      <c r="E779" s="1" t="n">
        <v>46255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27263-2025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45812</v>
      </c>
      <c r="E780" s="1" t="n">
        <v>46255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50922-2023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45211</v>
      </c>
      <c r="E781" s="1" t="n">
        <v>46255</v>
      </c>
      <c r="F781" t="inlineStr">
        <is>
          <t>VÄRMLANDS LÄN</t>
        </is>
      </c>
      <c r="G781" t="inlineStr">
        <is>
          <t>HAGFORS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28309-2025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45818</v>
      </c>
      <c r="E782" s="1" t="n">
        <v>46255</v>
      </c>
      <c r="F782" t="inlineStr">
        <is>
          <t>VÄRMLANDS LÄN</t>
        </is>
      </c>
      <c r="G782" t="inlineStr">
        <is>
          <t>HAGFORS</t>
        </is>
      </c>
      <c r="H782" t="inlineStr">
        <is>
          <t>Kyrkan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2225-2020</t>
        </is>
      </c>
      <c r="B783" t="inlineStr">
        <is>
          <t>samrådsanmälan</t>
        </is>
      </c>
      <c r="C783" t="inlineStr">
        <is>
          <t>Åtgärd i nyckelbiotop</t>
        </is>
      </c>
      <c r="D783" s="1" t="n">
        <v>44127</v>
      </c>
      <c r="E783" s="1" t="n">
        <v>46255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2050-2022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44671</v>
      </c>
      <c r="E784" s="1" t="n">
        <v>46255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937-2022</t>
        </is>
      </c>
      <c r="B785" t="inlineStr">
        <is>
          <t>samrådsanmälan</t>
        </is>
      </c>
      <c r="C785" t="inlineStr">
        <is>
          <t>Skogsgödsling</t>
        </is>
      </c>
      <c r="D785" s="1" t="n">
        <v>44606</v>
      </c>
      <c r="E785" s="1" t="n">
        <v>46255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59.4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931-2022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44606</v>
      </c>
      <c r="E786" s="1" t="n">
        <v>46255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49.5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262-2022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44578</v>
      </c>
      <c r="E787" s="1" t="n">
        <v>46255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78.90000000000001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907-2022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44606</v>
      </c>
      <c r="E788" s="1" t="n">
        <v>46255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43.5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913-2022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46255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22.4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898-2022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46255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900-2022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46255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914-2022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46255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19.3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4419-2023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46255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4420-2023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46255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44.2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4426-2023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45266</v>
      </c>
      <c r="E795" s="1" t="n">
        <v>46255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9.699999999999999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5512-2022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44834</v>
      </c>
      <c r="E796" s="1" t="n">
        <v>46255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4415-2023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46255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9.199999999999999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6970-2022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44901</v>
      </c>
      <c r="E798" s="1" t="n">
        <v>46255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4408-2023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46255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6968-2022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44901</v>
      </c>
      <c r="E800" s="1" t="n">
        <v>46255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4423-2023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46255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46255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651-2024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45356</v>
      </c>
      <c r="E803" s="1" t="n">
        <v>46255</v>
      </c>
      <c r="F803" t="inlineStr">
        <is>
          <t>VÄRMLANDS LÄN</t>
        </is>
      </c>
      <c r="G803" t="inlineStr">
        <is>
          <t>HAGFORS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4145-2023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45247</v>
      </c>
      <c r="E804" s="1" t="n">
        <v>46255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26.1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6967-2022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44901</v>
      </c>
      <c r="E805" s="1" t="n">
        <v>46255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89-2025</t>
        </is>
      </c>
      <c r="B806" t="inlineStr">
        <is>
          <t>samrådsanmälan</t>
        </is>
      </c>
      <c r="C806" t="inlineStr">
        <is>
          <t>Åtgärd i nyckelbiotop</t>
        </is>
      </c>
      <c r="D806" s="1" t="n">
        <v>45316</v>
      </c>
      <c r="E806" s="1" t="n">
        <v>46255</v>
      </c>
      <c r="F806" t="inlineStr">
        <is>
          <t>VÄRMLANDS LÄN</t>
        </is>
      </c>
      <c r="G806" t="inlineStr">
        <is>
          <t>HAGFORS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6969-2022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46255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220-2025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45680</v>
      </c>
      <c r="E808" s="1" t="n">
        <v>46255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4150-2023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45247</v>
      </c>
      <c r="E809" s="1" t="n">
        <v>46255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34.4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46255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4409-2023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46255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4155-2023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46255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40.9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4140-2023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46255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6977-2022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44901</v>
      </c>
      <c r="E814" s="1" t="n">
        <v>46255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6973-2022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46255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4143-2023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46255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4407-2023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46255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6965-2022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46255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662-2025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45716</v>
      </c>
      <c r="E819" s="1" t="n">
        <v>46255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52.4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108-2026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46037</v>
      </c>
      <c r="E820" s="1" t="n">
        <v>46255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204.4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46036</v>
      </c>
      <c r="E821" s="1" t="n">
        <v>46255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57.9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46013</v>
      </c>
      <c r="E822" s="1" t="n">
        <v>46255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382-2025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45691</v>
      </c>
      <c r="E823" s="1" t="n">
        <v>46255</v>
      </c>
      <c r="F823" t="inlineStr">
        <is>
          <t>VÄRMLANDS LÄN</t>
        </is>
      </c>
      <c r="G823" t="inlineStr">
        <is>
          <t>HAGFORS</t>
        </is>
      </c>
      <c r="I823" t="n">
        <v>5.8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2026-08-21T01:48:30Z</dcterms:created>
  <dcterms:modified xmlns:dcterms="http://purl.org/dc/terms/" xmlns:xsi="http://www.w3.org/2001/XMLSchema-instance" xsi:type="dcterms:W3CDTF">2026-08-21T01:48:31Z</dcterms:modified>
</cp:coreProperties>
</file>