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46265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46265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46265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46265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46265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46265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46265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46265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46265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46265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46265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1387-2024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46265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64.90000000000001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Garnlav
Tretåig hackspett
Trana</t>
        </is>
      </c>
      <c r="W23">
        <f>HYPERLINK("https://klasma.github.io/Logging_1783/artfynd/A 1387-2024 artfynd.xlsx", "A 1387-2024")</f>
        <v/>
      </c>
      <c r="X23">
        <f>HYPERLINK("https://klasma.github.io/Logging_1783/kartor/A 1387-2024 karta.png", "A 1387-2024")</f>
        <v/>
      </c>
      <c r="Y23">
        <f>HYPERLINK("https://klasma.github.io/Logging_1783/kartor_geotiff/A 1387-2024 georefererad karta.tif", "A 1387-2024")</f>
        <v/>
      </c>
      <c r="AA23">
        <f>HYPERLINK("https://klasma.github.io/Logging_1783/klagomål/A 1387-2024 FSC-klagomål.docx", "A 1387-2024")</f>
        <v/>
      </c>
      <c r="AB23">
        <f>HYPERLINK("https://klasma.github.io/Logging_1783/klagomålsmail/A 1387-2024 FSC-klagomål mail.docx", "A 1387-2024")</f>
        <v/>
      </c>
      <c r="AC23">
        <f>HYPERLINK("https://klasma.github.io/Logging_1783/tillsyn/A 1387-2024 tillsynsbegäran.docx", "A 1387-2024")</f>
        <v/>
      </c>
      <c r="AD23">
        <f>HYPERLINK("https://klasma.github.io/Logging_1783/tillsynsmail/A 1387-2024 tillsynsbegäran mail.docx", "A 1387-2024")</f>
        <v/>
      </c>
      <c r="AE23">
        <f>HYPERLINK("https://klasma.github.io/Logging_1783/fåglar/A 1387-2024 prioriterade fågelarter.docx", "A 1387-2024")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46265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46265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46265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46265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46265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46265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46265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46265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46265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46265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22484-2025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45786</v>
      </c>
      <c r="E35" s="1" t="n">
        <v>46265</v>
      </c>
      <c r="F35" t="inlineStr">
        <is>
          <t>VÄRMLANDS LÄN</t>
        </is>
      </c>
      <c r="G35" t="inlineStr">
        <is>
          <t>HAGFORS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Rödlånke</t>
        </is>
      </c>
      <c r="W35">
        <f>HYPERLINK("https://klasma.github.io/Logging_1783/artfynd/A 22484-2025 artfynd.xlsx", "A 22484-2025")</f>
        <v/>
      </c>
      <c r="X35">
        <f>HYPERLINK("https://klasma.github.io/Logging_1783/kartor/A 22484-2025 karta.png", "A 22484-2025")</f>
        <v/>
      </c>
      <c r="Y35">
        <f>HYPERLINK("https://klasma.github.io/Logging_1783/kartor_geotiff/A 22484-2025 georefererad karta.tif", "A 22484-2025")</f>
        <v/>
      </c>
      <c r="AA35">
        <f>HYPERLINK("https://klasma.github.io/Logging_1783/klagomål/A 22484-2025 FSC-klagomål.docx", "A 22484-2025")</f>
        <v/>
      </c>
      <c r="AB35">
        <f>HYPERLINK("https://klasma.github.io/Logging_1783/klagomålsmail/A 22484-2025 FSC-klagomål mail.docx", "A 22484-2025")</f>
        <v/>
      </c>
      <c r="AC35">
        <f>HYPERLINK("https://klasma.github.io/Logging_1783/tillsyn/A 22484-2025 tillsynsbegäran.docx", "A 22484-2025")</f>
        <v/>
      </c>
      <c r="AD35">
        <f>HYPERLINK("https://klasma.github.io/Logging_1783/tillsynsmail/A 22484-2025 tillsynsbegäran mail.docx", "A 22484-2025")</f>
        <v/>
      </c>
    </row>
    <row r="36" ht="15" customHeight="1">
      <c r="A36" t="inlineStr">
        <is>
          <t>A 55484-2025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46265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HYPERLINK("https://klasma.github.io/Logging_1783/artfynd/A 55484-2025 artfynd.xlsx", "A 55484-2025")</f>
        <v/>
      </c>
      <c r="X36">
        <f>HYPERLINK("https://klasma.github.io/Logging_1783/kartor/A 55484-2025 karta.png", "A 55484-2025")</f>
        <v/>
      </c>
      <c r="Y36">
        <f>HYPERLINK("https://klasma.github.io/Logging_1783/kartor_geotiff/A 55484-2025 georefererad karta.tif", "A 55484-2025")</f>
        <v/>
      </c>
      <c r="AA36">
        <f>HYPERLINK("https://klasma.github.io/Logging_1783/klagomål/A 55484-2025 FSC-klagomål.docx", "A 55484-2025")</f>
        <v/>
      </c>
      <c r="AB36">
        <f>HYPERLINK("https://klasma.github.io/Logging_1783/klagomålsmail/A 55484-2025 FSC-klagomål mail.docx", "A 55484-2025")</f>
        <v/>
      </c>
      <c r="AC36">
        <f>HYPERLINK("https://klasma.github.io/Logging_1783/tillsyn/A 55484-2025 tillsynsbegäran.docx", "A 55484-2025")</f>
        <v/>
      </c>
      <c r="AD36">
        <f>HYPERLINK("https://klasma.github.io/Logging_1783/tillsynsmail/A 55484-2025 tillsynsbegäran mail.docx", "A 55484-2025")</f>
        <v/>
      </c>
    </row>
    <row r="37" ht="15" customHeight="1">
      <c r="A37" t="inlineStr">
        <is>
          <t>A 56083-2022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19.1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HYPERLINK("https://klasma.github.io/Logging_1783/artfynd/A 56083-2022 artfynd.xlsx", "A 56083-2022")</f>
        <v/>
      </c>
      <c r="X37">
        <f>HYPERLINK("https://klasma.github.io/Logging_1783/kartor/A 56083-2022 karta.png", "A 56083-2022")</f>
        <v/>
      </c>
      <c r="Y37">
        <f>HYPERLINK("https://klasma.github.io/Logging_1783/kartor_geotiff/A 56083-2022 georefererad karta.tif", "A 56083-2022")</f>
        <v/>
      </c>
      <c r="AA37">
        <f>HYPERLINK("https://klasma.github.io/Logging_1783/klagomål/A 56083-2022 FSC-klagomål.docx", "A 56083-2022")</f>
        <v/>
      </c>
      <c r="AB37">
        <f>HYPERLINK("https://klasma.github.io/Logging_1783/klagomålsmail/A 56083-2022 FSC-klagomål mail.docx", "A 56083-2022")</f>
        <v/>
      </c>
      <c r="AC37">
        <f>HYPERLINK("https://klasma.github.io/Logging_1783/tillsyn/A 56083-2022 tillsynsbegäran.docx", "A 56083-2022")</f>
        <v/>
      </c>
      <c r="AD37">
        <f>HYPERLINK("https://klasma.github.io/Logging_1783/tillsynsmail/A 56083-2022 tillsynsbegäran mail.docx", "A 56083-2022")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46265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38267-2024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46265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Tallticka</t>
        </is>
      </c>
      <c r="W39">
        <f>HYPERLINK("https://klasma.github.io/Logging_1783/artfynd/A 38267-2024 artfynd.xlsx", "A 38267-2024")</f>
        <v/>
      </c>
      <c r="X39">
        <f>HYPERLINK("https://klasma.github.io/Logging_1783/kartor/A 38267-2024 karta.png", "A 38267-2024")</f>
        <v/>
      </c>
      <c r="Y39">
        <f>HYPERLINK("https://klasma.github.io/Logging_1783/kartor_geotiff/A 38267-2024 georefererad karta.tif", "A 38267-2024")</f>
        <v/>
      </c>
      <c r="AA39">
        <f>HYPERLINK("https://klasma.github.io/Logging_1783/klagomål/A 38267-2024 FSC-klagomål.docx", "A 38267-2024")</f>
        <v/>
      </c>
      <c r="AB39">
        <f>HYPERLINK("https://klasma.github.io/Logging_1783/klagomålsmail/A 38267-2024 FSC-klagomål mail.docx", "A 38267-2024")</f>
        <v/>
      </c>
      <c r="AC39">
        <f>HYPERLINK("https://klasma.github.io/Logging_1783/tillsyn/A 38267-2024 tillsynsbegäran.docx", "A 38267-2024")</f>
        <v/>
      </c>
      <c r="AD39">
        <f>HYPERLINK("https://klasma.github.io/Logging_1783/tillsynsmail/A 38267-2024 tillsynsbegäran mail.docx", "A 38267-2024")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46265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46265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37152-2023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46265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Hökuggla</t>
        </is>
      </c>
      <c r="W42">
        <f>HYPERLINK("https://klasma.github.io/Logging_1783/artfynd/A 37152-2023 artfynd.xlsx", "A 37152-2023")</f>
        <v/>
      </c>
      <c r="X42">
        <f>HYPERLINK("https://klasma.github.io/Logging_1783/kartor/A 37152-2023 karta.png", "A 37152-2023")</f>
        <v/>
      </c>
      <c r="Y42">
        <f>HYPERLINK("https://klasma.github.io/Logging_1783/kartor_geotiff/A 37152-2023 georefererad karta.tif", "A 37152-2023")</f>
        <v/>
      </c>
      <c r="AA42">
        <f>HYPERLINK("https://klasma.github.io/Logging_1783/klagomål/A 37152-2023 FSC-klagomål.docx", "A 37152-2023")</f>
        <v/>
      </c>
      <c r="AB42">
        <f>HYPERLINK("https://klasma.github.io/Logging_1783/klagomålsmail/A 37152-2023 FSC-klagomål mail.docx", "A 37152-2023")</f>
        <v/>
      </c>
      <c r="AC42">
        <f>HYPERLINK("https://klasma.github.io/Logging_1783/tillsyn/A 37152-2023 tillsynsbegäran.docx", "A 37152-2023")</f>
        <v/>
      </c>
      <c r="AD42">
        <f>HYPERLINK("https://klasma.github.io/Logging_1783/tillsynsmail/A 37152-2023 tillsynsbegäran mail.docx", "A 37152-2023")</f>
        <v/>
      </c>
      <c r="AE42">
        <f>HYPERLINK("https://klasma.github.io/Logging_1783/fåglar/A 37152-2023 prioriterade fågelarter.docx", "A 37152-2023")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46265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33848-2025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45842</v>
      </c>
      <c r="E44" s="1" t="n">
        <v>46265</v>
      </c>
      <c r="F44" t="inlineStr">
        <is>
          <t>VÄRMLANDS LÄN</t>
        </is>
      </c>
      <c r="G44" t="inlineStr">
        <is>
          <t>HAGFORS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33848-2025 artfynd.xlsx", "A 33848-2025")</f>
        <v/>
      </c>
      <c r="X44">
        <f>HYPERLINK("https://klasma.github.io/Logging_1783/kartor/A 33848-2025 karta.png", "A 33848-2025")</f>
        <v/>
      </c>
      <c r="Y44">
        <f>HYPERLINK("https://klasma.github.io/Logging_1783/kartor_geotiff/A 33848-2025 georefererad karta.tif", "A 33848-2025")</f>
        <v/>
      </c>
      <c r="AA44">
        <f>HYPERLINK("https://klasma.github.io/Logging_1783/klagomål/A 33848-2025 FSC-klagomål.docx", "A 33848-2025")</f>
        <v/>
      </c>
      <c r="AB44">
        <f>HYPERLINK("https://klasma.github.io/Logging_1783/klagomålsmail/A 33848-2025 FSC-klagomål mail.docx", "A 33848-2025")</f>
        <v/>
      </c>
      <c r="AC44">
        <f>HYPERLINK("https://klasma.github.io/Logging_1783/tillsyn/A 33848-2025 tillsynsbegäran.docx", "A 33848-2025")</f>
        <v/>
      </c>
      <c r="AD44">
        <f>HYPERLINK("https://klasma.github.io/Logging_1783/tillsynsmail/A 33848-2025 tillsynsbegäran mail.docx", "A 33848-2025")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46265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33905-2025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45842</v>
      </c>
      <c r="E46" s="1" t="n">
        <v>46265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33905-2025 artfynd.xlsx", "A 33905-2025")</f>
        <v/>
      </c>
      <c r="X46">
        <f>HYPERLINK("https://klasma.github.io/Logging_1783/kartor/A 33905-2025 karta.png", "A 33905-2025")</f>
        <v/>
      </c>
      <c r="Y46">
        <f>HYPERLINK("https://klasma.github.io/Logging_1783/kartor_geotiff/A 33905-2025 georefererad karta.tif", "A 33905-2025")</f>
        <v/>
      </c>
      <c r="AA46">
        <f>HYPERLINK("https://klasma.github.io/Logging_1783/klagomål/A 33905-2025 FSC-klagomål.docx", "A 33905-2025")</f>
        <v/>
      </c>
      <c r="AB46">
        <f>HYPERLINK("https://klasma.github.io/Logging_1783/klagomålsmail/A 33905-2025 FSC-klagomål mail.docx", "A 33905-2025")</f>
        <v/>
      </c>
      <c r="AC46">
        <f>HYPERLINK("https://klasma.github.io/Logging_1783/tillsyn/A 33905-2025 tillsynsbegäran.docx", "A 33905-2025")</f>
        <v/>
      </c>
      <c r="AD46">
        <f>HYPERLINK("https://klasma.github.io/Logging_1783/tillsynsmail/A 33905-2025 tillsynsbegäran mail.docx", "A 33905-2025")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46265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46265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8254-2026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46265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8254-2026 artfynd.xlsx", "A 8254-2026")</f>
        <v/>
      </c>
      <c r="X49">
        <f>HYPERLINK("https://klasma.github.io/Logging_1783/kartor/A 8254-2026 karta.png", "A 8254-2026")</f>
        <v/>
      </c>
      <c r="Y49">
        <f>HYPERLINK("https://klasma.github.io/Logging_1783/kartor_geotiff/A 8254-2026 georefererad karta.tif", "A 8254-2026")</f>
        <v/>
      </c>
      <c r="AA49">
        <f>HYPERLINK("https://klasma.github.io/Logging_1783/klagomål/A 8254-2026 FSC-klagomål.docx", "A 8254-2026")</f>
        <v/>
      </c>
      <c r="AB49">
        <f>HYPERLINK("https://klasma.github.io/Logging_1783/klagomålsmail/A 8254-2026 FSC-klagomål mail.docx", "A 8254-2026")</f>
        <v/>
      </c>
      <c r="AC49">
        <f>HYPERLINK("https://klasma.github.io/Logging_1783/tillsyn/A 8254-2026 tillsynsbegäran.docx", "A 8254-2026")</f>
        <v/>
      </c>
      <c r="AD49">
        <f>HYPERLINK("https://klasma.github.io/Logging_1783/tillsynsmail/A 8254-2026 tillsynsbegäran mail.docx", "A 8254-2026")</f>
        <v/>
      </c>
    </row>
    <row r="50" ht="15" customHeight="1">
      <c r="A50" t="inlineStr">
        <is>
          <t>A 6986-2022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46265</v>
      </c>
      <c r="F50" t="inlineStr">
        <is>
          <t>VÄRMLANDS LÄN</t>
        </is>
      </c>
      <c r="G50" t="inlineStr">
        <is>
          <t>HAGFORS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HYPERLINK("https://klasma.github.io/Logging_1783/artfynd/A 6986-2022 artfynd.xlsx", "A 6986-2022")</f>
        <v/>
      </c>
      <c r="X50">
        <f>HYPERLINK("https://klasma.github.io/Logging_1783/kartor/A 6986-2022 karta.png", "A 6986-2022")</f>
        <v/>
      </c>
      <c r="Y50">
        <f>HYPERLINK("https://klasma.github.io/Logging_1783/kartor_geotiff/A 6986-2022 georefererad karta.tif", "A 6986-2022")</f>
        <v/>
      </c>
      <c r="AA50">
        <f>HYPERLINK("https://klasma.github.io/Logging_1783/klagomål/A 6986-2022 FSC-klagomål.docx", "A 6986-2022")</f>
        <v/>
      </c>
      <c r="AB50">
        <f>HYPERLINK("https://klasma.github.io/Logging_1783/klagomålsmail/A 6986-2022 FSC-klagomål mail.docx", "A 6986-2022")</f>
        <v/>
      </c>
      <c r="AC50">
        <f>HYPERLINK("https://klasma.github.io/Logging_1783/tillsyn/A 6986-2022 tillsynsbegäran.docx", "A 6986-2022")</f>
        <v/>
      </c>
      <c r="AD50">
        <f>HYPERLINK("https://klasma.github.io/Logging_1783/tillsynsmail/A 6986-2022 tillsynsbegäran mail.docx", "A 6986-2022")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46265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46265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44095-2023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46265</v>
      </c>
      <c r="F53" t="inlineStr">
        <is>
          <t>VÄRMLANDS LÄN</t>
        </is>
      </c>
      <c r="G53" t="inlineStr">
        <is>
          <t>HAGFORS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44095-2023 artfynd.xlsx", "A 44095-2023")</f>
        <v/>
      </c>
      <c r="X53">
        <f>HYPERLINK("https://klasma.github.io/Logging_1783/kartor/A 44095-2023 karta.png", "A 44095-2023")</f>
        <v/>
      </c>
      <c r="Y53">
        <f>HYPERLINK("https://klasma.github.io/Logging_1783/kartor_geotiff/A 44095-2023 georefererad karta.tif", "A 44095-2023")</f>
        <v/>
      </c>
      <c r="AA53">
        <f>HYPERLINK("https://klasma.github.io/Logging_1783/klagomål/A 44095-2023 FSC-klagomål.docx", "A 44095-2023")</f>
        <v/>
      </c>
      <c r="AB53">
        <f>HYPERLINK("https://klasma.github.io/Logging_1783/klagomålsmail/A 44095-2023 FSC-klagomål mail.docx", "A 44095-2023")</f>
        <v/>
      </c>
      <c r="AC53">
        <f>HYPERLINK("https://klasma.github.io/Logging_1783/tillsyn/A 44095-2023 tillsynsbegäran.docx", "A 44095-2023")</f>
        <v/>
      </c>
      <c r="AD53">
        <f>HYPERLINK("https://klasma.github.io/Logging_1783/tillsynsmail/A 44095-2023 tillsynsbegäran mail.docx", "A 44095-2023")</f>
        <v/>
      </c>
    </row>
    <row r="54" ht="15" customHeight="1">
      <c r="A54" t="inlineStr">
        <is>
          <t>A 19362-2026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46133</v>
      </c>
      <c r="E54" s="1" t="n">
        <v>46265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HYPERLINK("https://klasma.github.io/Logging_1783/artfynd/A 19362-2026 artfynd.xlsx", "A 19362-2026")</f>
        <v/>
      </c>
      <c r="X54">
        <f>HYPERLINK("https://klasma.github.io/Logging_1783/kartor/A 19362-2026 karta.png", "A 19362-2026")</f>
        <v/>
      </c>
      <c r="Y54">
        <f>HYPERLINK("https://klasma.github.io/Logging_1783/kartor_geotiff/A 19362-2026 georefererad karta.tif", "A 19362-2026")</f>
        <v/>
      </c>
      <c r="AA54">
        <f>HYPERLINK("https://klasma.github.io/Logging_1783/klagomål/A 19362-2026 FSC-klagomål.docx", "A 19362-2026")</f>
        <v/>
      </c>
      <c r="AB54">
        <f>HYPERLINK("https://klasma.github.io/Logging_1783/klagomålsmail/A 19362-2026 FSC-klagomål mail.docx", "A 19362-2026")</f>
        <v/>
      </c>
      <c r="AC54">
        <f>HYPERLINK("https://klasma.github.io/Logging_1783/tillsyn/A 19362-2026 tillsynsbegäran.docx", "A 19362-2026")</f>
        <v/>
      </c>
      <c r="AD54">
        <f>HYPERLINK("https://klasma.github.io/Logging_1783/tillsynsmail/A 19362-2026 tillsynsbegäran mail.docx", "A 19362-2026")</f>
        <v/>
      </c>
    </row>
    <row r="55" ht="15" customHeight="1">
      <c r="A55" t="inlineStr">
        <is>
          <t>A 51194-2022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44868</v>
      </c>
      <c r="E55" s="1" t="n">
        <v>46265</v>
      </c>
      <c r="F55" t="inlineStr">
        <is>
          <t>VÄRMLANDS LÄN</t>
        </is>
      </c>
      <c r="G55" t="inlineStr">
        <is>
          <t>HAGFORS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HYPERLINK("https://klasma.github.io/Logging_1783/artfynd/A 51194-2022 artfynd.xlsx", "A 51194-2022")</f>
        <v/>
      </c>
      <c r="X55">
        <f>HYPERLINK("https://klasma.github.io/Logging_1783/kartor/A 51194-2022 karta.png", "A 51194-2022")</f>
        <v/>
      </c>
      <c r="Y55">
        <f>HYPERLINK("https://klasma.github.io/Logging_1783/kartor_geotiff/A 51194-2022 georefererad karta.tif", "A 51194-2022")</f>
        <v/>
      </c>
      <c r="AA55">
        <f>HYPERLINK("https://klasma.github.io/Logging_1783/klagomål/A 51194-2022 FSC-klagomål.docx", "A 51194-2022")</f>
        <v/>
      </c>
      <c r="AB55">
        <f>HYPERLINK("https://klasma.github.io/Logging_1783/klagomålsmail/A 51194-2022 FSC-klagomål mail.docx", "A 51194-2022")</f>
        <v/>
      </c>
      <c r="AC55">
        <f>HYPERLINK("https://klasma.github.io/Logging_1783/tillsyn/A 51194-2022 tillsynsbegäran.docx", "A 51194-2022")</f>
        <v/>
      </c>
      <c r="AD55">
        <f>HYPERLINK("https://klasma.github.io/Logging_1783/tillsynsmail/A 51194-2022 tillsynsbegäran mail.docx", "A 51194-2022")</f>
        <v/>
      </c>
    </row>
    <row r="56" ht="15" customHeight="1">
      <c r="A56" t="inlineStr">
        <is>
          <t>A 34158-2025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46265</v>
      </c>
      <c r="F56" t="inlineStr">
        <is>
          <t>VÄRMLANDS LÄN</t>
        </is>
      </c>
      <c r="G56" t="inlineStr">
        <is>
          <t>HAGFORS</t>
        </is>
      </c>
      <c r="I56" t="n">
        <v>5.8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Korallblylav</t>
        </is>
      </c>
      <c r="W56">
        <f>HYPERLINK("https://klasma.github.io/Logging_1783/artfynd/A 34158-2025 artfynd.xlsx", "A 34158-2025")</f>
        <v/>
      </c>
      <c r="X56">
        <f>HYPERLINK("https://klasma.github.io/Logging_1783/kartor/A 34158-2025 karta.png", "A 34158-2025")</f>
        <v/>
      </c>
      <c r="Y56">
        <f>HYPERLINK("https://klasma.github.io/Logging_1783/kartor_geotiff/A 34158-2025 georefererad karta.tif", "A 34158-2025")</f>
        <v/>
      </c>
      <c r="AA56">
        <f>HYPERLINK("https://klasma.github.io/Logging_1783/klagomål/A 34158-2025 FSC-klagomål.docx", "A 34158-2025")</f>
        <v/>
      </c>
      <c r="AB56">
        <f>HYPERLINK("https://klasma.github.io/Logging_1783/klagomålsmail/A 34158-2025 FSC-klagomål mail.docx", "A 34158-2025")</f>
        <v/>
      </c>
      <c r="AC56">
        <f>HYPERLINK("https://klasma.github.io/Logging_1783/tillsyn/A 34158-2025 tillsynsbegäran.docx", "A 34158-2025")</f>
        <v/>
      </c>
      <c r="AD56">
        <f>HYPERLINK("https://klasma.github.io/Logging_1783/tillsynsmail/A 34158-2025 tillsynsbegäran mail.docx", "A 34158-2025")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46265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46265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46265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31742-2026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46227</v>
      </c>
      <c r="E60" s="1" t="n">
        <v>46265</v>
      </c>
      <c r="F60" t="inlineStr">
        <is>
          <t>VÄRMLANDS LÄN</t>
        </is>
      </c>
      <c r="G60" t="inlineStr">
        <is>
          <t>HAGFORS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HYPERLINK("https://klasma.github.io/Logging_1783/artfynd/A 31742-2026 artfynd.xlsx", "A 31742-2026")</f>
        <v/>
      </c>
      <c r="X60">
        <f>HYPERLINK("https://klasma.github.io/Logging_1783/kartor/A 31742-2026 karta.png", "A 31742-2026")</f>
        <v/>
      </c>
      <c r="Y60">
        <f>HYPERLINK("https://klasma.github.io/Logging_1783/kartor_geotiff/A 31742-2026 georefererad karta.tif", "A 31742-2026")</f>
        <v/>
      </c>
      <c r="AA60">
        <f>HYPERLINK("https://klasma.github.io/Logging_1783/klagomål/A 31742-2026 FSC-klagomål.docx", "A 31742-2026")</f>
        <v/>
      </c>
      <c r="AB60">
        <f>HYPERLINK("https://klasma.github.io/Logging_1783/klagomålsmail/A 31742-2026 FSC-klagomål mail.docx", "A 31742-2026")</f>
        <v/>
      </c>
      <c r="AC60">
        <f>HYPERLINK("https://klasma.github.io/Logging_1783/tillsyn/A 31742-2026 tillsynsbegäran.docx", "A 31742-2026")</f>
        <v/>
      </c>
      <c r="AD60">
        <f>HYPERLINK("https://klasma.github.io/Logging_1783/tillsynsmail/A 31742-2026 tillsynsbegäran mail.docx", "A 31742-2026")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46265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29432-2026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46203</v>
      </c>
      <c r="E62" s="1" t="n">
        <v>46265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Vedtrappmossa</t>
        </is>
      </c>
      <c r="W62">
        <f>HYPERLINK("https://klasma.github.io/Logging_1783/artfynd/A 29432-2026 artfynd.xlsx", "A 29432-2026")</f>
        <v/>
      </c>
      <c r="X62">
        <f>HYPERLINK("https://klasma.github.io/Logging_1783/kartor/A 29432-2026 karta.png", "A 29432-2026")</f>
        <v/>
      </c>
      <c r="Y62">
        <f>HYPERLINK("https://klasma.github.io/Logging_1783/kartor_geotiff/A 29432-2026 georefererad karta.tif", "A 29432-2026")</f>
        <v/>
      </c>
      <c r="AA62">
        <f>HYPERLINK("https://klasma.github.io/Logging_1783/klagomål/A 29432-2026 FSC-klagomål.docx", "A 29432-2026")</f>
        <v/>
      </c>
      <c r="AB62">
        <f>HYPERLINK("https://klasma.github.io/Logging_1783/klagomålsmail/A 29432-2026 FSC-klagomål mail.docx", "A 29432-2026")</f>
        <v/>
      </c>
      <c r="AC62">
        <f>HYPERLINK("https://klasma.github.io/Logging_1783/tillsyn/A 29432-2026 tillsynsbegäran.docx", "A 29432-2026")</f>
        <v/>
      </c>
      <c r="AD62">
        <f>HYPERLINK("https://klasma.github.io/Logging_1783/tillsynsmail/A 29432-2026 tillsynsbegäran mail.docx", "A 29432-2026")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46265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46265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46265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46265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46265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46265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46265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46265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46265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46265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46265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46265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46265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46265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46265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46265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46265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46265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46265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46265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46265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46265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46265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46265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46265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46265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46265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46265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46265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46265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46265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46265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46265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46265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46265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46265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46265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46265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46265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46265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46265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46265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46265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46265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46265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46265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46265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46265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46265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46265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46265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46265</v>
      </c>
      <c r="F116" t="inlineStr">
        <is>
          <t>VÄRMLANDS LÄN</t>
        </is>
      </c>
      <c r="G116" t="inlineStr">
        <is>
          <t>HAGFORS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46265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46265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46265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46265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17329-2024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45414</v>
      </c>
      <c r="E121" s="1" t="n">
        <v>46265</v>
      </c>
      <c r="F121" t="inlineStr">
        <is>
          <t>VÄRMLANDS LÄN</t>
        </is>
      </c>
      <c r="G121" t="inlineStr">
        <is>
          <t>HAGFORS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46265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15538-2024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45401</v>
      </c>
      <c r="E123" s="1" t="n">
        <v>46265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46265</v>
      </c>
      <c r="F124" t="inlineStr">
        <is>
          <t>VÄRMLANDS LÄN</t>
        </is>
      </c>
      <c r="G124" t="inlineStr">
        <is>
          <t>HAGFORS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46265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46265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46265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45777</v>
      </c>
      <c r="E128" s="1" t="n">
        <v>46265</v>
      </c>
      <c r="F128" t="inlineStr">
        <is>
          <t>VÄRMLANDS LÄN</t>
        </is>
      </c>
      <c r="G128" t="inlineStr">
        <is>
          <t>HAGFORS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46265</v>
      </c>
      <c r="F129" t="inlineStr">
        <is>
          <t>VÄRMLANDS LÄN</t>
        </is>
      </c>
      <c r="G129" t="inlineStr">
        <is>
          <t>HAGFORS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46265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46265</v>
      </c>
      <c r="F131" t="inlineStr">
        <is>
          <t>VÄRMLANDS LÄN</t>
        </is>
      </c>
      <c r="G131" t="inlineStr">
        <is>
          <t>HAGFORS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46265</v>
      </c>
      <c r="F132" t="inlineStr">
        <is>
          <t>VÄRMLANDS LÄN</t>
        </is>
      </c>
      <c r="G132" t="inlineStr">
        <is>
          <t>HAGFORS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52479-2025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45954</v>
      </c>
      <c r="E133" s="1" t="n">
        <v>46265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46265</v>
      </c>
      <c r="F134" t="inlineStr">
        <is>
          <t>VÄRMLANDS LÄN</t>
        </is>
      </c>
      <c r="G134" t="inlineStr">
        <is>
          <t>HAGFORS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52450-2025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46265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46265</v>
      </c>
      <c r="F136" t="inlineStr">
        <is>
          <t>VÄRMLANDS LÄN</t>
        </is>
      </c>
      <c r="G136" t="inlineStr">
        <is>
          <t>HAGFORS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46265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46265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45783</v>
      </c>
      <c r="E139" s="1" t="n">
        <v>46265</v>
      </c>
      <c r="F139" t="inlineStr">
        <is>
          <t>VÄRMLANDS LÄN</t>
        </is>
      </c>
      <c r="G139" t="inlineStr">
        <is>
          <t>HAGFORS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46265</v>
      </c>
      <c r="F140" t="inlineStr">
        <is>
          <t>VÄRMLANDS LÄN</t>
        </is>
      </c>
      <c r="G140" t="inlineStr">
        <is>
          <t>HAGFORS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46265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46265</v>
      </c>
      <c r="F142" t="inlineStr">
        <is>
          <t>VÄRMLANDS LÄN</t>
        </is>
      </c>
      <c r="G142" t="inlineStr">
        <is>
          <t>HAGFORS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46265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45960</v>
      </c>
      <c r="E144" s="1" t="n">
        <v>46265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46265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46265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44683</v>
      </c>
      <c r="E147" s="1" t="n">
        <v>46265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46265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46265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46265</v>
      </c>
      <c r="F150" t="inlineStr">
        <is>
          <t>VÄRMLANDS LÄN</t>
        </is>
      </c>
      <c r="G150" t="inlineStr">
        <is>
          <t>HAGFORS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46265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46265</v>
      </c>
      <c r="F152" t="inlineStr">
        <is>
          <t>VÄRMLANDS LÄN</t>
        </is>
      </c>
      <c r="G152" t="inlineStr">
        <is>
          <t>HAGFORS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46265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46265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46265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46265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44834</v>
      </c>
      <c r="E157" s="1" t="n">
        <v>46265</v>
      </c>
      <c r="F157" t="inlineStr">
        <is>
          <t>VÄRMLANDS LÄN</t>
        </is>
      </c>
      <c r="G157" t="inlineStr">
        <is>
          <t>HAGFORS</t>
        </is>
      </c>
      <c r="H157" t="inlineStr">
        <is>
          <t>Kyrkan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46265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46265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46265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46265</v>
      </c>
      <c r="F161" t="inlineStr">
        <is>
          <t>VÄRMLANDS LÄN</t>
        </is>
      </c>
      <c r="G161" t="inlineStr">
        <is>
          <t>HAGFORS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46265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46265</v>
      </c>
      <c r="F163" t="inlineStr">
        <is>
          <t>VÄRMLANDS LÄN</t>
        </is>
      </c>
      <c r="G163" t="inlineStr">
        <is>
          <t>HAGFORS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23556-2025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45792</v>
      </c>
      <c r="E164" s="1" t="n">
        <v>46265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46265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46265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46265</v>
      </c>
      <c r="F167" t="inlineStr">
        <is>
          <t>VÄRMLANDS LÄN</t>
        </is>
      </c>
      <c r="G167" t="inlineStr">
        <is>
          <t>HAGFORS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46265</v>
      </c>
      <c r="F168" t="inlineStr">
        <is>
          <t>VÄRMLANDS LÄN</t>
        </is>
      </c>
      <c r="G168" t="inlineStr">
        <is>
          <t>HAGFORS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60167-2023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45258</v>
      </c>
      <c r="E169" s="1" t="n">
        <v>46265</v>
      </c>
      <c r="F169" t="inlineStr">
        <is>
          <t>VÄRMLANDS LÄN</t>
        </is>
      </c>
      <c r="G169" t="inlineStr">
        <is>
          <t>HAGFORS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46265</v>
      </c>
      <c r="F170" t="inlineStr">
        <is>
          <t>VÄRMLANDS LÄN</t>
        </is>
      </c>
      <c r="G170" t="inlineStr">
        <is>
          <t>HAGFORS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45152</v>
      </c>
      <c r="E171" s="1" t="n">
        <v>46265</v>
      </c>
      <c r="F171" t="inlineStr">
        <is>
          <t>VÄRMLANDS LÄN</t>
        </is>
      </c>
      <c r="G171" t="inlineStr">
        <is>
          <t>HAGFORS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46265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46265</v>
      </c>
      <c r="F173" t="inlineStr">
        <is>
          <t>VÄRMLANDS LÄN</t>
        </is>
      </c>
      <c r="G173" t="inlineStr">
        <is>
          <t>HAGFORS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46265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46265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46265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46265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45435</v>
      </c>
      <c r="E178" s="1" t="n">
        <v>46265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46265</v>
      </c>
      <c r="F179" t="inlineStr">
        <is>
          <t>VÄRMLANDS LÄN</t>
        </is>
      </c>
      <c r="G179" t="inlineStr">
        <is>
          <t>HAGFORS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46265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45739</v>
      </c>
      <c r="E181" s="1" t="n">
        <v>46265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46265</v>
      </c>
      <c r="F182" t="inlineStr">
        <is>
          <t>VÄRMLANDS LÄN</t>
        </is>
      </c>
      <c r="G182" t="inlineStr">
        <is>
          <t>HAGFORS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46265</v>
      </c>
      <c r="F183" t="inlineStr">
        <is>
          <t>VÄRMLANDS LÄN</t>
        </is>
      </c>
      <c r="G183" t="inlineStr">
        <is>
          <t>HAGFORS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46265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46265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46265</v>
      </c>
      <c r="F186" t="inlineStr">
        <is>
          <t>VÄRMLANDS LÄN</t>
        </is>
      </c>
      <c r="G186" t="inlineStr">
        <is>
          <t>HAGFORS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45140</v>
      </c>
      <c r="E187" s="1" t="n">
        <v>46265</v>
      </c>
      <c r="F187" t="inlineStr">
        <is>
          <t>VÄRMLANDS LÄN</t>
        </is>
      </c>
      <c r="G187" t="inlineStr">
        <is>
          <t>HAGFORS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46265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46265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46265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46265</v>
      </c>
      <c r="F191" t="inlineStr">
        <is>
          <t>VÄRMLANDS LÄN</t>
        </is>
      </c>
      <c r="G191" t="inlineStr">
        <is>
          <t>HAGFORS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45623</v>
      </c>
      <c r="E192" s="1" t="n">
        <v>46265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46265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46265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46265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46265</v>
      </c>
      <c r="F196" t="inlineStr">
        <is>
          <t>VÄRMLANDS LÄN</t>
        </is>
      </c>
      <c r="G196" t="inlineStr">
        <is>
          <t>HAGFORS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46265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46265</v>
      </c>
      <c r="F198" t="inlineStr">
        <is>
          <t>VÄRMLANDS LÄN</t>
        </is>
      </c>
      <c r="G198" t="inlineStr">
        <is>
          <t>HAGFORS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15643-2024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45404</v>
      </c>
      <c r="E199" s="1" t="n">
        <v>46265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46265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46265</v>
      </c>
      <c r="F201" t="inlineStr">
        <is>
          <t>VÄRMLANDS LÄN</t>
        </is>
      </c>
      <c r="G201" t="inlineStr">
        <is>
          <t>HAGFORS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46265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61169-2024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45645</v>
      </c>
      <c r="E203" s="1" t="n">
        <v>46265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24435-2025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45797</v>
      </c>
      <c r="E204" s="1" t="n">
        <v>46265</v>
      </c>
      <c r="F204" t="inlineStr">
        <is>
          <t>VÄRMLANDS LÄN</t>
        </is>
      </c>
      <c r="G204" t="inlineStr">
        <is>
          <t>HAGFORS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46265</v>
      </c>
      <c r="F205" t="inlineStr">
        <is>
          <t>VÄRMLANDS LÄN</t>
        </is>
      </c>
      <c r="G205" t="inlineStr">
        <is>
          <t>HAGFORS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46265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46265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46265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46265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46265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24434-2025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45797</v>
      </c>
      <c r="E211" s="1" t="n">
        <v>46265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44540</v>
      </c>
      <c r="E212" s="1" t="n">
        <v>46265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46265</v>
      </c>
      <c r="F213" t="inlineStr">
        <is>
          <t>VÄRMLANDS LÄN</t>
        </is>
      </c>
      <c r="G213" t="inlineStr">
        <is>
          <t>HAGFORS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46265</v>
      </c>
      <c r="F214" t="inlineStr">
        <is>
          <t>VÄRMLANDS LÄN</t>
        </is>
      </c>
      <c r="G214" t="inlineStr">
        <is>
          <t>HAGFORS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46265</v>
      </c>
      <c r="F215" t="inlineStr">
        <is>
          <t>VÄRMLANDS LÄN</t>
        </is>
      </c>
      <c r="G215" t="inlineStr">
        <is>
          <t>HAGFORS</t>
        </is>
      </c>
      <c r="H215" t="inlineStr">
        <is>
          <t>Kyrkan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46265</v>
      </c>
      <c r="F216" t="inlineStr">
        <is>
          <t>VÄRMLANDS LÄN</t>
        </is>
      </c>
      <c r="G216" t="inlineStr">
        <is>
          <t>HAGFORS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46265</v>
      </c>
      <c r="F217" t="inlineStr">
        <is>
          <t>VÄRMLANDS LÄN</t>
        </is>
      </c>
      <c r="G217" t="inlineStr">
        <is>
          <t>HAGFORS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44924</v>
      </c>
      <c r="E218" s="1" t="n">
        <v>46265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46265</v>
      </c>
      <c r="F219" t="inlineStr">
        <is>
          <t>VÄRMLANDS LÄN</t>
        </is>
      </c>
      <c r="G219" t="inlineStr">
        <is>
          <t>HAGFORS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58132-2024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46265</v>
      </c>
      <c r="F220" t="inlineStr">
        <is>
          <t>VÄRMLANDS LÄN</t>
        </is>
      </c>
      <c r="G220" t="inlineStr">
        <is>
          <t>HAGFORS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46265</v>
      </c>
      <c r="F221" t="inlineStr">
        <is>
          <t>VÄRMLANDS LÄN</t>
        </is>
      </c>
      <c r="G221" t="inlineStr">
        <is>
          <t>HAGFORS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46265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46265</v>
      </c>
      <c r="F223" t="inlineStr">
        <is>
          <t>VÄRMLANDS LÄN</t>
        </is>
      </c>
      <c r="G223" t="inlineStr">
        <is>
          <t>HAGFORS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46265</v>
      </c>
      <c r="F224" t="inlineStr">
        <is>
          <t>VÄRMLANDS LÄN</t>
        </is>
      </c>
      <c r="G224" t="inlineStr">
        <is>
          <t>HAGFORS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46265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46265</v>
      </c>
      <c r="F227" t="inlineStr">
        <is>
          <t>VÄRMLANDS LÄN</t>
        </is>
      </c>
      <c r="G227" t="inlineStr">
        <is>
          <t>HAGFORS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46265</v>
      </c>
      <c r="F228" t="inlineStr">
        <is>
          <t>VÄRMLANDS LÄN</t>
        </is>
      </c>
      <c r="G228" t="inlineStr">
        <is>
          <t>HAGFORS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46265</v>
      </c>
      <c r="F229" t="inlineStr">
        <is>
          <t>VÄRMLANDS LÄN</t>
        </is>
      </c>
      <c r="G229" t="inlineStr">
        <is>
          <t>HAGFORS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46265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46265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46265</v>
      </c>
      <c r="F232" t="inlineStr">
        <is>
          <t>VÄRMLANDS LÄN</t>
        </is>
      </c>
      <c r="G232" t="inlineStr">
        <is>
          <t>HAGFORS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46265</v>
      </c>
      <c r="F233" t="inlineStr">
        <is>
          <t>VÄRMLANDS LÄN</t>
        </is>
      </c>
      <c r="G233" t="inlineStr">
        <is>
          <t>HAGFORS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26463-2025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45807</v>
      </c>
      <c r="E234" s="1" t="n">
        <v>46265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46265</v>
      </c>
      <c r="F235" t="inlineStr">
        <is>
          <t>VÄRMLANDS LÄN</t>
        </is>
      </c>
      <c r="G235" t="inlineStr">
        <is>
          <t>HAGFORS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46265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46265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46265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45927</v>
      </c>
      <c r="E239" s="1" t="n">
        <v>46265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26617-2025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45810</v>
      </c>
      <c r="E240" s="1" t="n">
        <v>46265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45050</v>
      </c>
      <c r="E241" s="1" t="n">
        <v>46265</v>
      </c>
      <c r="F241" t="inlineStr">
        <is>
          <t>VÄRMLANDS LÄN</t>
        </is>
      </c>
      <c r="G241" t="inlineStr">
        <is>
          <t>HAGFORS</t>
        </is>
      </c>
      <c r="H241" t="inlineStr">
        <is>
          <t>Kommuner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46265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46831-2025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45927</v>
      </c>
      <c r="E243" s="1" t="n">
        <v>46265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46265</v>
      </c>
      <c r="F244" t="inlineStr">
        <is>
          <t>VÄRMLANDS LÄN</t>
        </is>
      </c>
      <c r="G244" t="inlineStr">
        <is>
          <t>HAGFORS</t>
        </is>
      </c>
      <c r="H244" t="inlineStr">
        <is>
          <t>Kyrkan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45928</v>
      </c>
      <c r="E245" s="1" t="n">
        <v>46265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59047-2025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45988</v>
      </c>
      <c r="E246" s="1" t="n">
        <v>46265</v>
      </c>
      <c r="F246" t="inlineStr">
        <is>
          <t>VÄRMLANDS LÄN</t>
        </is>
      </c>
      <c r="G246" t="inlineStr">
        <is>
          <t>HAGFORS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46265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46265</v>
      </c>
      <c r="F248" t="inlineStr">
        <is>
          <t>VÄRMLANDS LÄN</t>
        </is>
      </c>
      <c r="G248" t="inlineStr">
        <is>
          <t>HAGFORS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46265</v>
      </c>
      <c r="F249" t="inlineStr">
        <is>
          <t>VÄRMLANDS LÄN</t>
        </is>
      </c>
      <c r="G249" t="inlineStr">
        <is>
          <t>HAGFORS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46265</v>
      </c>
      <c r="F250" t="inlineStr">
        <is>
          <t>VÄRMLANDS LÄN</t>
        </is>
      </c>
      <c r="G250" t="inlineStr">
        <is>
          <t>HAGFORS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46265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46265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46265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46265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46265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46265</v>
      </c>
      <c r="F256" t="inlineStr">
        <is>
          <t>VÄRMLANDS LÄN</t>
        </is>
      </c>
      <c r="G256" t="inlineStr">
        <is>
          <t>HAGFORS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46265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46265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46265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46265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46265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46265</v>
      </c>
      <c r="F262" t="inlineStr">
        <is>
          <t>VÄRMLANDS LÄN</t>
        </is>
      </c>
      <c r="G262" t="inlineStr">
        <is>
          <t>HAGFORS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49766-2023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45212</v>
      </c>
      <c r="E263" s="1" t="n">
        <v>46265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46265</v>
      </c>
      <c r="F264" t="inlineStr">
        <is>
          <t>VÄRMLANDS LÄN</t>
        </is>
      </c>
      <c r="G264" t="inlineStr">
        <is>
          <t>HAGFORS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46265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46265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46265</v>
      </c>
      <c r="F267" t="inlineStr">
        <is>
          <t>VÄRMLANDS LÄN</t>
        </is>
      </c>
      <c r="G267" t="inlineStr">
        <is>
          <t>HAGFORS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46265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46265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46265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45492</v>
      </c>
      <c r="E271" s="1" t="n">
        <v>46265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45818</v>
      </c>
      <c r="E272" s="1" t="n">
        <v>46265</v>
      </c>
      <c r="F272" t="inlineStr">
        <is>
          <t>VÄRMLANDS LÄN</t>
        </is>
      </c>
      <c r="G272" t="inlineStr">
        <is>
          <t>HAGFORS</t>
        </is>
      </c>
      <c r="H272" t="inlineStr">
        <is>
          <t>Kyrkan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46265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46265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45941</v>
      </c>
      <c r="E275" s="1" t="n">
        <v>46265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46265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46265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46265</v>
      </c>
      <c r="F278" t="inlineStr">
        <is>
          <t>VÄRMLANDS LÄN</t>
        </is>
      </c>
      <c r="G278" t="inlineStr">
        <is>
          <t>HAGFORS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45996</v>
      </c>
      <c r="E279" s="1" t="n">
        <v>46265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46265</v>
      </c>
      <c r="F280" t="inlineStr">
        <is>
          <t>VÄRMLANDS LÄN</t>
        </is>
      </c>
      <c r="G280" t="inlineStr">
        <is>
          <t>HAGFORS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60648-2025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45996</v>
      </c>
      <c r="E281" s="1" t="n">
        <v>46265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46265</v>
      </c>
      <c r="F282" t="inlineStr">
        <is>
          <t>VÄRMLANDS LÄN</t>
        </is>
      </c>
      <c r="G282" t="inlineStr">
        <is>
          <t>HAGFORS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29149-2025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45821</v>
      </c>
      <c r="E283" s="1" t="n">
        <v>46265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46265</v>
      </c>
      <c r="F284" t="inlineStr">
        <is>
          <t>VÄRMLANDS LÄN</t>
        </is>
      </c>
      <c r="G284" t="inlineStr">
        <is>
          <t>HAGFORS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46265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16824-2023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45033</v>
      </c>
      <c r="E286" s="1" t="n">
        <v>46265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44883</v>
      </c>
      <c r="E287" s="1" t="n">
        <v>46265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17.9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45420</v>
      </c>
      <c r="E288" s="1" t="n">
        <v>46265</v>
      </c>
      <c r="F288" t="inlineStr">
        <is>
          <t>VÄRMLANDS LÄN</t>
        </is>
      </c>
      <c r="G288" t="inlineStr">
        <is>
          <t>HAGFORS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46265</v>
      </c>
      <c r="F289" t="inlineStr">
        <is>
          <t>VÄRMLANDS LÄN</t>
        </is>
      </c>
      <c r="G289" t="inlineStr">
        <is>
          <t>HAGFORS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46265</v>
      </c>
      <c r="F290" t="inlineStr">
        <is>
          <t>VÄRMLANDS LÄN</t>
        </is>
      </c>
      <c r="G290" t="inlineStr">
        <is>
          <t>HAGFORS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46265</v>
      </c>
      <c r="F291" t="inlineStr">
        <is>
          <t>VÄRMLANDS LÄN</t>
        </is>
      </c>
      <c r="G291" t="inlineStr">
        <is>
          <t>HAGFORS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46265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46265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46265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46265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46265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45379</v>
      </c>
      <c r="E297" s="1" t="n">
        <v>46265</v>
      </c>
      <c r="F297" t="inlineStr">
        <is>
          <t>VÄRMLANDS LÄN</t>
        </is>
      </c>
      <c r="G297" t="inlineStr">
        <is>
          <t>HAGFORS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46265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46002</v>
      </c>
      <c r="E299" s="1" t="n">
        <v>46265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46265</v>
      </c>
      <c r="F300" t="inlineStr">
        <is>
          <t>VÄRMLANDS LÄN</t>
        </is>
      </c>
      <c r="G300" t="inlineStr">
        <is>
          <t>HAGFORS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45951</v>
      </c>
      <c r="E301" s="1" t="n">
        <v>46265</v>
      </c>
      <c r="F301" t="inlineStr">
        <is>
          <t>VÄRMLANDS LÄN</t>
        </is>
      </c>
      <c r="G301" t="inlineStr">
        <is>
          <t>HAGFORS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46265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61910-2025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46003</v>
      </c>
      <c r="E303" s="1" t="n">
        <v>46265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45446</v>
      </c>
      <c r="E304" s="1" t="n">
        <v>46265</v>
      </c>
      <c r="F304" t="inlineStr">
        <is>
          <t>VÄRMLANDS LÄN</t>
        </is>
      </c>
      <c r="G304" t="inlineStr">
        <is>
          <t>HAGFORS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64936-2023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46265</v>
      </c>
      <c r="F305" t="inlineStr">
        <is>
          <t>VÄRMLANDS LÄN</t>
        </is>
      </c>
      <c r="G305" t="inlineStr">
        <is>
          <t>HAGFORS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45037</v>
      </c>
      <c r="E306" s="1" t="n">
        <v>46265</v>
      </c>
      <c r="F306" t="inlineStr">
        <is>
          <t>VÄRMLANDS LÄN</t>
        </is>
      </c>
      <c r="G306" t="inlineStr">
        <is>
          <t>HAGFORS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46265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46265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46265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62168-2025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46006</v>
      </c>
      <c r="E310" s="1" t="n">
        <v>46265</v>
      </c>
      <c r="F310" t="inlineStr">
        <is>
          <t>VÄRMLANDS LÄN</t>
        </is>
      </c>
      <c r="G310" t="inlineStr">
        <is>
          <t>HAGFORS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46265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61843-2025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46003</v>
      </c>
      <c r="E312" s="1" t="n">
        <v>46265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45390</v>
      </c>
      <c r="E313" s="1" t="n">
        <v>46265</v>
      </c>
      <c r="F313" t="inlineStr">
        <is>
          <t>VÄRMLANDS LÄN</t>
        </is>
      </c>
      <c r="G313" t="inlineStr">
        <is>
          <t>HAGFORS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46265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33440-2025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45841</v>
      </c>
      <c r="E315" s="1" t="n">
        <v>46265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45765</v>
      </c>
      <c r="E316" s="1" t="n">
        <v>46265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46265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46265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46265</v>
      </c>
      <c r="F319" t="inlineStr">
        <is>
          <t>VÄRMLANDS LÄN</t>
        </is>
      </c>
      <c r="G319" t="inlineStr">
        <is>
          <t>HAGFORS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45845</v>
      </c>
      <c r="E320" s="1" t="n">
        <v>46265</v>
      </c>
      <c r="F320" t="inlineStr">
        <is>
          <t>VÄRMLANDS LÄN</t>
        </is>
      </c>
      <c r="G320" t="inlineStr">
        <is>
          <t>HAGFORS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45845</v>
      </c>
      <c r="E321" s="1" t="n">
        <v>46265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46265</v>
      </c>
      <c r="F322" t="inlineStr">
        <is>
          <t>VÄRMLANDS LÄN</t>
        </is>
      </c>
      <c r="G322" t="inlineStr">
        <is>
          <t>HAGFORS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45770</v>
      </c>
      <c r="E323" s="1" t="n">
        <v>46265</v>
      </c>
      <c r="F323" t="inlineStr">
        <is>
          <t>VÄRMLANDS LÄN</t>
        </is>
      </c>
      <c r="G323" t="inlineStr">
        <is>
          <t>HAGFORS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46265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46265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46265</v>
      </c>
      <c r="F326" t="inlineStr">
        <is>
          <t>VÄRMLANDS LÄN</t>
        </is>
      </c>
      <c r="G326" t="inlineStr">
        <is>
          <t>HAGFORS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45854</v>
      </c>
      <c r="E327" s="1" t="n">
        <v>46265</v>
      </c>
      <c r="F327" t="inlineStr">
        <is>
          <t>VÄRMLANDS LÄN</t>
        </is>
      </c>
      <c r="G327" t="inlineStr">
        <is>
          <t>HAGFORS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45854</v>
      </c>
      <c r="E328" s="1" t="n">
        <v>46265</v>
      </c>
      <c r="F328" t="inlineStr">
        <is>
          <t>VÄRMLANDS LÄN</t>
        </is>
      </c>
      <c r="G328" t="inlineStr">
        <is>
          <t>HAGFORS</t>
        </is>
      </c>
      <c r="H328" t="inlineStr">
        <is>
          <t>Kyrkan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46265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45793</v>
      </c>
      <c r="E330" s="1" t="n">
        <v>46265</v>
      </c>
      <c r="F330" t="inlineStr">
        <is>
          <t>VÄRMLANDS LÄN</t>
        </is>
      </c>
      <c r="G330" t="inlineStr">
        <is>
          <t>HAGFORS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46265</v>
      </c>
      <c r="F331" t="inlineStr">
        <is>
          <t>VÄRMLANDS LÄN</t>
        </is>
      </c>
      <c r="G331" t="inlineStr">
        <is>
          <t>HAGFORS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46265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46265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46265</v>
      </c>
      <c r="F334" t="inlineStr">
        <is>
          <t>VÄRMLANDS LÄN</t>
        </is>
      </c>
      <c r="G334" t="inlineStr">
        <is>
          <t>HAGFORS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62749-2025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46265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46265</v>
      </c>
      <c r="F336" t="inlineStr">
        <is>
          <t>VÄRMLANDS LÄN</t>
        </is>
      </c>
      <c r="G336" t="inlineStr">
        <is>
          <t>HAGFORS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45824</v>
      </c>
      <c r="E337" s="1" t="n">
        <v>46265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46265</v>
      </c>
      <c r="F338" t="inlineStr">
        <is>
          <t>VÄRMLANDS LÄN</t>
        </is>
      </c>
      <c r="G338" t="inlineStr">
        <is>
          <t>HAGFORS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45006</v>
      </c>
      <c r="E339" s="1" t="n">
        <v>46265</v>
      </c>
      <c r="F339" t="inlineStr">
        <is>
          <t>VÄRMLANDS LÄN</t>
        </is>
      </c>
      <c r="G339" t="inlineStr">
        <is>
          <t>HAGFORS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46265</v>
      </c>
      <c r="F340" t="inlineStr">
        <is>
          <t>VÄRMLANDS LÄN</t>
        </is>
      </c>
      <c r="G340" t="inlineStr">
        <is>
          <t>HAGFORS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46265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45051</v>
      </c>
      <c r="E342" s="1" t="n">
        <v>46265</v>
      </c>
      <c r="F342" t="inlineStr">
        <is>
          <t>VÄRMLANDS LÄN</t>
        </is>
      </c>
      <c r="G342" t="inlineStr">
        <is>
          <t>HAGFORS</t>
        </is>
      </c>
      <c r="H342" t="inlineStr">
        <is>
          <t>Kommuner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45461</v>
      </c>
      <c r="E343" s="1" t="n">
        <v>46265</v>
      </c>
      <c r="F343" t="inlineStr">
        <is>
          <t>VÄRMLANDS LÄN</t>
        </is>
      </c>
      <c r="G343" t="inlineStr">
        <is>
          <t>HAGFORS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46265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46265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46265</v>
      </c>
      <c r="F346" t="inlineStr">
        <is>
          <t>VÄRMLANDS LÄN</t>
        </is>
      </c>
      <c r="G346" t="inlineStr">
        <is>
          <t>HAGFORS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46265</v>
      </c>
      <c r="F347" t="inlineStr">
        <is>
          <t>VÄRMLANDS LÄN</t>
        </is>
      </c>
      <c r="G347" t="inlineStr">
        <is>
          <t>HAGFORS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46265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45436</v>
      </c>
      <c r="E349" s="1" t="n">
        <v>46265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46265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46265</v>
      </c>
      <c r="F351" t="inlineStr">
        <is>
          <t>VÄRMLANDS LÄN</t>
        </is>
      </c>
      <c r="G351" t="inlineStr">
        <is>
          <t>HAGFORS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46265</v>
      </c>
      <c r="F352" t="inlineStr">
        <is>
          <t>VÄRMLANDS LÄN</t>
        </is>
      </c>
      <c r="G352" t="inlineStr">
        <is>
          <t>HAGFORS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30180-2022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44757</v>
      </c>
      <c r="E353" s="1" t="n">
        <v>46265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46265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45152</v>
      </c>
      <c r="E355" s="1" t="n">
        <v>46265</v>
      </c>
      <c r="F355" t="inlineStr">
        <is>
          <t>VÄRMLANDS LÄN</t>
        </is>
      </c>
      <c r="G355" t="inlineStr">
        <is>
          <t>HAGFORS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44770</v>
      </c>
      <c r="E356" s="1" t="n">
        <v>46265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46265</v>
      </c>
      <c r="F357" t="inlineStr">
        <is>
          <t>VÄRMLANDS LÄN</t>
        </is>
      </c>
      <c r="G357" t="inlineStr">
        <is>
          <t>HAGFORS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46265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57379-2022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44896</v>
      </c>
      <c r="E359" s="1" t="n">
        <v>46265</v>
      </c>
      <c r="F359" t="inlineStr">
        <is>
          <t>VÄRMLANDS LÄN</t>
        </is>
      </c>
      <c r="G359" t="inlineStr">
        <is>
          <t>HAGFORS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45201</v>
      </c>
      <c r="E360" s="1" t="n">
        <v>46265</v>
      </c>
      <c r="F360" t="inlineStr">
        <is>
          <t>VÄRMLANDS LÄN</t>
        </is>
      </c>
      <c r="G360" t="inlineStr">
        <is>
          <t>HAGFORS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45029</v>
      </c>
      <c r="E361" s="1" t="n">
        <v>46265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46265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45653</v>
      </c>
      <c r="E363" s="1" t="n">
        <v>46265</v>
      </c>
      <c r="F363" t="inlineStr">
        <is>
          <t>VÄRMLANDS LÄN</t>
        </is>
      </c>
      <c r="G363" t="inlineStr">
        <is>
          <t>HAGFORS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46265</v>
      </c>
      <c r="F364" t="inlineStr">
        <is>
          <t>VÄRMLANDS LÄN</t>
        </is>
      </c>
      <c r="G364" t="inlineStr">
        <is>
          <t>HAGFORS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20652-2022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44700</v>
      </c>
      <c r="E365" s="1" t="n">
        <v>46265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45720</v>
      </c>
      <c r="E366" s="1" t="n">
        <v>46265</v>
      </c>
      <c r="F366" t="inlineStr">
        <is>
          <t>VÄRMLANDS LÄN</t>
        </is>
      </c>
      <c r="G366" t="inlineStr">
        <is>
          <t>HAGFORS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63361-2025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46265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46265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46265</v>
      </c>
      <c r="F369" t="inlineStr">
        <is>
          <t>VÄRMLANDS LÄN</t>
        </is>
      </c>
      <c r="G369" t="inlineStr">
        <is>
          <t>HAGFORS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51915-2023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46265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46020</v>
      </c>
      <c r="E371" s="1" t="n">
        <v>46265</v>
      </c>
      <c r="F371" t="inlineStr">
        <is>
          <t>VÄRMLANDS LÄN</t>
        </is>
      </c>
      <c r="G371" t="inlineStr">
        <is>
          <t>HAGFORS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46018</v>
      </c>
      <c r="E372" s="1" t="n">
        <v>46265</v>
      </c>
      <c r="F372" t="inlineStr">
        <is>
          <t>VÄRMLANDS LÄN</t>
        </is>
      </c>
      <c r="G372" t="inlineStr">
        <is>
          <t>HAGFORS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63765-2025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46018</v>
      </c>
      <c r="E373" s="1" t="n">
        <v>46265</v>
      </c>
      <c r="F373" t="inlineStr">
        <is>
          <t>VÄRMLANDS LÄN</t>
        </is>
      </c>
      <c r="G373" t="inlineStr">
        <is>
          <t>HAGFORS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46265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46020</v>
      </c>
      <c r="E375" s="1" t="n">
        <v>46265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46265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46265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44809</v>
      </c>
      <c r="E378" s="1" t="n">
        <v>46265</v>
      </c>
      <c r="F378" t="inlineStr">
        <is>
          <t>VÄRMLANDS LÄN</t>
        </is>
      </c>
      <c r="G378" t="inlineStr">
        <is>
          <t>HAGFORS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46792-2022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44851</v>
      </c>
      <c r="E379" s="1" t="n">
        <v>46265</v>
      </c>
      <c r="F379" t="inlineStr">
        <is>
          <t>VÄRMLANDS LÄN</t>
        </is>
      </c>
      <c r="G379" t="inlineStr">
        <is>
          <t>HAGFORS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46265</v>
      </c>
      <c r="F380" t="inlineStr">
        <is>
          <t>VÄRMLANDS LÄN</t>
        </is>
      </c>
      <c r="G380" t="inlineStr">
        <is>
          <t>HAGFORS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33969-2022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44790</v>
      </c>
      <c r="E381" s="1" t="n">
        <v>46265</v>
      </c>
      <c r="F381" t="inlineStr">
        <is>
          <t>VÄRMLANDS LÄN</t>
        </is>
      </c>
      <c r="G381" t="inlineStr">
        <is>
          <t>HAGFORS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45461</v>
      </c>
      <c r="E382" s="1" t="n">
        <v>46265</v>
      </c>
      <c r="F382" t="inlineStr">
        <is>
          <t>VÄRMLANDS LÄN</t>
        </is>
      </c>
      <c r="G382" t="inlineStr">
        <is>
          <t>HAGFORS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46265</v>
      </c>
      <c r="F383" t="inlineStr">
        <is>
          <t>VÄRMLANDS LÄN</t>
        </is>
      </c>
      <c r="G383" t="inlineStr">
        <is>
          <t>HAGFORS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46265</v>
      </c>
      <c r="F384" t="inlineStr">
        <is>
          <t>VÄRMLANDS LÄN</t>
        </is>
      </c>
      <c r="G384" t="inlineStr">
        <is>
          <t>HAGFORS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70712-2021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46265</v>
      </c>
      <c r="F385" t="inlineStr">
        <is>
          <t>VÄRMLANDS LÄN</t>
        </is>
      </c>
      <c r="G385" t="inlineStr">
        <is>
          <t>HAGFORS</t>
        </is>
      </c>
      <c r="H385" t="inlineStr">
        <is>
          <t>Kommuner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46265</v>
      </c>
      <c r="F386" t="inlineStr">
        <is>
          <t>VÄRMLANDS LÄN</t>
        </is>
      </c>
      <c r="G386" t="inlineStr">
        <is>
          <t>HAGFORS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44571</v>
      </c>
      <c r="E387" s="1" t="n">
        <v>46265</v>
      </c>
      <c r="F387" t="inlineStr">
        <is>
          <t>VÄRMLANDS LÄN</t>
        </is>
      </c>
      <c r="G387" t="inlineStr">
        <is>
          <t>HAGFORS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46265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45937</v>
      </c>
      <c r="E389" s="1" t="n">
        <v>46265</v>
      </c>
      <c r="F389" t="inlineStr">
        <is>
          <t>VÄRMLANDS LÄN</t>
        </is>
      </c>
      <c r="G389" t="inlineStr">
        <is>
          <t>HAGFORS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975-2026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46030</v>
      </c>
      <c r="E390" s="1" t="n">
        <v>46265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45758</v>
      </c>
      <c r="E391" s="1" t="n">
        <v>46265</v>
      </c>
      <c r="F391" t="inlineStr">
        <is>
          <t>VÄRMLANDS LÄN</t>
        </is>
      </c>
      <c r="G391" t="inlineStr">
        <is>
          <t>HAGFORS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46265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44924</v>
      </c>
      <c r="E393" s="1" t="n">
        <v>46265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46265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61140-2023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45261</v>
      </c>
      <c r="E395" s="1" t="n">
        <v>46265</v>
      </c>
      <c r="F395" t="inlineStr">
        <is>
          <t>VÄRMLANDS LÄN</t>
        </is>
      </c>
      <c r="G395" t="inlineStr">
        <is>
          <t>HAGFORS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46265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46265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46265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39640-2022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44817</v>
      </c>
      <c r="E399" s="1" t="n">
        <v>46265</v>
      </c>
      <c r="F399" t="inlineStr">
        <is>
          <t>VÄRMLANDS LÄN</t>
        </is>
      </c>
      <c r="G399" t="inlineStr">
        <is>
          <t>HAGFORS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46265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46265</v>
      </c>
      <c r="F401" t="inlineStr">
        <is>
          <t>VÄRMLANDS LÄN</t>
        </is>
      </c>
      <c r="G401" t="inlineStr">
        <is>
          <t>HAGFORS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45575</v>
      </c>
      <c r="E402" s="1" t="n">
        <v>46265</v>
      </c>
      <c r="F402" t="inlineStr">
        <is>
          <t>VÄRMLANDS LÄN</t>
        </is>
      </c>
      <c r="G402" t="inlineStr">
        <is>
          <t>HAGFORS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45218-2021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44439</v>
      </c>
      <c r="E403" s="1" t="n">
        <v>46265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46265</v>
      </c>
      <c r="F404" t="inlineStr">
        <is>
          <t>VÄRMLANDS LÄN</t>
        </is>
      </c>
      <c r="G404" t="inlineStr">
        <is>
          <t>HAGFORS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46265</v>
      </c>
      <c r="F405" t="inlineStr">
        <is>
          <t>VÄRMLANDS LÄN</t>
        </is>
      </c>
      <c r="G405" t="inlineStr">
        <is>
          <t>HAGFORS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46265</v>
      </c>
      <c r="F406" t="inlineStr">
        <is>
          <t>VÄRMLANDS LÄN</t>
        </is>
      </c>
      <c r="G406" t="inlineStr">
        <is>
          <t>HAGFORS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44883</v>
      </c>
      <c r="E407" s="1" t="n">
        <v>46265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46265</v>
      </c>
      <c r="F408" t="inlineStr">
        <is>
          <t>VÄRMLANDS LÄN</t>
        </is>
      </c>
      <c r="G408" t="inlineStr">
        <is>
          <t>HAGFORS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46265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46265</v>
      </c>
      <c r="F410" t="inlineStr">
        <is>
          <t>VÄRMLANDS LÄN</t>
        </is>
      </c>
      <c r="G410" t="inlineStr">
        <is>
          <t>HAGFORS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46050</v>
      </c>
      <c r="E411" s="1" t="n">
        <v>46265</v>
      </c>
      <c r="F411" t="inlineStr">
        <is>
          <t>VÄRMLANDS LÄN</t>
        </is>
      </c>
      <c r="G411" t="inlineStr">
        <is>
          <t>HAGFORS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46265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46265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46265</v>
      </c>
      <c r="F414" t="inlineStr">
        <is>
          <t>VÄRMLANDS LÄN</t>
        </is>
      </c>
      <c r="G414" t="inlineStr">
        <is>
          <t>HAGFORS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20081-2025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45772</v>
      </c>
      <c r="E415" s="1" t="n">
        <v>46265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46265</v>
      </c>
      <c r="F416" t="inlineStr">
        <is>
          <t>VÄRMLANDS LÄN</t>
        </is>
      </c>
      <c r="G416" t="inlineStr">
        <is>
          <t>HAGFORS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19554-2024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45429</v>
      </c>
      <c r="E417" s="1" t="n">
        <v>46265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45103</v>
      </c>
      <c r="E418" s="1" t="n">
        <v>46265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22503-2024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45447</v>
      </c>
      <c r="E419" s="1" t="n">
        <v>46265</v>
      </c>
      <c r="F419" t="inlineStr">
        <is>
          <t>VÄRMLANDS LÄN</t>
        </is>
      </c>
      <c r="G419" t="inlineStr">
        <is>
          <t>HAGFORS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46265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45684</v>
      </c>
      <c r="E421" s="1" t="n">
        <v>46265</v>
      </c>
      <c r="F421" t="inlineStr">
        <is>
          <t>VÄRMLANDS LÄN</t>
        </is>
      </c>
      <c r="G421" t="inlineStr">
        <is>
          <t>HAGFORS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46265</v>
      </c>
      <c r="F422" t="inlineStr">
        <is>
          <t>VÄRMLANDS LÄN</t>
        </is>
      </c>
      <c r="G422" t="inlineStr">
        <is>
          <t>HAGFORS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44950</v>
      </c>
      <c r="E423" s="1" t="n">
        <v>46265</v>
      </c>
      <c r="F423" t="inlineStr">
        <is>
          <t>VÄRMLANDS LÄN</t>
        </is>
      </c>
      <c r="G423" t="inlineStr">
        <is>
          <t>HAGFORS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44950</v>
      </c>
      <c r="E424" s="1" t="n">
        <v>46265</v>
      </c>
      <c r="F424" t="inlineStr">
        <is>
          <t>VÄRMLANDS LÄN</t>
        </is>
      </c>
      <c r="G424" t="inlineStr">
        <is>
          <t>HAGFORS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46265</v>
      </c>
      <c r="F425" t="inlineStr">
        <is>
          <t>VÄRMLANDS LÄN</t>
        </is>
      </c>
      <c r="G425" t="inlineStr">
        <is>
          <t>HAGFORS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45287</v>
      </c>
      <c r="E426" s="1" t="n">
        <v>46265</v>
      </c>
      <c r="F426" t="inlineStr">
        <is>
          <t>VÄRMLANDS LÄN</t>
        </is>
      </c>
      <c r="G426" t="inlineStr">
        <is>
          <t>HAGFORS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58210-2022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44901</v>
      </c>
      <c r="E427" s="1" t="n">
        <v>46265</v>
      </c>
      <c r="F427" t="inlineStr">
        <is>
          <t>VÄRMLANDS LÄN</t>
        </is>
      </c>
      <c r="G427" t="inlineStr">
        <is>
          <t>HAGFORS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25258-2023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45079</v>
      </c>
      <c r="E428" s="1" t="n">
        <v>46265</v>
      </c>
      <c r="F428" t="inlineStr">
        <is>
          <t>VÄRMLANDS LÄN</t>
        </is>
      </c>
      <c r="G428" t="inlineStr">
        <is>
          <t>HAGFORS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45519</v>
      </c>
      <c r="E429" s="1" t="n">
        <v>46265</v>
      </c>
      <c r="F429" t="inlineStr">
        <is>
          <t>VÄRMLANDS LÄN</t>
        </is>
      </c>
      <c r="G429" t="inlineStr">
        <is>
          <t>HAGFORS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45489</v>
      </c>
      <c r="E430" s="1" t="n">
        <v>46265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38612-2023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46265</v>
      </c>
      <c r="F431" t="inlineStr">
        <is>
          <t>VÄRMLANDS LÄN</t>
        </is>
      </c>
      <c r="G431" t="inlineStr">
        <is>
          <t>HAGFORS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46265</v>
      </c>
      <c r="F432" t="inlineStr">
        <is>
          <t>VÄRMLANDS LÄN</t>
        </is>
      </c>
      <c r="G432" t="inlineStr">
        <is>
          <t>HAGFORS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44951</v>
      </c>
      <c r="E433" s="1" t="n">
        <v>46265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46265</v>
      </c>
      <c r="F434" t="inlineStr">
        <is>
          <t>VÄRMLANDS LÄN</t>
        </is>
      </c>
      <c r="G434" t="inlineStr">
        <is>
          <t>HAGFORS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46265</v>
      </c>
      <c r="F435" t="inlineStr">
        <is>
          <t>VÄRMLANDS LÄN</t>
        </is>
      </c>
      <c r="G435" t="inlineStr">
        <is>
          <t>HAGFORS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46265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46265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19125-2024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45428</v>
      </c>
      <c r="E438" s="1" t="n">
        <v>46265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45335</v>
      </c>
      <c r="E439" s="1" t="n">
        <v>46265</v>
      </c>
      <c r="F439" t="inlineStr">
        <is>
          <t>VÄRMLANDS LÄN</t>
        </is>
      </c>
      <c r="G439" t="inlineStr">
        <is>
          <t>HAGFORS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17305-2023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45035</v>
      </c>
      <c r="E440" s="1" t="n">
        <v>46265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44567</v>
      </c>
      <c r="E441" s="1" t="n">
        <v>46265</v>
      </c>
      <c r="F441" t="inlineStr">
        <is>
          <t>VÄRMLANDS LÄN</t>
        </is>
      </c>
      <c r="G441" t="inlineStr">
        <is>
          <t>HAGFORS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46265</v>
      </c>
      <c r="F442" t="inlineStr">
        <is>
          <t>VÄRMLANDS LÄN</t>
        </is>
      </c>
      <c r="G442" t="inlineStr">
        <is>
          <t>HAGFORS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44622</v>
      </c>
      <c r="E443" s="1" t="n">
        <v>46265</v>
      </c>
      <c r="F443" t="inlineStr">
        <is>
          <t>VÄRMLANDS LÄN</t>
        </is>
      </c>
      <c r="G443" t="inlineStr">
        <is>
          <t>HAGFORS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45720</v>
      </c>
      <c r="E444" s="1" t="n">
        <v>46265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46265</v>
      </c>
      <c r="F445" t="inlineStr">
        <is>
          <t>VÄRMLANDS LÄN</t>
        </is>
      </c>
      <c r="G445" t="inlineStr">
        <is>
          <t>HAGFORS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46265</v>
      </c>
      <c r="F446" t="inlineStr">
        <is>
          <t>VÄRMLANDS LÄN</t>
        </is>
      </c>
      <c r="G446" t="inlineStr">
        <is>
          <t>HAGFORS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46265</v>
      </c>
      <c r="F447" t="inlineStr">
        <is>
          <t>VÄRMLANDS LÄN</t>
        </is>
      </c>
      <c r="G447" t="inlineStr">
        <is>
          <t>HAGFORS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46265</v>
      </c>
      <c r="F448" t="inlineStr">
        <is>
          <t>VÄRMLANDS LÄN</t>
        </is>
      </c>
      <c r="G448" t="inlineStr">
        <is>
          <t>HAGFORS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46265</v>
      </c>
      <c r="F449" t="inlineStr">
        <is>
          <t>VÄRMLANDS LÄN</t>
        </is>
      </c>
      <c r="G449" t="inlineStr">
        <is>
          <t>HAGFORS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46265</v>
      </c>
      <c r="F450" t="inlineStr">
        <is>
          <t>VÄRMLANDS LÄN</t>
        </is>
      </c>
      <c r="G450" t="inlineStr">
        <is>
          <t>HAGFORS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45145</v>
      </c>
      <c r="E451" s="1" t="n">
        <v>46265</v>
      </c>
      <c r="F451" t="inlineStr">
        <is>
          <t>VÄRMLANDS LÄN</t>
        </is>
      </c>
      <c r="G451" t="inlineStr">
        <is>
          <t>HAGFORS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45526</v>
      </c>
      <c r="E452" s="1" t="n">
        <v>46265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46265</v>
      </c>
      <c r="F453" t="inlineStr">
        <is>
          <t>VÄRMLANDS LÄN</t>
        </is>
      </c>
      <c r="G453" t="inlineStr">
        <is>
          <t>HAGFORS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46265</v>
      </c>
      <c r="F454" t="inlineStr">
        <is>
          <t>VÄRMLANDS LÄN</t>
        </is>
      </c>
      <c r="G454" t="inlineStr">
        <is>
          <t>HAGFORS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40692-2022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44824</v>
      </c>
      <c r="E455" s="1" t="n">
        <v>46265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46265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46265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46265</v>
      </c>
      <c r="F458" t="inlineStr">
        <is>
          <t>VÄRMLANDS LÄN</t>
        </is>
      </c>
      <c r="G458" t="inlineStr">
        <is>
          <t>HAGFORS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46265</v>
      </c>
      <c r="F459" t="inlineStr">
        <is>
          <t>VÄRMLANDS LÄN</t>
        </is>
      </c>
      <c r="G459" t="inlineStr">
        <is>
          <t>HAGFORS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44603</v>
      </c>
      <c r="E460" s="1" t="n">
        <v>46265</v>
      </c>
      <c r="F460" t="inlineStr">
        <is>
          <t>VÄRMLANDS LÄN</t>
        </is>
      </c>
      <c r="G460" t="inlineStr">
        <is>
          <t>HAGFORS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46265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46265</v>
      </c>
      <c r="F462" t="inlineStr">
        <is>
          <t>VÄRMLANDS LÄN</t>
        </is>
      </c>
      <c r="G462" t="inlineStr">
        <is>
          <t>HAGFORS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45559</v>
      </c>
      <c r="E463" s="1" t="n">
        <v>46265</v>
      </c>
      <c r="F463" t="inlineStr">
        <is>
          <t>VÄRMLANDS LÄN</t>
        </is>
      </c>
      <c r="G463" t="inlineStr">
        <is>
          <t>HAGFORS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45618</v>
      </c>
      <c r="E464" s="1" t="n">
        <v>46265</v>
      </c>
      <c r="F464" t="inlineStr">
        <is>
          <t>VÄRMLANDS LÄN</t>
        </is>
      </c>
      <c r="G464" t="inlineStr">
        <is>
          <t>HAGFORS</t>
        </is>
      </c>
      <c r="H464" t="inlineStr">
        <is>
          <t>Kyrkan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45069</v>
      </c>
      <c r="E465" s="1" t="n">
        <v>46265</v>
      </c>
      <c r="F465" t="inlineStr">
        <is>
          <t>VÄRMLANDS LÄN</t>
        </is>
      </c>
      <c r="G465" t="inlineStr">
        <is>
          <t>HAGFORS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45644</v>
      </c>
      <c r="E466" s="1" t="n">
        <v>46265</v>
      </c>
      <c r="F466" t="inlineStr">
        <is>
          <t>VÄRMLANDS LÄN</t>
        </is>
      </c>
      <c r="G466" t="inlineStr">
        <is>
          <t>HAGFORS</t>
        </is>
      </c>
      <c r="H466" t="inlineStr">
        <is>
          <t>Kyrkan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46265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46265</v>
      </c>
      <c r="F468" t="inlineStr">
        <is>
          <t>VÄRMLANDS LÄN</t>
        </is>
      </c>
      <c r="G468" t="inlineStr">
        <is>
          <t>HAGFORS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45506</v>
      </c>
      <c r="E469" s="1" t="n">
        <v>46265</v>
      </c>
      <c r="F469" t="inlineStr">
        <is>
          <t>VÄRMLANDS LÄN</t>
        </is>
      </c>
      <c r="G469" t="inlineStr">
        <is>
          <t>HAGFORS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45645</v>
      </c>
      <c r="E470" s="1" t="n">
        <v>46265</v>
      </c>
      <c r="F470" t="inlineStr">
        <is>
          <t>VÄRMLANDS LÄN</t>
        </is>
      </c>
      <c r="G470" t="inlineStr">
        <is>
          <t>HAGFORS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46265</v>
      </c>
      <c r="F471" t="inlineStr">
        <is>
          <t>VÄRMLANDS LÄN</t>
        </is>
      </c>
      <c r="G471" t="inlineStr">
        <is>
          <t>HAGFORS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15886-2022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44664</v>
      </c>
      <c r="E472" s="1" t="n">
        <v>46265</v>
      </c>
      <c r="F472" t="inlineStr">
        <is>
          <t>VÄRMLANDS LÄN</t>
        </is>
      </c>
      <c r="G472" t="inlineStr">
        <is>
          <t>HAGFORS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46265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46265</v>
      </c>
      <c r="F474" t="inlineStr">
        <is>
          <t>VÄRMLANDS LÄN</t>
        </is>
      </c>
      <c r="G474" t="inlineStr">
        <is>
          <t>HAGFORS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46265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46265</v>
      </c>
      <c r="F476" t="inlineStr">
        <is>
          <t>VÄRMLANDS LÄN</t>
        </is>
      </c>
      <c r="G476" t="inlineStr">
        <is>
          <t>HAGFORS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45659</v>
      </c>
      <c r="E477" s="1" t="n">
        <v>46265</v>
      </c>
      <c r="F477" t="inlineStr">
        <is>
          <t>VÄRMLANDS LÄN</t>
        </is>
      </c>
      <c r="G477" t="inlineStr">
        <is>
          <t>HAGFORS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46265</v>
      </c>
      <c r="F478" t="inlineStr">
        <is>
          <t>VÄRMLANDS LÄN</t>
        </is>
      </c>
      <c r="G478" t="inlineStr">
        <is>
          <t>HAGFORS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46265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46265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46265</v>
      </c>
      <c r="F481" t="inlineStr">
        <is>
          <t>VÄRMLANDS LÄN</t>
        </is>
      </c>
      <c r="G481" t="inlineStr">
        <is>
          <t>HAGFORS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46265</v>
      </c>
      <c r="F482" t="inlineStr">
        <is>
          <t>VÄRMLANDS LÄN</t>
        </is>
      </c>
      <c r="G482" t="inlineStr">
        <is>
          <t>HAGFORS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14667-2026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46265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46265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46265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45055</v>
      </c>
      <c r="E486" s="1" t="n">
        <v>46265</v>
      </c>
      <c r="F486" t="inlineStr">
        <is>
          <t>VÄRMLANDS LÄN</t>
        </is>
      </c>
      <c r="G486" t="inlineStr">
        <is>
          <t>HAGFORS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46265</v>
      </c>
      <c r="F487" t="inlineStr">
        <is>
          <t>VÄRMLANDS LÄN</t>
        </is>
      </c>
      <c r="G487" t="inlineStr">
        <is>
          <t>HAGFORS</t>
        </is>
      </c>
      <c r="H487" t="inlineStr">
        <is>
          <t>Kyrkan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46265</v>
      </c>
      <c r="F488" t="inlineStr">
        <is>
          <t>VÄRMLANDS LÄN</t>
        </is>
      </c>
      <c r="G488" t="inlineStr">
        <is>
          <t>HAGFORS</t>
        </is>
      </c>
      <c r="H488" t="inlineStr">
        <is>
          <t>Kyrkan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46265</v>
      </c>
      <c r="F489" t="inlineStr">
        <is>
          <t>VÄRMLANDS LÄN</t>
        </is>
      </c>
      <c r="G489" t="inlineStr">
        <is>
          <t>HAGFORS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46265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46265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46265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46265</v>
      </c>
      <c r="F493" t="inlineStr">
        <is>
          <t>VÄRMLANDS LÄN</t>
        </is>
      </c>
      <c r="G493" t="inlineStr">
        <is>
          <t>HAGFORS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46265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15639-2026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46265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46265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46265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9.4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46265</v>
      </c>
      <c r="F498" t="inlineStr">
        <is>
          <t>VÄRMLANDS LÄN</t>
        </is>
      </c>
      <c r="G498" t="inlineStr">
        <is>
          <t>HAGFORS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45232</v>
      </c>
      <c r="E499" s="1" t="n">
        <v>46265</v>
      </c>
      <c r="F499" t="inlineStr">
        <is>
          <t>VÄRMLANDS LÄN</t>
        </is>
      </c>
      <c r="G499" t="inlineStr">
        <is>
          <t>HAGFORS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46265</v>
      </c>
      <c r="F500" t="inlineStr">
        <is>
          <t>VÄRMLANDS LÄN</t>
        </is>
      </c>
      <c r="G500" t="inlineStr">
        <is>
          <t>HAGFORS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45716</v>
      </c>
      <c r="E501" s="1" t="n">
        <v>46265</v>
      </c>
      <c r="F501" t="inlineStr">
        <is>
          <t>VÄRMLANDS LÄN</t>
        </is>
      </c>
      <c r="G501" t="inlineStr">
        <is>
          <t>HAGFORS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46265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45226</v>
      </c>
      <c r="E503" s="1" t="n">
        <v>46265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45385</v>
      </c>
      <c r="E504" s="1" t="n">
        <v>46265</v>
      </c>
      <c r="F504" t="inlineStr">
        <is>
          <t>VÄRMLANDS LÄN</t>
        </is>
      </c>
      <c r="G504" t="inlineStr">
        <is>
          <t>HAGFORS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8496-2022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44613</v>
      </c>
      <c r="E505" s="1" t="n">
        <v>46265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46265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46265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45692</v>
      </c>
      <c r="E508" s="1" t="n">
        <v>46265</v>
      </c>
      <c r="F508" t="inlineStr">
        <is>
          <t>VÄRMLANDS LÄN</t>
        </is>
      </c>
      <c r="G508" t="inlineStr">
        <is>
          <t>HAGFORS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46265</v>
      </c>
      <c r="F509" t="inlineStr">
        <is>
          <t>VÄRMLANDS LÄN</t>
        </is>
      </c>
      <c r="G509" t="inlineStr">
        <is>
          <t>HAGFORS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45149</v>
      </c>
      <c r="E510" s="1" t="n">
        <v>46265</v>
      </c>
      <c r="F510" t="inlineStr">
        <is>
          <t>VÄRMLANDS LÄN</t>
        </is>
      </c>
      <c r="G510" t="inlineStr">
        <is>
          <t>HAGFORS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17815-2026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46265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46265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45703</v>
      </c>
      <c r="E513" s="1" t="n">
        <v>46265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15.9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46265</v>
      </c>
      <c r="F514" t="inlineStr">
        <is>
          <t>VÄRMLANDS LÄN</t>
        </is>
      </c>
      <c r="G514" t="inlineStr">
        <is>
          <t>HAGFORS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46265</v>
      </c>
      <c r="F515" t="inlineStr">
        <is>
          <t>VÄRMLANDS LÄN</t>
        </is>
      </c>
      <c r="G515" t="inlineStr">
        <is>
          <t>HAGFORS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46265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18699-2022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44687</v>
      </c>
      <c r="E517" s="1" t="n">
        <v>46265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46265</v>
      </c>
      <c r="F518" t="inlineStr">
        <is>
          <t>VÄRMLANDS LÄN</t>
        </is>
      </c>
      <c r="G518" t="inlineStr">
        <is>
          <t>HAGFORS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18528-2026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46127</v>
      </c>
      <c r="E519" s="1" t="n">
        <v>46265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46265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46265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46129</v>
      </c>
      <c r="E522" s="1" t="n">
        <v>46265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46129</v>
      </c>
      <c r="E523" s="1" t="n">
        <v>46265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46265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46133</v>
      </c>
      <c r="E525" s="1" t="n">
        <v>46265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46265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46265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46133</v>
      </c>
      <c r="E528" s="1" t="n">
        <v>46265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46265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46265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46265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45684</v>
      </c>
      <c r="E532" s="1" t="n">
        <v>46265</v>
      </c>
      <c r="F532" t="inlineStr">
        <is>
          <t>VÄRMLANDS LÄN</t>
        </is>
      </c>
      <c r="G532" t="inlineStr">
        <is>
          <t>HAGFORS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46265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45172</v>
      </c>
      <c r="E534" s="1" t="n">
        <v>46265</v>
      </c>
      <c r="F534" t="inlineStr">
        <is>
          <t>VÄRMLANDS LÄN</t>
        </is>
      </c>
      <c r="G534" t="inlineStr">
        <is>
          <t>HAGFORS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52224-2023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45224</v>
      </c>
      <c r="E535" s="1" t="n">
        <v>46265</v>
      </c>
      <c r="F535" t="inlineStr">
        <is>
          <t>VÄRMLANDS LÄN</t>
        </is>
      </c>
      <c r="G535" t="inlineStr">
        <is>
          <t>HAGFORS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28571-2025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45819</v>
      </c>
      <c r="E536" s="1" t="n">
        <v>46265</v>
      </c>
      <c r="F536" t="inlineStr">
        <is>
          <t>VÄRMLANDS LÄN</t>
        </is>
      </c>
      <c r="G536" t="inlineStr">
        <is>
          <t>HAGFORS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46265</v>
      </c>
      <c r="F537" t="inlineStr">
        <is>
          <t>VÄRMLANDS LÄN</t>
        </is>
      </c>
      <c r="G537" t="inlineStr">
        <is>
          <t>HAGFORS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46265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46265</v>
      </c>
      <c r="F539" t="inlineStr">
        <is>
          <t>VÄRMLANDS LÄN</t>
        </is>
      </c>
      <c r="G539" t="inlineStr">
        <is>
          <t>HAGFORS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32688-2025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46265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46265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45097</v>
      </c>
      <c r="E542" s="1" t="n">
        <v>46265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61232-2024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45645</v>
      </c>
      <c r="E543" s="1" t="n">
        <v>46265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45279</v>
      </c>
      <c r="E544" s="1" t="n">
        <v>46265</v>
      </c>
      <c r="F544" t="inlineStr">
        <is>
          <t>VÄRMLANDS LÄN</t>
        </is>
      </c>
      <c r="G544" t="inlineStr">
        <is>
          <t>HAGFORS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45741</v>
      </c>
      <c r="E545" s="1" t="n">
        <v>46265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45833</v>
      </c>
      <c r="E546" s="1" t="n">
        <v>46265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46265</v>
      </c>
      <c r="F547" t="inlineStr">
        <is>
          <t>VÄRMLANDS LÄN</t>
        </is>
      </c>
      <c r="G547" t="inlineStr">
        <is>
          <t>HAGFORS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45723</v>
      </c>
      <c r="E548" s="1" t="n">
        <v>46265</v>
      </c>
      <c r="F548" t="inlineStr">
        <is>
          <t>VÄRMLANDS LÄN</t>
        </is>
      </c>
      <c r="G548" t="inlineStr">
        <is>
          <t>HAGFORS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45725</v>
      </c>
      <c r="E549" s="1" t="n">
        <v>46265</v>
      </c>
      <c r="F549" t="inlineStr">
        <is>
          <t>VÄRMLANDS LÄN</t>
        </is>
      </c>
      <c r="G549" t="inlineStr">
        <is>
          <t>HAGFORS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44763</v>
      </c>
      <c r="E550" s="1" t="n">
        <v>46265</v>
      </c>
      <c r="F550" t="inlineStr">
        <is>
          <t>VÄRMLANDS LÄN</t>
        </is>
      </c>
      <c r="G550" t="inlineStr">
        <is>
          <t>HAGFORS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46265</v>
      </c>
      <c r="F551" t="inlineStr">
        <is>
          <t>VÄRMLANDS LÄN</t>
        </is>
      </c>
      <c r="G551" t="inlineStr">
        <is>
          <t>HAGFORS</t>
        </is>
      </c>
      <c r="H551" t="inlineStr">
        <is>
          <t>Kyrkan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45783</v>
      </c>
      <c r="E552" s="1" t="n">
        <v>46265</v>
      </c>
      <c r="F552" t="inlineStr">
        <is>
          <t>VÄRMLANDS LÄN</t>
        </is>
      </c>
      <c r="G552" t="inlineStr">
        <is>
          <t>HAGFORS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19993-2026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46136</v>
      </c>
      <c r="E553" s="1" t="n">
        <v>46265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46265</v>
      </c>
      <c r="F554" t="inlineStr">
        <is>
          <t>VÄRMLANDS LÄN</t>
        </is>
      </c>
      <c r="G554" t="inlineStr">
        <is>
          <t>HAGFORS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45087</v>
      </c>
      <c r="E555" s="1" t="n">
        <v>46265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46265</v>
      </c>
      <c r="F556" t="inlineStr">
        <is>
          <t>VÄRMLANDS LÄN</t>
        </is>
      </c>
      <c r="G556" t="inlineStr">
        <is>
          <t>HAGFORS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44595</v>
      </c>
      <c r="E557" s="1" t="n">
        <v>46265</v>
      </c>
      <c r="F557" t="inlineStr">
        <is>
          <t>VÄRMLANDS LÄN</t>
        </is>
      </c>
      <c r="G557" t="inlineStr">
        <is>
          <t>HAGFORS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46265</v>
      </c>
      <c r="F558" t="inlineStr">
        <is>
          <t>VÄRMLANDS LÄN</t>
        </is>
      </c>
      <c r="G558" t="inlineStr">
        <is>
          <t>HAGFORS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33187-2025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45840</v>
      </c>
      <c r="E559" s="1" t="n">
        <v>46265</v>
      </c>
      <c r="F559" t="inlineStr">
        <is>
          <t>VÄRMLANDS LÄN</t>
        </is>
      </c>
      <c r="G559" t="inlineStr">
        <is>
          <t>HAGFORS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45450</v>
      </c>
      <c r="E560" s="1" t="n">
        <v>46265</v>
      </c>
      <c r="F560" t="inlineStr">
        <is>
          <t>VÄRMLANDS LÄN</t>
        </is>
      </c>
      <c r="G560" t="inlineStr">
        <is>
          <t>HAGFORS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30327-2022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44760</v>
      </c>
      <c r="E561" s="1" t="n">
        <v>46265</v>
      </c>
      <c r="F561" t="inlineStr">
        <is>
          <t>VÄRMLANDS LÄN</t>
        </is>
      </c>
      <c r="G561" t="inlineStr">
        <is>
          <t>HAGFORS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46265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45847</v>
      </c>
      <c r="E563" s="1" t="n">
        <v>46265</v>
      </c>
      <c r="F563" t="inlineStr">
        <is>
          <t>VÄRMLANDS LÄN</t>
        </is>
      </c>
      <c r="G563" t="inlineStr">
        <is>
          <t>HAGFORS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45212</v>
      </c>
      <c r="E564" s="1" t="n">
        <v>46265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44776</v>
      </c>
      <c r="E565" s="1" t="n">
        <v>46265</v>
      </c>
      <c r="F565" t="inlineStr">
        <is>
          <t>VÄRMLANDS LÄN</t>
        </is>
      </c>
      <c r="G565" t="inlineStr">
        <is>
          <t>HAGFORS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46265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45673</v>
      </c>
      <c r="E567" s="1" t="n">
        <v>46265</v>
      </c>
      <c r="F567" t="inlineStr">
        <is>
          <t>VÄRMLANDS LÄN</t>
        </is>
      </c>
      <c r="G567" t="inlineStr">
        <is>
          <t>HAGFORS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63868-2025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46020</v>
      </c>
      <c r="E568" s="1" t="n">
        <v>46265</v>
      </c>
      <c r="F568" t="inlineStr">
        <is>
          <t>VÄRMLANDS LÄN</t>
        </is>
      </c>
      <c r="G568" t="inlineStr">
        <is>
          <t>HAGFORS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45476</v>
      </c>
      <c r="E569" s="1" t="n">
        <v>46265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45534</v>
      </c>
      <c r="E570" s="1" t="n">
        <v>46265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45509</v>
      </c>
      <c r="E571" s="1" t="n">
        <v>46265</v>
      </c>
      <c r="F571" t="inlineStr">
        <is>
          <t>VÄRMLANDS LÄN</t>
        </is>
      </c>
      <c r="G571" t="inlineStr">
        <is>
          <t>HAGFORS</t>
        </is>
      </c>
      <c r="H571" t="inlineStr">
        <is>
          <t>Kommuner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45562</v>
      </c>
      <c r="E572" s="1" t="n">
        <v>46265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60178-2023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45258</v>
      </c>
      <c r="E573" s="1" t="n">
        <v>46265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45484</v>
      </c>
      <c r="E574" s="1" t="n">
        <v>46265</v>
      </c>
      <c r="F574" t="inlineStr">
        <is>
          <t>VÄRMLANDS LÄN</t>
        </is>
      </c>
      <c r="G574" t="inlineStr">
        <is>
          <t>HAGFORS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45400</v>
      </c>
      <c r="E575" s="1" t="n">
        <v>46265</v>
      </c>
      <c r="F575" t="inlineStr">
        <is>
          <t>VÄRMLANDS LÄN</t>
        </is>
      </c>
      <c r="G575" t="inlineStr">
        <is>
          <t>HAGFORS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46265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8304-2022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46265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55447-2022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44887</v>
      </c>
      <c r="E578" s="1" t="n">
        <v>46265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44953</v>
      </c>
      <c r="E579" s="1" t="n">
        <v>46265</v>
      </c>
      <c r="F579" t="inlineStr">
        <is>
          <t>VÄRMLANDS LÄN</t>
        </is>
      </c>
      <c r="G579" t="inlineStr">
        <is>
          <t>HAGFORS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44951</v>
      </c>
      <c r="E580" s="1" t="n">
        <v>46265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20260-2026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46265</v>
      </c>
      <c r="F581" t="inlineStr">
        <is>
          <t>VÄRMLANDS LÄN</t>
        </is>
      </c>
      <c r="G581" t="inlineStr">
        <is>
          <t>HAGFORS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45839</v>
      </c>
      <c r="E582" s="1" t="n">
        <v>46265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23179-2025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46265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44649</v>
      </c>
      <c r="E584" s="1" t="n">
        <v>46265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36764-2025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45873</v>
      </c>
      <c r="E585" s="1" t="n">
        <v>46265</v>
      </c>
      <c r="F585" t="inlineStr">
        <is>
          <t>VÄRMLANDS LÄN</t>
        </is>
      </c>
      <c r="G585" t="inlineStr">
        <is>
          <t>HAGFORS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61902-2021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44502</v>
      </c>
      <c r="E586" s="1" t="n">
        <v>46265</v>
      </c>
      <c r="F586" t="inlineStr">
        <is>
          <t>VÄRMLANDS LÄN</t>
        </is>
      </c>
      <c r="G586" t="inlineStr">
        <is>
          <t>HAGFORS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58307-2023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46265</v>
      </c>
      <c r="F587" t="inlineStr">
        <is>
          <t>VÄRMLANDS LÄN</t>
        </is>
      </c>
      <c r="G587" t="inlineStr">
        <is>
          <t>HAGFORS</t>
        </is>
      </c>
      <c r="H587" t="inlineStr">
        <is>
          <t>Kommuner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11104-2022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44628</v>
      </c>
      <c r="E588" s="1" t="n">
        <v>46265</v>
      </c>
      <c r="F588" t="inlineStr">
        <is>
          <t>VÄRMLANDS LÄN</t>
        </is>
      </c>
      <c r="G588" t="inlineStr">
        <is>
          <t>HAGFORS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45166</v>
      </c>
      <c r="E589" s="1" t="n">
        <v>46265</v>
      </c>
      <c r="F589" t="inlineStr">
        <is>
          <t>VÄRMLANDS LÄN</t>
        </is>
      </c>
      <c r="G589" t="inlineStr">
        <is>
          <t>HAGFORS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60664-2023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45259</v>
      </c>
      <c r="E590" s="1" t="n">
        <v>46265</v>
      </c>
      <c r="F590" t="inlineStr">
        <is>
          <t>VÄRMLANDS LÄN</t>
        </is>
      </c>
      <c r="G590" t="inlineStr">
        <is>
          <t>HAGFORS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46140</v>
      </c>
      <c r="E591" s="1" t="n">
        <v>46265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46140</v>
      </c>
      <c r="E592" s="1" t="n">
        <v>46265</v>
      </c>
      <c r="F592" t="inlineStr">
        <is>
          <t>VÄRMLANDS LÄN</t>
        </is>
      </c>
      <c r="G592" t="inlineStr">
        <is>
          <t>HAGFORS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8820-2024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45356</v>
      </c>
      <c r="E593" s="1" t="n">
        <v>46265</v>
      </c>
      <c r="F593" t="inlineStr">
        <is>
          <t>VÄRMLANDS LÄN</t>
        </is>
      </c>
      <c r="G593" t="inlineStr">
        <is>
          <t>HAGFORS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44566</v>
      </c>
      <c r="E594" s="1" t="n">
        <v>46265</v>
      </c>
      <c r="F594" t="inlineStr">
        <is>
          <t>VÄRMLANDS LÄN</t>
        </is>
      </c>
      <c r="G594" t="inlineStr">
        <is>
          <t>HAGFORS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59048-2022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44903</v>
      </c>
      <c r="E595" s="1" t="n">
        <v>46265</v>
      </c>
      <c r="F595" t="inlineStr">
        <is>
          <t>VÄRMLANDS LÄN</t>
        </is>
      </c>
      <c r="G595" t="inlineStr">
        <is>
          <t>HAGFORS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45106</v>
      </c>
      <c r="E596" s="1" t="n">
        <v>46265</v>
      </c>
      <c r="F596" t="inlineStr">
        <is>
          <t>VÄRMLANDS LÄN</t>
        </is>
      </c>
      <c r="G596" t="inlineStr">
        <is>
          <t>HAGFORS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60221-2023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45258</v>
      </c>
      <c r="E597" s="1" t="n">
        <v>46265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46265</v>
      </c>
      <c r="F598" t="inlineStr">
        <is>
          <t>VÄRMLANDS LÄN</t>
        </is>
      </c>
      <c r="G598" t="inlineStr">
        <is>
          <t>HAGFORS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45147</v>
      </c>
      <c r="E599" s="1" t="n">
        <v>46265</v>
      </c>
      <c r="F599" t="inlineStr">
        <is>
          <t>VÄRMLANDS LÄN</t>
        </is>
      </c>
      <c r="G599" t="inlineStr">
        <is>
          <t>HAGFORS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46265</v>
      </c>
      <c r="F600" t="inlineStr">
        <is>
          <t>VÄRMLANDS LÄN</t>
        </is>
      </c>
      <c r="G600" t="inlineStr">
        <is>
          <t>HAGFORS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45581</v>
      </c>
      <c r="E601" s="1" t="n">
        <v>46265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45678</v>
      </c>
      <c r="E602" s="1" t="n">
        <v>46265</v>
      </c>
      <c r="F602" t="inlineStr">
        <is>
          <t>VÄRMLANDS LÄN</t>
        </is>
      </c>
      <c r="G602" t="inlineStr">
        <is>
          <t>HAGFORS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46265</v>
      </c>
      <c r="F603" t="inlineStr">
        <is>
          <t>VÄRMLANDS LÄN</t>
        </is>
      </c>
      <c r="G603" t="inlineStr">
        <is>
          <t>HAGFORS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46265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46208-2023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45196</v>
      </c>
      <c r="E605" s="1" t="n">
        <v>46265</v>
      </c>
      <c r="F605" t="inlineStr">
        <is>
          <t>VÄRMLANDS LÄN</t>
        </is>
      </c>
      <c r="G605" t="inlineStr">
        <is>
          <t>HAGFORS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29373-2023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46265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4279-2024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46265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52378-2021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44465</v>
      </c>
      <c r="E608" s="1" t="n">
        <v>46265</v>
      </c>
      <c r="F608" t="inlineStr">
        <is>
          <t>VÄRMLANDS LÄN</t>
        </is>
      </c>
      <c r="G608" t="inlineStr">
        <is>
          <t>HAGFORS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46140</v>
      </c>
      <c r="E609" s="1" t="n">
        <v>46265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46265</v>
      </c>
      <c r="F610" t="inlineStr">
        <is>
          <t>VÄRMLANDS LÄN</t>
        </is>
      </c>
      <c r="G610" t="inlineStr">
        <is>
          <t>HAGFORS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42223-2022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44830</v>
      </c>
      <c r="E611" s="1" t="n">
        <v>46265</v>
      </c>
      <c r="F611" t="inlineStr">
        <is>
          <t>VÄRMLANDS LÄN</t>
        </is>
      </c>
      <c r="G611" t="inlineStr">
        <is>
          <t>HAGFORS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45036</v>
      </c>
      <c r="E612" s="1" t="n">
        <v>46265</v>
      </c>
      <c r="F612" t="inlineStr">
        <is>
          <t>VÄRMLANDS LÄN</t>
        </is>
      </c>
      <c r="G612" t="inlineStr">
        <is>
          <t>HAGFORS</t>
        </is>
      </c>
      <c r="H612" t="inlineStr">
        <is>
          <t>Kommuner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26615-2024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45469</v>
      </c>
      <c r="E613" s="1" t="n">
        <v>46265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45469</v>
      </c>
      <c r="E614" s="1" t="n">
        <v>46265</v>
      </c>
      <c r="F614" t="inlineStr">
        <is>
          <t>VÄRMLANDS LÄN</t>
        </is>
      </c>
      <c r="G614" t="inlineStr">
        <is>
          <t>HAGFORS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46265</v>
      </c>
      <c r="F615" t="inlineStr">
        <is>
          <t>VÄRMLANDS LÄN</t>
        </is>
      </c>
      <c r="G615" t="inlineStr">
        <is>
          <t>HAGFORS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45112</v>
      </c>
      <c r="E616" s="1" t="n">
        <v>46265</v>
      </c>
      <c r="F616" t="inlineStr">
        <is>
          <t>VÄRMLANDS LÄN</t>
        </is>
      </c>
      <c r="G616" t="inlineStr">
        <is>
          <t>HAGFORS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46265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46265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20759-2026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46141</v>
      </c>
      <c r="E619" s="1" t="n">
        <v>46265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61265-2022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44915</v>
      </c>
      <c r="E620" s="1" t="n">
        <v>46265</v>
      </c>
      <c r="F620" t="inlineStr">
        <is>
          <t>VÄRMLANDS LÄN</t>
        </is>
      </c>
      <c r="G620" t="inlineStr">
        <is>
          <t>HAGFORS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46265</v>
      </c>
      <c r="F621" t="inlineStr">
        <is>
          <t>VÄRMLANDS LÄN</t>
        </is>
      </c>
      <c r="G621" t="inlineStr">
        <is>
          <t>HAGFORS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68252-2021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44526</v>
      </c>
      <c r="E622" s="1" t="n">
        <v>46265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59092-2022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46265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45057</v>
      </c>
      <c r="E624" s="1" t="n">
        <v>46265</v>
      </c>
      <c r="F624" t="inlineStr">
        <is>
          <t>VÄRMLANDS LÄN</t>
        </is>
      </c>
      <c r="G624" t="inlineStr">
        <is>
          <t>HAGFORS</t>
        </is>
      </c>
      <c r="H624" t="inlineStr">
        <is>
          <t>Kyrkan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20752-2026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46141</v>
      </c>
      <c r="E625" s="1" t="n">
        <v>46265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46265</v>
      </c>
      <c r="F626" t="inlineStr">
        <is>
          <t>VÄRMLANDS LÄN</t>
        </is>
      </c>
      <c r="G626" t="inlineStr">
        <is>
          <t>HAGFORS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45510</v>
      </c>
      <c r="E627" s="1" t="n">
        <v>46265</v>
      </c>
      <c r="F627" t="inlineStr">
        <is>
          <t>VÄRMLANDS LÄN</t>
        </is>
      </c>
      <c r="G627" t="inlineStr">
        <is>
          <t>HAGFORS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20880-2026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46142</v>
      </c>
      <c r="E628" s="1" t="n">
        <v>46265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53192-2022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44876</v>
      </c>
      <c r="E629" s="1" t="n">
        <v>46265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20798-2026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46141</v>
      </c>
      <c r="E630" s="1" t="n">
        <v>46265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45769</v>
      </c>
      <c r="E631" s="1" t="n">
        <v>46265</v>
      </c>
      <c r="F631" t="inlineStr">
        <is>
          <t>VÄRMLANDS LÄN</t>
        </is>
      </c>
      <c r="G631" t="inlineStr">
        <is>
          <t>HAGFORS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46265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45673</v>
      </c>
      <c r="E633" s="1" t="n">
        <v>46265</v>
      </c>
      <c r="F633" t="inlineStr">
        <is>
          <t>VÄRMLANDS LÄN</t>
        </is>
      </c>
      <c r="G633" t="inlineStr">
        <is>
          <t>HAGFORS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45419</v>
      </c>
      <c r="E634" s="1" t="n">
        <v>46265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45308</v>
      </c>
      <c r="E635" s="1" t="n">
        <v>46265</v>
      </c>
      <c r="F635" t="inlineStr">
        <is>
          <t>VÄRMLANDS LÄN</t>
        </is>
      </c>
      <c r="G635" t="inlineStr">
        <is>
          <t>HAGFORS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36013-2023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45149</v>
      </c>
      <c r="E636" s="1" t="n">
        <v>46265</v>
      </c>
      <c r="F636" t="inlineStr">
        <is>
          <t>VÄRMLANDS LÄN</t>
        </is>
      </c>
      <c r="G636" t="inlineStr">
        <is>
          <t>HAGFORS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56895-2023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45244</v>
      </c>
      <c r="E637" s="1" t="n">
        <v>46265</v>
      </c>
      <c r="F637" t="inlineStr">
        <is>
          <t>VÄRMLANDS LÄN</t>
        </is>
      </c>
      <c r="G637" t="inlineStr">
        <is>
          <t>HAGFORS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45147</v>
      </c>
      <c r="E638" s="1" t="n">
        <v>46265</v>
      </c>
      <c r="F638" t="inlineStr">
        <is>
          <t>VÄRMLANDS LÄN</t>
        </is>
      </c>
      <c r="G638" t="inlineStr">
        <is>
          <t>HAGFORS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45699</v>
      </c>
      <c r="E639" s="1" t="n">
        <v>46265</v>
      </c>
      <c r="F639" t="inlineStr">
        <is>
          <t>VÄRMLANDS LÄN</t>
        </is>
      </c>
      <c r="G639" t="inlineStr">
        <is>
          <t>HAGFORS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21309-2023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46265</v>
      </c>
      <c r="F640" t="inlineStr">
        <is>
          <t>VÄRMLANDS LÄN</t>
        </is>
      </c>
      <c r="G640" t="inlineStr">
        <is>
          <t>HAGFORS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45328</v>
      </c>
      <c r="E641" s="1" t="n">
        <v>46265</v>
      </c>
      <c r="F641" t="inlineStr">
        <is>
          <t>VÄRMLANDS LÄN</t>
        </is>
      </c>
      <c r="G641" t="inlineStr">
        <is>
          <t>HAGFORS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45386</v>
      </c>
      <c r="E642" s="1" t="n">
        <v>46265</v>
      </c>
      <c r="F642" t="inlineStr">
        <is>
          <t>VÄRMLANDS LÄN</t>
        </is>
      </c>
      <c r="G642" t="inlineStr">
        <is>
          <t>HAGFORS</t>
        </is>
      </c>
      <c r="H642" t="inlineStr">
        <is>
          <t>Kommuner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48276-2024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45590</v>
      </c>
      <c r="E643" s="1" t="n">
        <v>46265</v>
      </c>
      <c r="F643" t="inlineStr">
        <is>
          <t>VÄRMLANDS LÄN</t>
        </is>
      </c>
      <c r="G643" t="inlineStr">
        <is>
          <t>HAGFORS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57159-2024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45629</v>
      </c>
      <c r="E644" s="1" t="n">
        <v>46265</v>
      </c>
      <c r="F644" t="inlineStr">
        <is>
          <t>VÄRMLANDS LÄN</t>
        </is>
      </c>
      <c r="G644" t="inlineStr">
        <is>
          <t>HAGFORS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46265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46265</v>
      </c>
      <c r="F646" t="inlineStr">
        <is>
          <t>VÄRMLANDS LÄN</t>
        </is>
      </c>
      <c r="G646" t="inlineStr">
        <is>
          <t>HAGFORS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46265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46265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33146-2024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46265</v>
      </c>
      <c r="F649" t="inlineStr">
        <is>
          <t>VÄRMLANDS LÄN</t>
        </is>
      </c>
      <c r="G649" t="inlineStr">
        <is>
          <t>HAGFORS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51346-2022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44869</v>
      </c>
      <c r="E650" s="1" t="n">
        <v>46265</v>
      </c>
      <c r="F650" t="inlineStr">
        <is>
          <t>VÄRMLANDS LÄN</t>
        </is>
      </c>
      <c r="G650" t="inlineStr">
        <is>
          <t>HAGFORS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45510</v>
      </c>
      <c r="E651" s="1" t="n">
        <v>46265</v>
      </c>
      <c r="F651" t="inlineStr">
        <is>
          <t>VÄRMLANDS LÄN</t>
        </is>
      </c>
      <c r="G651" t="inlineStr">
        <is>
          <t>HAGFORS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46265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46265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46149</v>
      </c>
      <c r="E654" s="1" t="n">
        <v>46265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21762-2026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46150</v>
      </c>
      <c r="E655" s="1" t="n">
        <v>46265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46265</v>
      </c>
      <c r="F656" t="inlineStr">
        <is>
          <t>VÄRMLANDS LÄN</t>
        </is>
      </c>
      <c r="G656" t="inlineStr">
        <is>
          <t>HAGFORS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45351</v>
      </c>
      <c r="E657" s="1" t="n">
        <v>46265</v>
      </c>
      <c r="F657" t="inlineStr">
        <is>
          <t>VÄRMLANDS LÄN</t>
        </is>
      </c>
      <c r="G657" t="inlineStr">
        <is>
          <t>HAGFORS</t>
        </is>
      </c>
      <c r="H657" t="inlineStr">
        <is>
          <t>Kyrkan</t>
        </is>
      </c>
      <c r="I657" t="n">
        <v>10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46265</v>
      </c>
      <c r="F658" t="inlineStr">
        <is>
          <t>VÄRMLANDS LÄN</t>
        </is>
      </c>
      <c r="G658" t="inlineStr">
        <is>
          <t>HAGFORS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35775-2024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45532</v>
      </c>
      <c r="E659" s="1" t="n">
        <v>46265</v>
      </c>
      <c r="F659" t="inlineStr">
        <is>
          <t>VÄRMLANDS LÄN</t>
        </is>
      </c>
      <c r="G659" t="inlineStr">
        <is>
          <t>HAGFORS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46265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45238-2024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45575</v>
      </c>
      <c r="E661" s="1" t="n">
        <v>46265</v>
      </c>
      <c r="F661" t="inlineStr">
        <is>
          <t>VÄRMLANDS LÄN</t>
        </is>
      </c>
      <c r="G661" t="inlineStr">
        <is>
          <t>HAGFORS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46265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46265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46265</v>
      </c>
      <c r="F664" t="inlineStr">
        <is>
          <t>VÄRMLANDS LÄN</t>
        </is>
      </c>
      <c r="G664" t="inlineStr">
        <is>
          <t>HAGFORS</t>
        </is>
      </c>
      <c r="I664" t="n">
        <v>9.1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26777-2023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45093</v>
      </c>
      <c r="E665" s="1" t="n">
        <v>46265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46265</v>
      </c>
      <c r="F666" t="inlineStr">
        <is>
          <t>VÄRMLANDS LÄN</t>
        </is>
      </c>
      <c r="G666" t="inlineStr">
        <is>
          <t>HAGFORS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46265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6.7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22648-2026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46155</v>
      </c>
      <c r="E668" s="1" t="n">
        <v>46265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46265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46265</v>
      </c>
      <c r="F670" t="inlineStr">
        <is>
          <t>VÄRMLANDS LÄN</t>
        </is>
      </c>
      <c r="G670" t="inlineStr">
        <is>
          <t>HAGFORS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45684</v>
      </c>
      <c r="E671" s="1" t="n">
        <v>46265</v>
      </c>
      <c r="F671" t="inlineStr">
        <is>
          <t>VÄRMLANDS LÄN</t>
        </is>
      </c>
      <c r="G671" t="inlineStr">
        <is>
          <t>HAGFORS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45433</v>
      </c>
      <c r="E672" s="1" t="n">
        <v>46265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45335</v>
      </c>
      <c r="E673" s="1" t="n">
        <v>46265</v>
      </c>
      <c r="F673" t="inlineStr">
        <is>
          <t>VÄRMLANDS LÄN</t>
        </is>
      </c>
      <c r="G673" t="inlineStr">
        <is>
          <t>HAGFORS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45323</v>
      </c>
      <c r="E674" s="1" t="n">
        <v>46265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46265</v>
      </c>
      <c r="F675" t="inlineStr">
        <is>
          <t>VÄRMLANDS LÄN</t>
        </is>
      </c>
      <c r="G675" t="inlineStr">
        <is>
          <t>HAGFORS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42173-2024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45562</v>
      </c>
      <c r="E676" s="1" t="n">
        <v>46265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42178-2024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45562</v>
      </c>
      <c r="E677" s="1" t="n">
        <v>46265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42235-2024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45562</v>
      </c>
      <c r="E678" s="1" t="n">
        <v>46265</v>
      </c>
      <c r="F678" t="inlineStr">
        <is>
          <t>VÄRMLANDS LÄN</t>
        </is>
      </c>
      <c r="G678" t="inlineStr">
        <is>
          <t>HAGFORS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46160</v>
      </c>
      <c r="E679" s="1" t="n">
        <v>46265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22911-2026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46160</v>
      </c>
      <c r="E680" s="1" t="n">
        <v>46265</v>
      </c>
      <c r="F680" t="inlineStr">
        <is>
          <t>VÄRMLANDS LÄN</t>
        </is>
      </c>
      <c r="G680" t="inlineStr">
        <is>
          <t>HAGFORS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22925-2026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46160</v>
      </c>
      <c r="E681" s="1" t="n">
        <v>46265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23129-2026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46161</v>
      </c>
      <c r="E682" s="1" t="n">
        <v>46265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46161</v>
      </c>
      <c r="E683" s="1" t="n">
        <v>46265</v>
      </c>
      <c r="F683" t="inlineStr">
        <is>
          <t>VÄRMLANDS LÄN</t>
        </is>
      </c>
      <c r="G683" t="inlineStr">
        <is>
          <t>HAGFORS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46265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23269-2026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46162</v>
      </c>
      <c r="E685" s="1" t="n">
        <v>46265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23525-2026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46265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46265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23728-2026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46164</v>
      </c>
      <c r="E688" s="1" t="n">
        <v>46265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31087-2024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45502</v>
      </c>
      <c r="E689" s="1" t="n">
        <v>46265</v>
      </c>
      <c r="F689" t="inlineStr">
        <is>
          <t>VÄRMLANDS LÄN</t>
        </is>
      </c>
      <c r="G689" t="inlineStr">
        <is>
          <t>HAGFORS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23678-2026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46164</v>
      </c>
      <c r="E690" s="1" t="n">
        <v>46265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51015-2025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45947</v>
      </c>
      <c r="E691" s="1" t="n">
        <v>46265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36494-2025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45869</v>
      </c>
      <c r="E692" s="1" t="n">
        <v>46265</v>
      </c>
      <c r="F692" t="inlineStr">
        <is>
          <t>VÄRMLANDS LÄN</t>
        </is>
      </c>
      <c r="G692" t="inlineStr">
        <is>
          <t>HAGFORS</t>
        </is>
      </c>
      <c r="H692" t="inlineStr">
        <is>
          <t>Kyrkan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46265</v>
      </c>
      <c r="F693" t="inlineStr">
        <is>
          <t>VÄRMLANDS LÄN</t>
        </is>
      </c>
      <c r="G693" t="inlineStr">
        <is>
          <t>HAGFORS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46265</v>
      </c>
      <c r="F694" t="inlineStr">
        <is>
          <t>VÄRMLANDS LÄN</t>
        </is>
      </c>
      <c r="G694" t="inlineStr">
        <is>
          <t>HAGFORS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46265</v>
      </c>
      <c r="F695" t="inlineStr">
        <is>
          <t>VÄRMLANDS LÄN</t>
        </is>
      </c>
      <c r="G695" t="inlineStr">
        <is>
          <t>HAGFORS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24238-2026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46265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24625-2026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46171</v>
      </c>
      <c r="E697" s="1" t="n">
        <v>46265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24699-2026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46171</v>
      </c>
      <c r="E698" s="1" t="n">
        <v>46265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24713-2026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46171</v>
      </c>
      <c r="E699" s="1" t="n">
        <v>46265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24778-2026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46171</v>
      </c>
      <c r="E700" s="1" t="n">
        <v>46265</v>
      </c>
      <c r="F700" t="inlineStr">
        <is>
          <t>VÄRMLANDS LÄN</t>
        </is>
      </c>
      <c r="G700" t="inlineStr">
        <is>
          <t>HAGFORS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24761-2026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46171</v>
      </c>
      <c r="E701" s="1" t="n">
        <v>46265</v>
      </c>
      <c r="F701" t="inlineStr">
        <is>
          <t>VÄRMLANDS LÄN</t>
        </is>
      </c>
      <c r="G701" t="inlineStr">
        <is>
          <t>HAGFORS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24628-2026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46171</v>
      </c>
      <c r="E702" s="1" t="n">
        <v>46265</v>
      </c>
      <c r="F702" t="inlineStr">
        <is>
          <t>VÄRMLANDS LÄN</t>
        </is>
      </c>
      <c r="G702" t="inlineStr">
        <is>
          <t>HAGFORS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24626-2026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46171</v>
      </c>
      <c r="E703" s="1" t="n">
        <v>46265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24677-2026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46171</v>
      </c>
      <c r="E704" s="1" t="n">
        <v>46265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24862-2026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46265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9.699999999999999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46265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46265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25276-2026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46265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46265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26019-2026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46265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46265</v>
      </c>
      <c r="F711" t="inlineStr">
        <is>
          <t>VÄRMLANDS LÄN</t>
        </is>
      </c>
      <c r="G711" t="inlineStr">
        <is>
          <t>HAGFORS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46265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46225</v>
      </c>
      <c r="E713" s="1" t="n">
        <v>46265</v>
      </c>
      <c r="F713" t="inlineStr">
        <is>
          <t>VÄRMLANDS LÄN</t>
        </is>
      </c>
      <c r="G713" t="inlineStr">
        <is>
          <t>HAGFORS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46226</v>
      </c>
      <c r="E714" s="1" t="n">
        <v>46265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26350-2026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46265</v>
      </c>
      <c r="F715" t="inlineStr">
        <is>
          <t>VÄRMLANDS LÄN</t>
        </is>
      </c>
      <c r="G715" t="inlineStr">
        <is>
          <t>HAGFORS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26357-2026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46182</v>
      </c>
      <c r="E716" s="1" t="n">
        <v>46265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46265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31690-2026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46265</v>
      </c>
      <c r="F718" t="inlineStr">
        <is>
          <t>VÄRMLANDS LÄN</t>
        </is>
      </c>
      <c r="G718" t="inlineStr">
        <is>
          <t>HAGFORS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46265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46225</v>
      </c>
      <c r="E720" s="1" t="n">
        <v>46265</v>
      </c>
      <c r="F720" t="inlineStr">
        <is>
          <t>VÄRMLANDS LÄN</t>
        </is>
      </c>
      <c r="G720" t="inlineStr">
        <is>
          <t>HAGFORS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46265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46265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26740-2026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46184</v>
      </c>
      <c r="E723" s="1" t="n">
        <v>46265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46265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18.2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46265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46265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26612-2026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46265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27306-2026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46188</v>
      </c>
      <c r="E728" s="1" t="n">
        <v>46265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46265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27268-2026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46265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27394-2026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46189</v>
      </c>
      <c r="E731" s="1" t="n">
        <v>46265</v>
      </c>
      <c r="F731" t="inlineStr">
        <is>
          <t>VÄRMLANDS LÄN</t>
        </is>
      </c>
      <c r="G731" t="inlineStr">
        <is>
          <t>HAGFORS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46265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46265</v>
      </c>
      <c r="F733" t="inlineStr">
        <is>
          <t>VÄRMLANDS LÄN</t>
        </is>
      </c>
      <c r="G733" t="inlineStr">
        <is>
          <t>HAGFORS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46191</v>
      </c>
      <c r="E734" s="1" t="n">
        <v>46265</v>
      </c>
      <c r="F734" t="inlineStr">
        <is>
          <t>VÄRMLANDS LÄN</t>
        </is>
      </c>
      <c r="G734" t="inlineStr">
        <is>
          <t>HAGFORS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27799-2026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46265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46233</v>
      </c>
      <c r="E736" s="1" t="n">
        <v>46265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46233</v>
      </c>
      <c r="E737" s="1" t="n">
        <v>46265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46265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32535-2026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46265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46265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19.3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32507-2026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46239</v>
      </c>
      <c r="E741" s="1" t="n">
        <v>46265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32483-2026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46239</v>
      </c>
      <c r="E742" s="1" t="n">
        <v>46265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28788-2026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46265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46265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32721-2026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46241</v>
      </c>
      <c r="E745" s="1" t="n">
        <v>46265</v>
      </c>
      <c r="F745" t="inlineStr">
        <is>
          <t>VÄRMLANDS LÄN</t>
        </is>
      </c>
      <c r="G745" t="inlineStr">
        <is>
          <t>HAGFORS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46241</v>
      </c>
      <c r="E746" s="1" t="n">
        <v>46265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28625-2026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46198</v>
      </c>
      <c r="E747" s="1" t="n">
        <v>46265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32712-2026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46241</v>
      </c>
      <c r="E748" s="1" t="n">
        <v>46265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46265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29102-2026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46200</v>
      </c>
      <c r="E750" s="1" t="n">
        <v>46265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29103-2026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46200</v>
      </c>
      <c r="E751" s="1" t="n">
        <v>46265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46265</v>
      </c>
      <c r="F752" t="inlineStr">
        <is>
          <t>VÄRMLANDS LÄN</t>
        </is>
      </c>
      <c r="G752" t="inlineStr">
        <is>
          <t>HAGFORS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46203</v>
      </c>
      <c r="E753" s="1" t="n">
        <v>46265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29430-2026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46265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46265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29428-2026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46265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46265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27855-2026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46191</v>
      </c>
      <c r="E758" s="1" t="n">
        <v>46265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46265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33627-2026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46265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46265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29580-2026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46265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46265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46265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46265</v>
      </c>
      <c r="F765" t="inlineStr">
        <is>
          <t>VÄRMLANDS LÄN</t>
        </is>
      </c>
      <c r="G765" t="inlineStr">
        <is>
          <t>HAGFORS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30433-2026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46265</v>
      </c>
      <c r="F766" t="inlineStr">
        <is>
          <t>VÄRMLANDS LÄN</t>
        </is>
      </c>
      <c r="G766" t="inlineStr">
        <is>
          <t>HAGFORS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30167-2026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46206</v>
      </c>
      <c r="E767" s="1" t="n">
        <v>46265</v>
      </c>
      <c r="F767" t="inlineStr">
        <is>
          <t>VÄRMLANDS LÄN</t>
        </is>
      </c>
      <c r="G767" t="inlineStr">
        <is>
          <t>HAGFORS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46252</v>
      </c>
      <c r="E768" s="1" t="n">
        <v>46265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30141-2026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46206</v>
      </c>
      <c r="E769" s="1" t="n">
        <v>46265</v>
      </c>
      <c r="F769" t="inlineStr">
        <is>
          <t>VÄRMLANDS LÄN</t>
        </is>
      </c>
      <c r="G769" t="inlineStr">
        <is>
          <t>HAGFORS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46205</v>
      </c>
      <c r="E770" s="1" t="n">
        <v>46265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46251</v>
      </c>
      <c r="E771" s="1" t="n">
        <v>46265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30436-2026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46265</v>
      </c>
      <c r="F772" t="inlineStr">
        <is>
          <t>VÄRMLANDS LÄN</t>
        </is>
      </c>
      <c r="G772" t="inlineStr">
        <is>
          <t>HAGFORS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30437-2026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46265</v>
      </c>
      <c r="F773" t="inlineStr">
        <is>
          <t>VÄRMLANDS LÄN</t>
        </is>
      </c>
      <c r="G773" t="inlineStr">
        <is>
          <t>HAGFORS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46265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34399-2026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46254</v>
      </c>
      <c r="E775" s="1" t="n">
        <v>46265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46258</v>
      </c>
      <c r="E776" s="1" t="n">
        <v>46265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46255</v>
      </c>
      <c r="E777" s="1" t="n">
        <v>46265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30914-2026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46213</v>
      </c>
      <c r="E778" s="1" t="n">
        <v>46265</v>
      </c>
      <c r="F778" t="inlineStr">
        <is>
          <t>VÄRMLANDS LÄN</t>
        </is>
      </c>
      <c r="G778" t="inlineStr">
        <is>
          <t>HAGFORS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46265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46265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46265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46255</v>
      </c>
      <c r="E782" s="1" t="n">
        <v>46265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46260</v>
      </c>
      <c r="E783" s="1" t="n">
        <v>46265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18.2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35184-2026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46260</v>
      </c>
      <c r="E784" s="1" t="n">
        <v>46265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35186-2026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46260</v>
      </c>
      <c r="E785" s="1" t="n">
        <v>46265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35574-2026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46262</v>
      </c>
      <c r="E786" s="1" t="n">
        <v>46265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46265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46265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2225-2020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44127</v>
      </c>
      <c r="E789" s="1" t="n">
        <v>46265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2050-2022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44671</v>
      </c>
      <c r="E790" s="1" t="n">
        <v>46265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937-2022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46265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931-2022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46265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262-2022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44578</v>
      </c>
      <c r="E793" s="1" t="n">
        <v>46265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78.90000000000001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907-2022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46265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913-2022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46265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898-2022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46265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900-2022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46265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914-2022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46265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4419-2023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35.6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4420-2023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46265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46265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46265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6970-2022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46265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4408-2023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46265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4423-2023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46265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4418-2023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46265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651-2024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45356</v>
      </c>
      <c r="E809" s="1" t="n">
        <v>46265</v>
      </c>
      <c r="F809" t="inlineStr">
        <is>
          <t>VÄRMLANDS LÄN</t>
        </is>
      </c>
      <c r="G809" t="inlineStr">
        <is>
          <t>HAGFORS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4145-2023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46265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6967-2022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46265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89-2025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45316</v>
      </c>
      <c r="E812" s="1" t="n">
        <v>46265</v>
      </c>
      <c r="F812" t="inlineStr">
        <is>
          <t>VÄRMLANDS LÄN</t>
        </is>
      </c>
      <c r="G812" t="inlineStr">
        <is>
          <t>HAGFORS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6969-2022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46265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220-2025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45680</v>
      </c>
      <c r="E814" s="1" t="n">
        <v>46265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4410-2023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4409-2023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46265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4155-2023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46265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46265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46265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6973-2022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46265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4143-2023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46265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4407-2023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46265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6965-2022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46265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45716</v>
      </c>
      <c r="E825" s="1" t="n">
        <v>46265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52.4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108-2026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46037</v>
      </c>
      <c r="E826" s="1" t="n">
        <v>46265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204.4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46036</v>
      </c>
      <c r="E827" s="1" t="n">
        <v>46265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60-2026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46013</v>
      </c>
      <c r="E828" s="1" t="n">
        <v>46265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382-2025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45691</v>
      </c>
      <c r="E829" s="1" t="n">
        <v>46265</v>
      </c>
      <c r="F829" t="inlineStr">
        <is>
          <t>VÄRMLANDS LÄN</t>
        </is>
      </c>
      <c r="G829" t="inlineStr">
        <is>
          <t>HAGFORS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2026-08-31T09:58:33Z</dcterms:created>
  <dcterms:modified xmlns:dcterms="http://purl.org/dc/terms/" xmlns:xsi="http://www.w3.org/2001/XMLSchema-instance" xsi:type="dcterms:W3CDTF">2026-08-31T09:58:34Z</dcterms:modified>
</cp:coreProperties>
</file>