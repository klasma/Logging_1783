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46259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46259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46259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46259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46259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46259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46259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46259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46259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46259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46259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46259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59972-2025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45993</v>
      </c>
      <c r="E23" s="1" t="n">
        <v>46259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1.8</v>
      </c>
      <c r="J23" t="n">
        <v>0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Lunglav
Korallblylav</t>
        </is>
      </c>
      <c r="W23">
        <f>HYPERLINK("https://klasma.github.io/Logging_1783/artfynd/A 59972-2025 artfynd.xlsx", "A 59972-2025")</f>
        <v/>
      </c>
      <c r="X23">
        <f>HYPERLINK("https://klasma.github.io/Logging_1783/kartor/A 59972-2025 karta.png", "A 59972-2025")</f>
        <v/>
      </c>
      <c r="Y23">
        <f>HYPERLINK("https://klasma.github.io/Logging_1783/kartor_geotiff/A 59972-2025 georefererad karta.tif", "A 59972-2025")</f>
        <v/>
      </c>
      <c r="AA23">
        <f>HYPERLINK("https://klasma.github.io/Logging_1783/klagomål/A 59972-2025 FSC-klagomål.docx", "A 59972-2025")</f>
        <v/>
      </c>
      <c r="AB23">
        <f>HYPERLINK("https://klasma.github.io/Logging_1783/klagomålsmail/A 59972-2025 FSC-klagomål mail.docx", "A 59972-2025")</f>
        <v/>
      </c>
      <c r="AC23">
        <f>HYPERLINK("https://klasma.github.io/Logging_1783/tillsyn/A 59972-2025 tillsynsbegäran.docx", "A 59972-2025")</f>
        <v/>
      </c>
      <c r="AD23">
        <f>HYPERLINK("https://klasma.github.io/Logging_1783/tillsynsmail/A 59972-2025 tillsynsbegäran mail.docx", "A 59972-2025")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46259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46259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59330-2024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46259</v>
      </c>
      <c r="F26" t="inlineStr">
        <is>
          <t>VÄRMLANDS LÄN</t>
        </is>
      </c>
      <c r="G26" t="inlineStr">
        <is>
          <t>HAGFORS</t>
        </is>
      </c>
      <c r="I26" t="n">
        <v>3.7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Gränsticka
Utter</t>
        </is>
      </c>
      <c r="W26">
        <f>HYPERLINK("https://klasma.github.io/Logging_1783/artfynd/A 59330-2024 artfynd.xlsx", "A 59330-2024")</f>
        <v/>
      </c>
      <c r="X26">
        <f>HYPERLINK("https://klasma.github.io/Logging_1783/kartor/A 59330-2024 karta.png", "A 59330-2024")</f>
        <v/>
      </c>
      <c r="Y26">
        <f>HYPERLINK("https://klasma.github.io/Logging_1783/kartor_geotiff/A 59330-2024 georefererad karta.tif", "A 59330-2024")</f>
        <v/>
      </c>
      <c r="AA26">
        <f>HYPERLINK("https://klasma.github.io/Logging_1783/klagomål/A 59330-2024 FSC-klagomål.docx", "A 59330-2024")</f>
        <v/>
      </c>
      <c r="AB26">
        <f>HYPERLINK("https://klasma.github.io/Logging_1783/klagomålsmail/A 59330-2024 FSC-klagomål mail.docx", "A 59330-2024")</f>
        <v/>
      </c>
      <c r="AC26">
        <f>HYPERLINK("https://klasma.github.io/Logging_1783/tillsyn/A 59330-2024 tillsynsbegäran.docx", "A 59330-2024")</f>
        <v/>
      </c>
      <c r="AD26">
        <f>HYPERLINK("https://klasma.github.io/Logging_1783/tillsynsmail/A 59330-2024 tillsynsbegäran mail.docx", "A 59330-2024")</f>
        <v/>
      </c>
    </row>
    <row r="27" ht="15" customHeight="1">
      <c r="A27" t="inlineStr">
        <is>
          <t>A 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46259</v>
      </c>
      <c r="F27" t="inlineStr">
        <is>
          <t>VÄRMLANDS LÄN</t>
        </is>
      </c>
      <c r="G27" t="inlineStr">
        <is>
          <t>HAGFORS</t>
        </is>
      </c>
      <c r="I27" t="n">
        <v>35.1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Dvärgbägarlav
Vedskivlav</t>
        </is>
      </c>
      <c r="W27">
        <f>HYPERLINK("https://klasma.github.io/Logging_1783/artfynd/A 656-2022 artfynd.xlsx", "A 656-2022")</f>
        <v/>
      </c>
      <c r="X27">
        <f>HYPERLINK("https://klasma.github.io/Logging_1783/kartor/A 656-2022 karta.png", "A 656-2022")</f>
        <v/>
      </c>
      <c r="Y27">
        <f>HYPERLINK("https://klasma.github.io/Logging_1783/kartor_geotiff/A 656-2022 georefererad karta.tif", "A 656-2022")</f>
        <v/>
      </c>
      <c r="AA27">
        <f>HYPERLINK("https://klasma.github.io/Logging_1783/klagomål/A 656-2022 FSC-klagomål.docx", "A 656-2022")</f>
        <v/>
      </c>
      <c r="AB27">
        <f>HYPERLINK("https://klasma.github.io/Logging_1783/klagomålsmail/A 656-2022 FSC-klagomål mail.docx", "A 656-2022")</f>
        <v/>
      </c>
      <c r="AC27">
        <f>HYPERLINK("https://klasma.github.io/Logging_1783/tillsyn/A 656-2022 tillsynsbegäran.docx", "A 656-2022")</f>
        <v/>
      </c>
      <c r="AD27">
        <f>HYPERLINK("https://klasma.github.io/Logging_1783/tillsynsmail/A 656-2022 tillsynsbegäran mail.docx", "A 656-2022")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46259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A 10836-2026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46259</v>
      </c>
      <c r="F29" t="inlineStr">
        <is>
          <t>VÄRMLANDS LÄN</t>
        </is>
      </c>
      <c r="G29" t="inlineStr">
        <is>
          <t>HAGFORS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Mattlummer
Ärtsångare</t>
        </is>
      </c>
      <c r="W29">
        <f>HYPERLINK("https://klasma.github.io/Logging_1783/artfynd/A 10836-2026 artfynd.xlsx", "A 10836-2026")</f>
        <v/>
      </c>
      <c r="X29">
        <f>HYPERLINK("https://klasma.github.io/Logging_1783/kartor/A 10836-2026 karta.png", "A 10836-2026")</f>
        <v/>
      </c>
      <c r="Y29">
        <f>HYPERLINK("https://klasma.github.io/Logging_1783/kartor_geotiff/A 10836-2026 georefererad karta.tif", "A 10836-2026")</f>
        <v/>
      </c>
      <c r="AA29">
        <f>HYPERLINK("https://klasma.github.io/Logging_1783/klagomål/A 10836-2026 FSC-klagomål.docx", "A 10836-2026")</f>
        <v/>
      </c>
      <c r="AB29">
        <f>HYPERLINK("https://klasma.github.io/Logging_1783/klagomålsmail/A 10836-2026 FSC-klagomål mail.docx", "A 10836-2026")</f>
        <v/>
      </c>
      <c r="AC29">
        <f>HYPERLINK("https://klasma.github.io/Logging_1783/tillsyn/A 10836-2026 tillsynsbegäran.docx", "A 10836-2026")</f>
        <v/>
      </c>
      <c r="AD29">
        <f>HYPERLINK("https://klasma.github.io/Logging_1783/tillsynsmail/A 10836-2026 tillsynsbegäran mail.docx", "A 10836-2026")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46259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46259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46259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12673-2024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46259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Tofsmes</t>
        </is>
      </c>
      <c r="W36">
        <f>HYPERLINK("https://klasma.github.io/Logging_1783/artfynd/A 12673-2024 artfynd.xlsx", "A 12673-2024")</f>
        <v/>
      </c>
      <c r="X36">
        <f>HYPERLINK("https://klasma.github.io/Logging_1783/kartor/A 12673-2024 karta.png", "A 12673-2024")</f>
        <v/>
      </c>
      <c r="Y36">
        <f>HYPERLINK("https://klasma.github.io/Logging_1783/kartor_geotiff/A 12673-2024 georefererad karta.tif", "A 12673-2024")</f>
        <v/>
      </c>
      <c r="AA36">
        <f>HYPERLINK("https://klasma.github.io/Logging_1783/klagomål/A 12673-2024 FSC-klagomål.docx", "A 12673-2024")</f>
        <v/>
      </c>
      <c r="AB36">
        <f>HYPERLINK("https://klasma.github.io/Logging_1783/klagomålsmail/A 12673-2024 FSC-klagomål mail.docx", "A 12673-2024")</f>
        <v/>
      </c>
      <c r="AC36">
        <f>HYPERLINK("https://klasma.github.io/Logging_1783/tillsyn/A 12673-2024 tillsynsbegäran.docx", "A 12673-2024")</f>
        <v/>
      </c>
      <c r="AD36">
        <f>HYPERLINK("https://klasma.github.io/Logging_1783/tillsynsmail/A 12673-2024 tillsynsbegäran mail.docx", "A 12673-2024")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46259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46259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HYPERLINK("https://klasma.github.io/Logging_1783/artfynd/A 20119-2025 artfynd.xlsx", "A 20119-2025")</f>
        <v/>
      </c>
      <c r="X38">
        <f>HYPERLINK("https://klasma.github.io/Logging_1783/kartor/A 20119-2025 karta.png", "A 20119-2025")</f>
        <v/>
      </c>
      <c r="Y38">
        <f>HYPERLINK("https://klasma.github.io/Logging_1783/kartor_geotiff/A 20119-2025 georefererad karta.tif", "A 20119-2025")</f>
        <v/>
      </c>
      <c r="AA38">
        <f>HYPERLINK("https://klasma.github.io/Logging_1783/klagomål/A 20119-2025 FSC-klagomål.docx", "A 20119-2025")</f>
        <v/>
      </c>
      <c r="AB38">
        <f>HYPERLINK("https://klasma.github.io/Logging_1783/klagomålsmail/A 20119-2025 FSC-klagomål mail.docx", "A 20119-2025")</f>
        <v/>
      </c>
      <c r="AC38">
        <f>HYPERLINK("https://klasma.github.io/Logging_1783/tillsyn/A 20119-2025 tillsynsbegäran.docx", "A 20119-2025")</f>
        <v/>
      </c>
      <c r="AD38">
        <f>HYPERLINK("https://klasma.github.io/Logging_1783/tillsynsmail/A 20119-2025 tillsynsbegäran mail.docx", "A 20119-2025")</f>
        <v/>
      </c>
      <c r="AE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46259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56083-2022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46259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19.1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HYPERLINK("https://klasma.github.io/Logging_1783/artfynd/A 56083-2022 artfynd.xlsx", "A 56083-2022")</f>
        <v/>
      </c>
      <c r="X40">
        <f>HYPERLINK("https://klasma.github.io/Logging_1783/kartor/A 56083-2022 karta.png", "A 56083-2022")</f>
        <v/>
      </c>
      <c r="Y40">
        <f>HYPERLINK("https://klasma.github.io/Logging_1783/kartor_geotiff/A 56083-2022 georefererad karta.tif", "A 56083-2022")</f>
        <v/>
      </c>
      <c r="AA40">
        <f>HYPERLINK("https://klasma.github.io/Logging_1783/klagomål/A 56083-2022 FSC-klagomål.docx", "A 56083-2022")</f>
        <v/>
      </c>
      <c r="AB40">
        <f>HYPERLINK("https://klasma.github.io/Logging_1783/klagomålsmail/A 56083-2022 FSC-klagomål mail.docx", "A 56083-2022")</f>
        <v/>
      </c>
      <c r="AC40">
        <f>HYPERLINK("https://klasma.github.io/Logging_1783/tillsyn/A 56083-2022 tillsynsbegäran.docx", "A 56083-2022")</f>
        <v/>
      </c>
      <c r="AD40">
        <f>HYPERLINK("https://klasma.github.io/Logging_1783/tillsynsmail/A 56083-2022 tillsynsbegäran mail.docx", "A 56083-2022")</f>
        <v/>
      </c>
    </row>
    <row r="41" ht="15" customHeight="1">
      <c r="A41" t="inlineStr">
        <is>
          <t>A 6986-2022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44603</v>
      </c>
      <c r="E41" s="1" t="n">
        <v>46259</v>
      </c>
      <c r="F41" t="inlineStr">
        <is>
          <t>VÄRMLANDS LÄN</t>
        </is>
      </c>
      <c r="G41" t="inlineStr">
        <is>
          <t>HAGFORS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Vedticka</t>
        </is>
      </c>
      <c r="W41">
        <f>HYPERLINK("https://klasma.github.io/Logging_1783/artfynd/A 6986-2022 artfynd.xlsx", "A 6986-2022")</f>
        <v/>
      </c>
      <c r="X41">
        <f>HYPERLINK("https://klasma.github.io/Logging_1783/kartor/A 6986-2022 karta.png", "A 6986-2022")</f>
        <v/>
      </c>
      <c r="Y41">
        <f>HYPERLINK("https://klasma.github.io/Logging_1783/kartor_geotiff/A 6986-2022 georefererad karta.tif", "A 6986-2022")</f>
        <v/>
      </c>
      <c r="AA41">
        <f>HYPERLINK("https://klasma.github.io/Logging_1783/klagomål/A 6986-2022 FSC-klagomål.docx", "A 6986-2022")</f>
        <v/>
      </c>
      <c r="AB41">
        <f>HYPERLINK("https://klasma.github.io/Logging_1783/klagomålsmail/A 6986-2022 FSC-klagomål mail.docx", "A 6986-2022")</f>
        <v/>
      </c>
      <c r="AC41">
        <f>HYPERLINK("https://klasma.github.io/Logging_1783/tillsyn/A 6986-2022 tillsynsbegäran.docx", "A 6986-2022")</f>
        <v/>
      </c>
      <c r="AD41">
        <f>HYPERLINK("https://klasma.github.io/Logging_1783/tillsynsmail/A 6986-2022 tillsynsbegäran mail.docx", "A 6986-2022")</f>
        <v/>
      </c>
    </row>
    <row r="42" ht="15" customHeight="1">
      <c r="A42" t="inlineStr">
        <is>
          <t>A 38267-2024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46259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HYPERLINK("https://klasma.github.io/Logging_1783/artfynd/A 38267-2024 artfynd.xlsx", "A 38267-2024")</f>
        <v/>
      </c>
      <c r="X42">
        <f>HYPERLINK("https://klasma.github.io/Logging_1783/kartor/A 38267-2024 karta.png", "A 38267-2024")</f>
        <v/>
      </c>
      <c r="Y42">
        <f>HYPERLINK("https://klasma.github.io/Logging_1783/kartor_geotiff/A 38267-2024 georefererad karta.tif", "A 38267-2024")</f>
        <v/>
      </c>
      <c r="AA42">
        <f>HYPERLINK("https://klasma.github.io/Logging_1783/klagomål/A 38267-2024 FSC-klagomål.docx", "A 38267-2024")</f>
        <v/>
      </c>
      <c r="AB42">
        <f>HYPERLINK("https://klasma.github.io/Logging_1783/klagomålsmail/A 38267-2024 FSC-klagomål mail.docx", "A 38267-2024")</f>
        <v/>
      </c>
      <c r="AC42">
        <f>HYPERLINK("https://klasma.github.io/Logging_1783/tillsyn/A 38267-2024 tillsynsbegäran.docx", "A 38267-2024")</f>
        <v/>
      </c>
      <c r="AD42">
        <f>HYPERLINK("https://klasma.github.io/Logging_1783/tillsynsmail/A 38267-2024 tillsynsbegäran mail.docx", "A 38267-2024")</f>
        <v/>
      </c>
    </row>
    <row r="43" ht="15" customHeight="1">
      <c r="A43" t="inlineStr">
        <is>
          <t>A 37152-2023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46259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0.5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Hökuggla</t>
        </is>
      </c>
      <c r="W43">
        <f>HYPERLINK("https://klasma.github.io/Logging_1783/artfynd/A 37152-2023 artfynd.xlsx", "A 37152-2023")</f>
        <v/>
      </c>
      <c r="X43">
        <f>HYPERLINK("https://klasma.github.io/Logging_1783/kartor/A 37152-2023 karta.png", "A 37152-2023")</f>
        <v/>
      </c>
      <c r="Y43">
        <f>HYPERLINK("https://klasma.github.io/Logging_1783/kartor_geotiff/A 37152-2023 georefererad karta.tif", "A 37152-2023")</f>
        <v/>
      </c>
      <c r="AA43">
        <f>HYPERLINK("https://klasma.github.io/Logging_1783/klagomål/A 37152-2023 FSC-klagomål.docx", "A 37152-2023")</f>
        <v/>
      </c>
      <c r="AB43">
        <f>HYPERLINK("https://klasma.github.io/Logging_1783/klagomålsmail/A 37152-2023 FSC-klagomål mail.docx", "A 37152-2023")</f>
        <v/>
      </c>
      <c r="AC43">
        <f>HYPERLINK("https://klasma.github.io/Logging_1783/tillsyn/A 37152-2023 tillsynsbegäran.docx", "A 37152-2023")</f>
        <v/>
      </c>
      <c r="AD43">
        <f>HYPERLINK("https://klasma.github.io/Logging_1783/tillsynsmail/A 37152-2023 tillsynsbegäran mail.docx", "A 37152-2023")</f>
        <v/>
      </c>
      <c r="AE43">
        <f>HYPERLINK("https://klasma.github.io/Logging_1783/fåglar/A 37152-2023 prioriterade fågelarter.docx", "A 37152-2023")</f>
        <v/>
      </c>
    </row>
    <row r="44" ht="15" customHeight="1">
      <c r="A44" t="inlineStr">
        <is>
          <t>A 15219-2025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45744</v>
      </c>
      <c r="E44" s="1" t="n">
        <v>46259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15.8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Borsttagging</t>
        </is>
      </c>
      <c r="W44">
        <f>HYPERLINK("https://klasma.github.io/Logging_1783/artfynd/A 15219-2025 artfynd.xlsx", "A 15219-2025")</f>
        <v/>
      </c>
      <c r="X44">
        <f>HYPERLINK("https://klasma.github.io/Logging_1783/kartor/A 15219-2025 karta.png", "A 15219-2025")</f>
        <v/>
      </c>
      <c r="Y44">
        <f>HYPERLINK("https://klasma.github.io/Logging_1783/kartor_geotiff/A 15219-2025 georefererad karta.tif", "A 15219-2025")</f>
        <v/>
      </c>
      <c r="AA44">
        <f>HYPERLINK("https://klasma.github.io/Logging_1783/klagomål/A 15219-2025 FSC-klagomål.docx", "A 15219-2025")</f>
        <v/>
      </c>
      <c r="AB44">
        <f>HYPERLINK("https://klasma.github.io/Logging_1783/klagomålsmail/A 15219-2025 FSC-klagomål mail.docx", "A 15219-2025")</f>
        <v/>
      </c>
      <c r="AC44">
        <f>HYPERLINK("https://klasma.github.io/Logging_1783/tillsyn/A 15219-2025 tillsynsbegäran.docx", "A 15219-2025")</f>
        <v/>
      </c>
      <c r="AD44">
        <f>HYPERLINK("https://klasma.github.io/Logging_1783/tillsynsmail/A 15219-2025 tillsynsbegäran mail.docx", "A 15219-2025")</f>
        <v/>
      </c>
    </row>
    <row r="45" ht="15" customHeight="1">
      <c r="A45" t="inlineStr">
        <is>
          <t>A 30524-2022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44762</v>
      </c>
      <c r="E45" s="1" t="n">
        <v>46259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Kolflarnlav</t>
        </is>
      </c>
      <c r="W45">
        <f>HYPERLINK("https://klasma.github.io/Logging_1783/artfynd/A 30524-2022 artfynd.xlsx", "A 30524-2022")</f>
        <v/>
      </c>
      <c r="X45">
        <f>HYPERLINK("https://klasma.github.io/Logging_1783/kartor/A 30524-2022 karta.png", "A 30524-2022")</f>
        <v/>
      </c>
      <c r="Y45">
        <f>HYPERLINK("https://klasma.github.io/Logging_1783/kartor_geotiff/A 30524-2022 georefererad karta.tif", "A 30524-2022")</f>
        <v/>
      </c>
      <c r="AA45">
        <f>HYPERLINK("https://klasma.github.io/Logging_1783/klagomål/A 30524-2022 FSC-klagomål.docx", "A 30524-2022")</f>
        <v/>
      </c>
      <c r="AB45">
        <f>HYPERLINK("https://klasma.github.io/Logging_1783/klagomålsmail/A 30524-2022 FSC-klagomål mail.docx", "A 30524-2022")</f>
        <v/>
      </c>
      <c r="AC45">
        <f>HYPERLINK("https://klasma.github.io/Logging_1783/tillsyn/A 30524-2022 tillsynsbegäran.docx", "A 30524-2022")</f>
        <v/>
      </c>
      <c r="AD45">
        <f>HYPERLINK("https://klasma.github.io/Logging_1783/tillsynsmail/A 30524-2022 tillsynsbegäran mail.docx", "A 30524-2022")</f>
        <v/>
      </c>
    </row>
    <row r="46" ht="15" customHeight="1">
      <c r="A46" t="inlineStr">
        <is>
          <t>A 19362-2026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46133</v>
      </c>
      <c r="E46" s="1" t="n">
        <v>46259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19362-2026 artfynd.xlsx", "A 19362-2026")</f>
        <v/>
      </c>
      <c r="X46">
        <f>HYPERLINK("https://klasma.github.io/Logging_1783/kartor/A 19362-2026 karta.png", "A 19362-2026")</f>
        <v/>
      </c>
      <c r="Y46">
        <f>HYPERLINK("https://klasma.github.io/Logging_1783/kartor_geotiff/A 19362-2026 georefererad karta.tif", "A 19362-2026")</f>
        <v/>
      </c>
      <c r="AA46">
        <f>HYPERLINK("https://klasma.github.io/Logging_1783/klagomål/A 19362-2026 FSC-klagomål.docx", "A 19362-2026")</f>
        <v/>
      </c>
      <c r="AB46">
        <f>HYPERLINK("https://klasma.github.io/Logging_1783/klagomålsmail/A 19362-2026 FSC-klagomål mail.docx", "A 19362-2026")</f>
        <v/>
      </c>
      <c r="AC46">
        <f>HYPERLINK("https://klasma.github.io/Logging_1783/tillsyn/A 19362-2026 tillsynsbegäran.docx", "A 19362-2026")</f>
        <v/>
      </c>
      <c r="AD46">
        <f>HYPERLINK("https://klasma.github.io/Logging_1783/tillsynsmail/A 19362-2026 tillsynsbegäran mail.docx", "A 19362-2026")</f>
        <v/>
      </c>
    </row>
    <row r="47" ht="15" customHeight="1">
      <c r="A47" t="inlineStr">
        <is>
          <t>A 44095-2023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46259</v>
      </c>
      <c r="F47" t="inlineStr">
        <is>
          <t>VÄRMLANDS LÄN</t>
        </is>
      </c>
      <c r="G47" t="inlineStr">
        <is>
          <t>HAGFORS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44095-2023 artfynd.xlsx", "A 44095-2023")</f>
        <v/>
      </c>
      <c r="X47">
        <f>HYPERLINK("https://klasma.github.io/Logging_1783/kartor/A 44095-2023 karta.png", "A 44095-2023")</f>
        <v/>
      </c>
      <c r="Y47">
        <f>HYPERLINK("https://klasma.github.io/Logging_1783/kartor_geotiff/A 44095-2023 georefererad karta.tif", "A 44095-2023")</f>
        <v/>
      </c>
      <c r="AA47">
        <f>HYPERLINK("https://klasma.github.io/Logging_1783/klagomål/A 44095-2023 FSC-klagomål.docx", "A 44095-2023")</f>
        <v/>
      </c>
      <c r="AB47">
        <f>HYPERLINK("https://klasma.github.io/Logging_1783/klagomålsmail/A 44095-2023 FSC-klagomål mail.docx", "A 44095-2023")</f>
        <v/>
      </c>
      <c r="AC47">
        <f>HYPERLINK("https://klasma.github.io/Logging_1783/tillsyn/A 44095-2023 tillsynsbegäran.docx", "A 44095-2023")</f>
        <v/>
      </c>
      <c r="AD47">
        <f>HYPERLINK("https://klasma.github.io/Logging_1783/tillsynsmail/A 44095-2023 tillsynsbegäran mail.docx", "A 44095-2023")</f>
        <v/>
      </c>
    </row>
    <row r="48" ht="15" customHeight="1">
      <c r="A48" t="inlineStr">
        <is>
          <t>A 34158-2025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45845</v>
      </c>
      <c r="E48" s="1" t="n">
        <v>46259</v>
      </c>
      <c r="F48" t="inlineStr">
        <is>
          <t>VÄRMLANDS LÄN</t>
        </is>
      </c>
      <c r="G48" t="inlineStr">
        <is>
          <t>HAGFORS</t>
        </is>
      </c>
      <c r="I48" t="n">
        <v>5.8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Korallblylav</t>
        </is>
      </c>
      <c r="W48">
        <f>HYPERLINK("https://klasma.github.io/Logging_1783/artfynd/A 34158-2025 artfynd.xlsx", "A 34158-2025")</f>
        <v/>
      </c>
      <c r="X48">
        <f>HYPERLINK("https://klasma.github.io/Logging_1783/kartor/A 34158-2025 karta.png", "A 34158-2025")</f>
        <v/>
      </c>
      <c r="Y48">
        <f>HYPERLINK("https://klasma.github.io/Logging_1783/kartor_geotiff/A 34158-2025 georefererad karta.tif", "A 34158-2025")</f>
        <v/>
      </c>
      <c r="AA48">
        <f>HYPERLINK("https://klasma.github.io/Logging_1783/klagomål/A 34158-2025 FSC-klagomål.docx", "A 34158-2025")</f>
        <v/>
      </c>
      <c r="AB48">
        <f>HYPERLINK("https://klasma.github.io/Logging_1783/klagomålsmail/A 34158-2025 FSC-klagomål mail.docx", "A 34158-2025")</f>
        <v/>
      </c>
      <c r="AC48">
        <f>HYPERLINK("https://klasma.github.io/Logging_1783/tillsyn/A 34158-2025 tillsynsbegäran.docx", "A 34158-2025")</f>
        <v/>
      </c>
      <c r="AD48">
        <f>HYPERLINK("https://klasma.github.io/Logging_1783/tillsynsmail/A 34158-2025 tillsynsbegäran mail.docx", "A 34158-2025")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46259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HYPERLINK("https://klasma.github.io/Logging_1783/artfynd/A 51194-2022 artfynd.xlsx", "A 51194-2022")</f>
        <v/>
      </c>
      <c r="X49">
        <f>HYPERLINK("https://klasma.github.io/Logging_1783/kartor/A 51194-2022 karta.png", "A 51194-2022")</f>
        <v/>
      </c>
      <c r="Y49">
        <f>HYPERLINK("https://klasma.github.io/Logging_1783/kartor_geotiff/A 51194-2022 georefererad karta.tif", "A 51194-2022")</f>
        <v/>
      </c>
      <c r="AA49">
        <f>HYPERLINK("https://klasma.github.io/Logging_1783/klagomål/A 51194-2022 FSC-klagomål.docx", "A 51194-2022")</f>
        <v/>
      </c>
      <c r="AB49">
        <f>HYPERLINK("https://klasma.github.io/Logging_1783/klagomålsmail/A 51194-2022 FSC-klagomål mail.docx", "A 51194-2022")</f>
        <v/>
      </c>
      <c r="AC49">
        <f>HYPERLINK("https://klasma.github.io/Logging_1783/tillsyn/A 51194-2022 tillsynsbegäran.docx", "A 51194-2022")</f>
        <v/>
      </c>
      <c r="AD49">
        <f>HYPERLINK("https://klasma.github.io/Logging_1783/tillsynsmail/A 51194-2022 tillsynsbegäran mail.docx", "A 51194-2022")</f>
        <v/>
      </c>
    </row>
    <row r="50" ht="15" customHeight="1">
      <c r="A50" t="inlineStr">
        <is>
          <t>A 50030-2025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45943</v>
      </c>
      <c r="E50" s="1" t="n">
        <v>46259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Svart trolldruva</t>
        </is>
      </c>
      <c r="W50">
        <f>HYPERLINK("https://klasma.github.io/Logging_1783/artfynd/A 50030-2025 artfynd.xlsx", "A 50030-2025")</f>
        <v/>
      </c>
      <c r="X50">
        <f>HYPERLINK("https://klasma.github.io/Logging_1783/kartor/A 50030-2025 karta.png", "A 50030-2025")</f>
        <v/>
      </c>
      <c r="Y50">
        <f>HYPERLINK("https://klasma.github.io/Logging_1783/kartor_geotiff/A 50030-2025 georefererad karta.tif", "A 50030-2025")</f>
        <v/>
      </c>
      <c r="AA50">
        <f>HYPERLINK("https://klasma.github.io/Logging_1783/klagomål/A 50030-2025 FSC-klagomål.docx", "A 50030-2025")</f>
        <v/>
      </c>
      <c r="AB50">
        <f>HYPERLINK("https://klasma.github.io/Logging_1783/klagomålsmail/A 50030-2025 FSC-klagomål mail.docx", "A 50030-2025")</f>
        <v/>
      </c>
      <c r="AC50">
        <f>HYPERLINK("https://klasma.github.io/Logging_1783/tillsyn/A 50030-2025 tillsynsbegäran.docx", "A 50030-2025")</f>
        <v/>
      </c>
      <c r="AD50">
        <f>HYPERLINK("https://klasma.github.io/Logging_1783/tillsynsmail/A 50030-2025 tillsynsbegäran mail.docx", "A 50030-2025")</f>
        <v/>
      </c>
    </row>
    <row r="51" ht="15" customHeight="1">
      <c r="A51" t="inlineStr">
        <is>
          <t>A 16319-2023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46259</v>
      </c>
      <c r="F51" t="inlineStr">
        <is>
          <t>VÄRMLANDS LÄN</t>
        </is>
      </c>
      <c r="G51" t="inlineStr">
        <is>
          <t>HAGFORS</t>
        </is>
      </c>
      <c r="I51" t="n">
        <v>1.1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HYPERLINK("https://klasma.github.io/Logging_1783/artfynd/A 16319-2023 artfynd.xlsx", "A 16319-2023")</f>
        <v/>
      </c>
      <c r="X51">
        <f>HYPERLINK("https://klasma.github.io/Logging_1783/kartor/A 16319-2023 karta.png", "A 16319-2023")</f>
        <v/>
      </c>
      <c r="Y51">
        <f>HYPERLINK("https://klasma.github.io/Logging_1783/kartor_geotiff/A 16319-2023 georefererad karta.tif", "A 16319-2023")</f>
        <v/>
      </c>
      <c r="AA51">
        <f>HYPERLINK("https://klasma.github.io/Logging_1783/klagomål/A 16319-2023 FSC-klagomål.docx", "A 16319-2023")</f>
        <v/>
      </c>
      <c r="AB51">
        <f>HYPERLINK("https://klasma.github.io/Logging_1783/klagomålsmail/A 16319-2023 FSC-klagomål mail.docx", "A 16319-2023")</f>
        <v/>
      </c>
      <c r="AC51">
        <f>HYPERLINK("https://klasma.github.io/Logging_1783/tillsyn/A 16319-2023 tillsynsbegäran.docx", "A 16319-2023")</f>
        <v/>
      </c>
      <c r="AD51">
        <f>HYPERLINK("https://klasma.github.io/Logging_1783/tillsynsmail/A 16319-2023 tillsynsbegäran mail.docx", "A 16319-2023")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46259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46259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55484-2025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45971</v>
      </c>
      <c r="E54" s="1" t="n">
        <v>46259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 sköldmossa</t>
        </is>
      </c>
      <c r="W54">
        <f>HYPERLINK("https://klasma.github.io/Logging_1783/artfynd/A 55484-2025 artfynd.xlsx", "A 55484-2025")</f>
        <v/>
      </c>
      <c r="X54">
        <f>HYPERLINK("https://klasma.github.io/Logging_1783/kartor/A 55484-2025 karta.png", "A 55484-2025")</f>
        <v/>
      </c>
      <c r="Y54">
        <f>HYPERLINK("https://klasma.github.io/Logging_1783/kartor_geotiff/A 55484-2025 georefererad karta.tif", "A 55484-2025")</f>
        <v/>
      </c>
      <c r="AA54">
        <f>HYPERLINK("https://klasma.github.io/Logging_1783/klagomål/A 55484-2025 FSC-klagomål.docx", "A 55484-2025")</f>
        <v/>
      </c>
      <c r="AB54">
        <f>HYPERLINK("https://klasma.github.io/Logging_1783/klagomålsmail/A 55484-2025 FSC-klagomål mail.docx", "A 55484-2025")</f>
        <v/>
      </c>
      <c r="AC54">
        <f>HYPERLINK("https://klasma.github.io/Logging_1783/tillsyn/A 55484-2025 tillsynsbegäran.docx", "A 55484-2025")</f>
        <v/>
      </c>
      <c r="AD54">
        <f>HYPERLINK("https://klasma.github.io/Logging_1783/tillsynsmail/A 55484-2025 tillsynsbegäran mail.docx", "A 55484-2025")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46259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46259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46259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46259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62954-2025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46009</v>
      </c>
      <c r="E59" s="1" t="n">
        <v>46259</v>
      </c>
      <c r="F59" t="inlineStr">
        <is>
          <t>VÄRMLANDS LÄN</t>
        </is>
      </c>
      <c r="G59" t="inlineStr">
        <is>
          <t>HAGFORS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Kråka</t>
        </is>
      </c>
      <c r="W59">
        <f>HYPERLINK("https://klasma.github.io/Logging_1783/artfynd/A 62954-2025 artfynd.xlsx", "A 62954-2025")</f>
        <v/>
      </c>
      <c r="X59">
        <f>HYPERLINK("https://klasma.github.io/Logging_1783/kartor/A 62954-2025 karta.png", "A 62954-2025")</f>
        <v/>
      </c>
      <c r="Y59">
        <f>HYPERLINK("https://klasma.github.io/Logging_1783/kartor_geotiff/A 62954-2025 georefererad karta.tif", "A 62954-2025")</f>
        <v/>
      </c>
      <c r="AA59">
        <f>HYPERLINK("https://klasma.github.io/Logging_1783/klagomål/A 62954-2025 FSC-klagomål.docx", "A 62954-2025")</f>
        <v/>
      </c>
      <c r="AB59">
        <f>HYPERLINK("https://klasma.github.io/Logging_1783/klagomålsmail/A 62954-2025 FSC-klagomål mail.docx", "A 62954-2025")</f>
        <v/>
      </c>
      <c r="AC59">
        <f>HYPERLINK("https://klasma.github.io/Logging_1783/tillsyn/A 62954-2025 tillsynsbegäran.docx", "A 62954-2025")</f>
        <v/>
      </c>
      <c r="AD59">
        <f>HYPERLINK("https://klasma.github.io/Logging_1783/tillsynsmail/A 62954-2025 tillsynsbegäran mail.docx", "A 62954-2025")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46259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8254-2026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46259</v>
      </c>
      <c r="F61" t="inlineStr">
        <is>
          <t>VÄRMLANDS LÄN</t>
        </is>
      </c>
      <c r="G61" t="inlineStr">
        <is>
          <t>HAGFORS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HYPERLINK("https://klasma.github.io/Logging_1783/artfynd/A 8254-2026 artfynd.xlsx", "A 8254-2026")</f>
        <v/>
      </c>
      <c r="X61">
        <f>HYPERLINK("https://klasma.github.io/Logging_1783/kartor/A 8254-2026 karta.png", "A 8254-2026")</f>
        <v/>
      </c>
      <c r="Y61">
        <f>HYPERLINK("https://klasma.github.io/Logging_1783/kartor_geotiff/A 8254-2026 georefererad karta.tif", "A 8254-2026")</f>
        <v/>
      </c>
      <c r="AA61">
        <f>HYPERLINK("https://klasma.github.io/Logging_1783/klagomål/A 8254-2026 FSC-klagomål.docx", "A 8254-2026")</f>
        <v/>
      </c>
      <c r="AB61">
        <f>HYPERLINK("https://klasma.github.io/Logging_1783/klagomålsmail/A 8254-2026 FSC-klagomål mail.docx", "A 8254-2026")</f>
        <v/>
      </c>
      <c r="AC61">
        <f>HYPERLINK("https://klasma.github.io/Logging_1783/tillsyn/A 8254-2026 tillsynsbegäran.docx", "A 8254-2026")</f>
        <v/>
      </c>
      <c r="AD61">
        <f>HYPERLINK("https://klasma.github.io/Logging_1783/tillsynsmail/A 8254-2026 tillsynsbegäran mail.docx", "A 8254-2026")</f>
        <v/>
      </c>
    </row>
    <row r="62" ht="15" customHeight="1">
      <c r="A62" t="inlineStr">
        <is>
          <t>A 12445-2026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46259</v>
      </c>
      <c r="F62" t="inlineStr">
        <is>
          <t>VÄRMLANDS LÄN</t>
        </is>
      </c>
      <c r="G62" t="inlineStr">
        <is>
          <t>HAGFORS</t>
        </is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HYPERLINK("https://klasma.github.io/Logging_1783/artfynd/A 12445-2026 artfynd.xlsx", "A 12445-2026")</f>
        <v/>
      </c>
      <c r="X62">
        <f>HYPERLINK("https://klasma.github.io/Logging_1783/kartor/A 12445-2026 karta.png", "A 12445-2026")</f>
        <v/>
      </c>
      <c r="Y62">
        <f>HYPERLINK("https://klasma.github.io/Logging_1783/kartor_geotiff/A 12445-2026 georefererad karta.tif", "A 12445-2026")</f>
        <v/>
      </c>
      <c r="AA62">
        <f>HYPERLINK("https://klasma.github.io/Logging_1783/klagomål/A 12445-2026 FSC-klagomål.docx", "A 12445-2026")</f>
        <v/>
      </c>
      <c r="AB62">
        <f>HYPERLINK("https://klasma.github.io/Logging_1783/klagomålsmail/A 12445-2026 FSC-klagomål mail.docx", "A 12445-2026")</f>
        <v/>
      </c>
      <c r="AC62">
        <f>HYPERLINK("https://klasma.github.io/Logging_1783/tillsyn/A 12445-2026 tillsynsbegäran.docx", "A 12445-2026")</f>
        <v/>
      </c>
      <c r="AD62">
        <f>HYPERLINK("https://klasma.github.io/Logging_1783/tillsynsmail/A 12445-2026 tillsynsbegäran mail.docx", "A 12445-2026")</f>
        <v/>
      </c>
      <c r="AE62">
        <f>HYPERLINK("https://klasma.github.io/Logging_1783/fåglar/A 12445-2026 prioriterade fågelarter.docx", "A 12445-2026")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46259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46259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46259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46259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46259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46259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46259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46259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46259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46259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46259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46259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46259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46259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46259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46259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46259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44434</v>
      </c>
      <c r="E80" s="1" t="n">
        <v>46259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44756</v>
      </c>
      <c r="E81" s="1" t="n">
        <v>46259</v>
      </c>
      <c r="F81" t="inlineStr">
        <is>
          <t>VÄRMLANDS LÄN</t>
        </is>
      </c>
      <c r="G81" t="inlineStr">
        <is>
          <t>HAGFORS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46259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46259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46259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46259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46259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46259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46259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46259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46259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46259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46259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46259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46259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46259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46259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46259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46259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46259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46259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46259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46259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46259</v>
      </c>
      <c r="F104" t="inlineStr">
        <is>
          <t>VÄRMLANDS LÄN</t>
        </is>
      </c>
      <c r="G104" t="inlineStr">
        <is>
          <t>HAGFORS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46259</v>
      </c>
      <c r="F105" t="inlineStr">
        <is>
          <t>VÄRMLANDS LÄN</t>
        </is>
      </c>
      <c r="G105" t="inlineStr">
        <is>
          <t>HAGFORS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46259</v>
      </c>
      <c r="F106" t="inlineStr">
        <is>
          <t>VÄRMLANDS LÄN</t>
        </is>
      </c>
      <c r="G106" t="inlineStr">
        <is>
          <t>HAGFORS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45799</v>
      </c>
      <c r="E107" s="1" t="n">
        <v>46259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46259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37463-2022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46259</v>
      </c>
      <c r="F109" t="inlineStr">
        <is>
          <t>VÄRMLANDS LÄN</t>
        </is>
      </c>
      <c r="G109" t="inlineStr">
        <is>
          <t>HAGFORS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46259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46259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44851</v>
      </c>
      <c r="E112" s="1" t="n">
        <v>46259</v>
      </c>
      <c r="F112" t="inlineStr">
        <is>
          <t>VÄRMLANDS LÄN</t>
        </is>
      </c>
      <c r="G112" t="inlineStr">
        <is>
          <t>HAGFORS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46259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34540-2024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45525</v>
      </c>
      <c r="E114" s="1" t="n">
        <v>46259</v>
      </c>
      <c r="F114" t="inlineStr">
        <is>
          <t>VÄRMLANDS LÄN</t>
        </is>
      </c>
      <c r="G114" t="inlineStr">
        <is>
          <t>HAGFORS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46259</v>
      </c>
      <c r="F115" t="inlineStr">
        <is>
          <t>VÄRMLANDS LÄN</t>
        </is>
      </c>
      <c r="G115" t="inlineStr">
        <is>
          <t>HAGFORS</t>
        </is>
      </c>
      <c r="H115" t="inlineStr">
        <is>
          <t>Kyrkan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44790</v>
      </c>
      <c r="E116" s="1" t="n">
        <v>46259</v>
      </c>
      <c r="F116" t="inlineStr">
        <is>
          <t>VÄRMLANDS LÄN</t>
        </is>
      </c>
      <c r="G116" t="inlineStr">
        <is>
          <t>HAGFORS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46259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46259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45461</v>
      </c>
      <c r="E119" s="1" t="n">
        <v>46259</v>
      </c>
      <c r="F119" t="inlineStr">
        <is>
          <t>VÄRMLANDS LÄN</t>
        </is>
      </c>
      <c r="G119" t="inlineStr">
        <is>
          <t>HAGFORS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46259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26463-2025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45807</v>
      </c>
      <c r="E121" s="1" t="n">
        <v>46259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46259</v>
      </c>
      <c r="F122" t="inlineStr">
        <is>
          <t>VÄRMLANDS LÄN</t>
        </is>
      </c>
      <c r="G122" t="inlineStr">
        <is>
          <t>HAGFORS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46259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46259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45810</v>
      </c>
      <c r="E125" s="1" t="n">
        <v>46259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46259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46259</v>
      </c>
      <c r="F127" t="inlineStr">
        <is>
          <t>VÄRMLANDS LÄN</t>
        </is>
      </c>
      <c r="G127" t="inlineStr">
        <is>
          <t>HAGFORS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46259</v>
      </c>
      <c r="F128" t="inlineStr">
        <is>
          <t>VÄRMLANDS LÄN</t>
        </is>
      </c>
      <c r="G128" t="inlineStr">
        <is>
          <t>HAGFORS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46259</v>
      </c>
      <c r="F129" t="inlineStr">
        <is>
          <t>VÄRMLANDS LÄN</t>
        </is>
      </c>
      <c r="G129" t="inlineStr">
        <is>
          <t>HAGFORS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70712-2021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46259</v>
      </c>
      <c r="F130" t="inlineStr">
        <is>
          <t>VÄRMLANDS LÄN</t>
        </is>
      </c>
      <c r="G130" t="inlineStr">
        <is>
          <t>HAGFORS</t>
        </is>
      </c>
      <c r="H130" t="inlineStr">
        <is>
          <t>Kommuner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46259</v>
      </c>
      <c r="F131" t="inlineStr">
        <is>
          <t>VÄRMLANDS LÄN</t>
        </is>
      </c>
      <c r="G131" t="inlineStr">
        <is>
          <t>HAGFORS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46259</v>
      </c>
      <c r="F132" t="inlineStr">
        <is>
          <t>VÄRMLANDS LÄN</t>
        </is>
      </c>
      <c r="G132" t="inlineStr">
        <is>
          <t>HAGFORS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46259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46259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46259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46259</v>
      </c>
      <c r="F136" t="inlineStr">
        <is>
          <t>VÄRMLANDS LÄN</t>
        </is>
      </c>
      <c r="G136" t="inlineStr">
        <is>
          <t>HAGFORS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46259</v>
      </c>
      <c r="F137" t="inlineStr">
        <is>
          <t>VÄRMLANDS LÄN</t>
        </is>
      </c>
      <c r="G137" t="inlineStr">
        <is>
          <t>HAGFORS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46259</v>
      </c>
      <c r="F138" t="inlineStr">
        <is>
          <t>VÄRMLANDS LÄN</t>
        </is>
      </c>
      <c r="G138" t="inlineStr">
        <is>
          <t>HAGFORS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46259</v>
      </c>
      <c r="F139" t="inlineStr">
        <is>
          <t>VÄRMLANDS LÄN</t>
        </is>
      </c>
      <c r="G139" t="inlineStr">
        <is>
          <t>HAGFORS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45758</v>
      </c>
      <c r="E140" s="1" t="n">
        <v>46259</v>
      </c>
      <c r="F140" t="inlineStr">
        <is>
          <t>VÄRMLANDS LÄN</t>
        </is>
      </c>
      <c r="G140" t="inlineStr">
        <is>
          <t>HAGFORS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46259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46259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46259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46259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45681</v>
      </c>
      <c r="E146" s="1" t="n">
        <v>46259</v>
      </c>
      <c r="F146" t="inlineStr">
        <is>
          <t>VÄRMLANDS LÄN</t>
        </is>
      </c>
      <c r="G146" t="inlineStr">
        <is>
          <t>HAGFORS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61140-2023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45261</v>
      </c>
      <c r="E147" s="1" t="n">
        <v>46259</v>
      </c>
      <c r="F147" t="inlineStr">
        <is>
          <t>VÄRMLANDS LÄN</t>
        </is>
      </c>
      <c r="G147" t="inlineStr">
        <is>
          <t>HAGFORS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46259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46259</v>
      </c>
      <c r="F149" t="inlineStr">
        <is>
          <t>VÄRMLANDS LÄN</t>
        </is>
      </c>
      <c r="G149" t="inlineStr">
        <is>
          <t>HAGFORS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45741</v>
      </c>
      <c r="E150" s="1" t="n">
        <v>46259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46259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46259</v>
      </c>
      <c r="F152" t="inlineStr">
        <is>
          <t>VÄRMLANDS LÄN</t>
        </is>
      </c>
      <c r="G152" t="inlineStr">
        <is>
          <t>HAGFORS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46259</v>
      </c>
      <c r="F153" t="inlineStr">
        <is>
          <t>VÄRMLANDS LÄN</t>
        </is>
      </c>
      <c r="G153" t="inlineStr">
        <is>
          <t>HAGFORS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46259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44246-2022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46259</v>
      </c>
      <c r="F155" t="inlineStr">
        <is>
          <t>VÄRMLANDS LÄN</t>
        </is>
      </c>
      <c r="G155" t="inlineStr">
        <is>
          <t>HAGFORS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44770</v>
      </c>
      <c r="E156" s="1" t="n">
        <v>46259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44606</v>
      </c>
      <c r="E157" s="1" t="n">
        <v>46259</v>
      </c>
      <c r="F157" t="inlineStr">
        <is>
          <t>VÄRMLANDS LÄN</t>
        </is>
      </c>
      <c r="G157" t="inlineStr">
        <is>
          <t>HAGFORS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15538-2024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45401</v>
      </c>
      <c r="E158" s="1" t="n">
        <v>46259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45218-2021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44439</v>
      </c>
      <c r="E159" s="1" t="n">
        <v>46259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49.5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46259</v>
      </c>
      <c r="F160" t="inlineStr">
        <is>
          <t>VÄRMLANDS LÄN</t>
        </is>
      </c>
      <c r="G160" t="inlineStr">
        <is>
          <t>HAGFORS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17329-2024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45414</v>
      </c>
      <c r="E161" s="1" t="n">
        <v>46259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46259</v>
      </c>
      <c r="F162" t="inlineStr">
        <is>
          <t>VÄRMLANDS LÄN</t>
        </is>
      </c>
      <c r="G162" t="inlineStr">
        <is>
          <t>HAGFORS</t>
        </is>
      </c>
      <c r="H162" t="inlineStr">
        <is>
          <t>Kyrkan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46259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45338</v>
      </c>
      <c r="E164" s="1" t="n">
        <v>46259</v>
      </c>
      <c r="F164" t="inlineStr">
        <is>
          <t>VÄRMLANDS LÄN</t>
        </is>
      </c>
      <c r="G164" t="inlineStr">
        <is>
          <t>HAGFORS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46259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45203</v>
      </c>
      <c r="E166" s="1" t="n">
        <v>46259</v>
      </c>
      <c r="F166" t="inlineStr">
        <is>
          <t>VÄRMLANDS LÄN</t>
        </is>
      </c>
      <c r="G166" t="inlineStr">
        <is>
          <t>HAGFORS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46259</v>
      </c>
      <c r="F167" t="inlineStr">
        <is>
          <t>VÄRMLANDS LÄN</t>
        </is>
      </c>
      <c r="G167" t="inlineStr">
        <is>
          <t>HAGFORS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46259</v>
      </c>
      <c r="F168" t="inlineStr">
        <is>
          <t>VÄRMLANDS LÄN</t>
        </is>
      </c>
      <c r="G168" t="inlineStr">
        <is>
          <t>HAGFORS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46259</v>
      </c>
      <c r="F169" t="inlineStr">
        <is>
          <t>VÄRMLANDS LÄN</t>
        </is>
      </c>
      <c r="G169" t="inlineStr">
        <is>
          <t>HAGFORS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46259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45826</v>
      </c>
      <c r="E171" s="1" t="n">
        <v>46259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46259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46259</v>
      </c>
      <c r="F173" t="inlineStr">
        <is>
          <t>VÄRMLANDS LÄN</t>
        </is>
      </c>
      <c r="G173" t="inlineStr">
        <is>
          <t>HAGFORS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46259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46259</v>
      </c>
      <c r="F175" t="inlineStr">
        <is>
          <t>VÄRMLANDS LÄN</t>
        </is>
      </c>
      <c r="G175" t="inlineStr">
        <is>
          <t>HAGFORS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46259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46259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45425</v>
      </c>
      <c r="E178" s="1" t="n">
        <v>46259</v>
      </c>
      <c r="F178" t="inlineStr">
        <is>
          <t>VÄRMLANDS LÄN</t>
        </is>
      </c>
      <c r="G178" t="inlineStr">
        <is>
          <t>HAGFORS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45772</v>
      </c>
      <c r="E179" s="1" t="n">
        <v>46259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44817</v>
      </c>
      <c r="E180" s="1" t="n">
        <v>46259</v>
      </c>
      <c r="F180" t="inlineStr">
        <is>
          <t>VÄRMLANDS LÄN</t>
        </is>
      </c>
      <c r="G180" t="inlineStr">
        <is>
          <t>HAGFORS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19554-2024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45429</v>
      </c>
      <c r="E181" s="1" t="n">
        <v>46259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46259</v>
      </c>
      <c r="F182" t="inlineStr">
        <is>
          <t>VÄRMLANDS LÄN</t>
        </is>
      </c>
      <c r="G182" t="inlineStr">
        <is>
          <t>HAGFORS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46259</v>
      </c>
      <c r="F183" t="inlineStr">
        <is>
          <t>VÄRMLANDS LÄN</t>
        </is>
      </c>
      <c r="G183" t="inlineStr">
        <is>
          <t>HAGFORS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45398</v>
      </c>
      <c r="E184" s="1" t="n">
        <v>46259</v>
      </c>
      <c r="F184" t="inlineStr">
        <is>
          <t>VÄRMLANDS LÄN</t>
        </is>
      </c>
      <c r="G184" t="inlineStr">
        <is>
          <t>HAGFORS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22503-2024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45447</v>
      </c>
      <c r="E185" s="1" t="n">
        <v>46259</v>
      </c>
      <c r="F185" t="inlineStr">
        <is>
          <t>VÄRMLANDS LÄN</t>
        </is>
      </c>
      <c r="G185" t="inlineStr">
        <is>
          <t>HAGFORS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46259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46259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46259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46259</v>
      </c>
      <c r="F189" t="inlineStr">
        <is>
          <t>VÄRMLANDS LÄN</t>
        </is>
      </c>
      <c r="G189" t="inlineStr">
        <is>
          <t>HAGFORS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46259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21867-2024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45443</v>
      </c>
      <c r="E191" s="1" t="n">
        <v>46259</v>
      </c>
      <c r="F191" t="inlineStr">
        <is>
          <t>VÄRMLANDS LÄN</t>
        </is>
      </c>
      <c r="G191" t="inlineStr">
        <is>
          <t>HAGFORS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46259</v>
      </c>
      <c r="F192" t="inlineStr">
        <is>
          <t>VÄRMLANDS LÄN</t>
        </is>
      </c>
      <c r="G192" t="inlineStr">
        <is>
          <t>HAGFORS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46259</v>
      </c>
      <c r="F193" t="inlineStr">
        <is>
          <t>VÄRMLANDS LÄN</t>
        </is>
      </c>
      <c r="G193" t="inlineStr">
        <is>
          <t>HAGFORS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44950</v>
      </c>
      <c r="E194" s="1" t="n">
        <v>46259</v>
      </c>
      <c r="F194" t="inlineStr">
        <is>
          <t>VÄRMLANDS LÄN</t>
        </is>
      </c>
      <c r="G194" t="inlineStr">
        <is>
          <t>HAGFORS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46259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33440-2025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45841</v>
      </c>
      <c r="E196" s="1" t="n">
        <v>46259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52923-2023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46259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45420</v>
      </c>
      <c r="E198" s="1" t="n">
        <v>46259</v>
      </c>
      <c r="F198" t="inlineStr">
        <is>
          <t>VÄRMLANDS LÄN</t>
        </is>
      </c>
      <c r="G198" t="inlineStr">
        <is>
          <t>HAGFORS</t>
        </is>
      </c>
      <c r="I198" t="n">
        <v>11.5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45366</v>
      </c>
      <c r="E199" s="1" t="n">
        <v>46259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45527</v>
      </c>
      <c r="E200" s="1" t="n">
        <v>46259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46259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46259</v>
      </c>
      <c r="F202" t="inlineStr">
        <is>
          <t>VÄRMLANDS LÄN</t>
        </is>
      </c>
      <c r="G202" t="inlineStr">
        <is>
          <t>HAGFORS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45845</v>
      </c>
      <c r="E203" s="1" t="n">
        <v>46259</v>
      </c>
      <c r="F203" t="inlineStr">
        <is>
          <t>VÄRMLANDS LÄN</t>
        </is>
      </c>
      <c r="G203" t="inlineStr">
        <is>
          <t>HAGFORS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45845</v>
      </c>
      <c r="E204" s="1" t="n">
        <v>46259</v>
      </c>
      <c r="F204" t="inlineStr">
        <is>
          <t>VÄRMLANDS LÄN</t>
        </is>
      </c>
      <c r="G204" t="inlineStr">
        <is>
          <t>HAGFORS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46259</v>
      </c>
      <c r="F205" t="inlineStr">
        <is>
          <t>VÄRMLANDS LÄN</t>
        </is>
      </c>
      <c r="G205" t="inlineStr">
        <is>
          <t>HAGFORS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46259</v>
      </c>
      <c r="F206" t="inlineStr">
        <is>
          <t>VÄRMLANDS LÄN</t>
        </is>
      </c>
      <c r="G206" t="inlineStr">
        <is>
          <t>HAGFORS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46259</v>
      </c>
      <c r="F207" t="inlineStr">
        <is>
          <t>VÄRMLANDS LÄN</t>
        </is>
      </c>
      <c r="G207" t="inlineStr">
        <is>
          <t>HAGFORS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58210-2022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44901</v>
      </c>
      <c r="E208" s="1" t="n">
        <v>46259</v>
      </c>
      <c r="F208" t="inlineStr">
        <is>
          <t>VÄRMLANDS LÄN</t>
        </is>
      </c>
      <c r="G208" t="inlineStr">
        <is>
          <t>HAGFORS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45565</v>
      </c>
      <c r="E209" s="1" t="n">
        <v>46259</v>
      </c>
      <c r="F209" t="inlineStr">
        <is>
          <t>VÄRMLANDS LÄN</t>
        </is>
      </c>
      <c r="G209" t="inlineStr">
        <is>
          <t>HAGFORS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43309-2022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44834</v>
      </c>
      <c r="E210" s="1" t="n">
        <v>46259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25258-2023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45079</v>
      </c>
      <c r="E211" s="1" t="n">
        <v>46259</v>
      </c>
      <c r="F211" t="inlineStr">
        <is>
          <t>VÄRMLANDS LÄN</t>
        </is>
      </c>
      <c r="G211" t="inlineStr">
        <is>
          <t>HAGFORS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46259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45854</v>
      </c>
      <c r="E213" s="1" t="n">
        <v>46259</v>
      </c>
      <c r="F213" t="inlineStr">
        <is>
          <t>VÄRMLANDS LÄN</t>
        </is>
      </c>
      <c r="G213" t="inlineStr">
        <is>
          <t>HAGFORS</t>
        </is>
      </c>
      <c r="H213" t="inlineStr">
        <is>
          <t>Kyrkan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45854</v>
      </c>
      <c r="E214" s="1" t="n">
        <v>46259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46259</v>
      </c>
      <c r="F215" t="inlineStr">
        <is>
          <t>VÄRMLANDS LÄN</t>
        </is>
      </c>
      <c r="G215" t="inlineStr">
        <is>
          <t>HAGFORS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46259</v>
      </c>
      <c r="F216" t="inlineStr">
        <is>
          <t>VÄRMLANDS LÄN</t>
        </is>
      </c>
      <c r="G216" t="inlineStr">
        <is>
          <t>HAGFORS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46259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46259</v>
      </c>
      <c r="F218" t="inlineStr">
        <is>
          <t>VÄRMLANDS LÄN</t>
        </is>
      </c>
      <c r="G218" t="inlineStr">
        <is>
          <t>HAGFORS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60167-2023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45258</v>
      </c>
      <c r="E219" s="1" t="n">
        <v>46259</v>
      </c>
      <c r="F219" t="inlineStr">
        <is>
          <t>VÄRMLANDS LÄN</t>
        </is>
      </c>
      <c r="G219" t="inlineStr">
        <is>
          <t>HAGFORS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45489</v>
      </c>
      <c r="E220" s="1" t="n">
        <v>46259</v>
      </c>
      <c r="F220" t="inlineStr">
        <is>
          <t>VÄRMLANDS LÄN</t>
        </is>
      </c>
      <c r="G220" t="inlineStr">
        <is>
          <t>HAGFORS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36293-2023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46259</v>
      </c>
      <c r="F221" t="inlineStr">
        <is>
          <t>VÄRMLANDS LÄN</t>
        </is>
      </c>
      <c r="G221" t="inlineStr">
        <is>
          <t>HAGFORS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46259</v>
      </c>
      <c r="F222" t="inlineStr">
        <is>
          <t>VÄRMLANDS LÄN</t>
        </is>
      </c>
      <c r="G222" t="inlineStr">
        <is>
          <t>HAGFORS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46259</v>
      </c>
      <c r="F223" t="inlineStr">
        <is>
          <t>VÄRMLANDS LÄN</t>
        </is>
      </c>
      <c r="G223" t="inlineStr">
        <is>
          <t>HAGFORS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46259</v>
      </c>
      <c r="F224" t="inlineStr">
        <is>
          <t>VÄRMLANDS LÄN</t>
        </is>
      </c>
      <c r="G224" t="inlineStr">
        <is>
          <t>HAGFORS</t>
        </is>
      </c>
      <c r="H224" t="inlineStr">
        <is>
          <t>Kyrkan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45435</v>
      </c>
      <c r="E225" s="1" t="n">
        <v>46259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45435</v>
      </c>
      <c r="E226" s="1" t="n">
        <v>46259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46259</v>
      </c>
      <c r="F227" t="inlineStr">
        <is>
          <t>VÄRMLANDS LÄN</t>
        </is>
      </c>
      <c r="G227" t="inlineStr">
        <is>
          <t>HAGFORS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45140</v>
      </c>
      <c r="E228" s="1" t="n">
        <v>46259</v>
      </c>
      <c r="F228" t="inlineStr">
        <is>
          <t>VÄRMLANDS LÄN</t>
        </is>
      </c>
      <c r="G228" t="inlineStr">
        <is>
          <t>HAGFORS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46259</v>
      </c>
      <c r="F229" t="inlineStr">
        <is>
          <t>VÄRMLANDS LÄN</t>
        </is>
      </c>
      <c r="G229" t="inlineStr">
        <is>
          <t>HAGFORS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46259</v>
      </c>
      <c r="F230" t="inlineStr">
        <is>
          <t>VÄRMLANDS LÄN</t>
        </is>
      </c>
      <c r="G230" t="inlineStr">
        <is>
          <t>HAGFORS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46259</v>
      </c>
      <c r="F231" t="inlineStr">
        <is>
          <t>VÄRMLANDS LÄN</t>
        </is>
      </c>
      <c r="G231" t="inlineStr">
        <is>
          <t>HAGFORS</t>
        </is>
      </c>
      <c r="H231" t="inlineStr">
        <is>
          <t>Kyrkan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46259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46259</v>
      </c>
      <c r="F233" t="inlineStr">
        <is>
          <t>VÄRMLANDS LÄN</t>
        </is>
      </c>
      <c r="G233" t="inlineStr">
        <is>
          <t>HAGFORS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46259</v>
      </c>
      <c r="F234" t="inlineStr">
        <is>
          <t>VÄRMLANDS LÄN</t>
        </is>
      </c>
      <c r="G234" t="inlineStr">
        <is>
          <t>HAGFORS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37027-2025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46259</v>
      </c>
      <c r="F235" t="inlineStr">
        <is>
          <t>VÄRMLANDS LÄN</t>
        </is>
      </c>
      <c r="G235" t="inlineStr">
        <is>
          <t>HAGFORS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45475</v>
      </c>
      <c r="E236" s="1" t="n">
        <v>46259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46259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45428</v>
      </c>
      <c r="E238" s="1" t="n">
        <v>46259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46259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46259</v>
      </c>
      <c r="F240" t="inlineStr">
        <is>
          <t>VÄRMLANDS LÄN</t>
        </is>
      </c>
      <c r="G240" t="inlineStr">
        <is>
          <t>HAGFORS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45569</v>
      </c>
      <c r="E241" s="1" t="n">
        <v>46259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46259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45335</v>
      </c>
      <c r="E243" s="1" t="n">
        <v>46259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17305-2023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45035</v>
      </c>
      <c r="E244" s="1" t="n">
        <v>46259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45750</v>
      </c>
      <c r="E245" s="1" t="n">
        <v>46259</v>
      </c>
      <c r="F245" t="inlineStr">
        <is>
          <t>VÄRMLANDS LÄN</t>
        </is>
      </c>
      <c r="G245" t="inlineStr">
        <is>
          <t>HAGFORS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44567</v>
      </c>
      <c r="E246" s="1" t="n">
        <v>46259</v>
      </c>
      <c r="F246" t="inlineStr">
        <is>
          <t>VÄRMLANDS LÄN</t>
        </is>
      </c>
      <c r="G246" t="inlineStr">
        <is>
          <t>HAGFORS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61169-2024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45645</v>
      </c>
      <c r="E247" s="1" t="n">
        <v>46259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46259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44622</v>
      </c>
      <c r="E249" s="1" t="n">
        <v>46259</v>
      </c>
      <c r="F249" t="inlineStr">
        <is>
          <t>VÄRMLANDS LÄN</t>
        </is>
      </c>
      <c r="G249" t="inlineStr">
        <is>
          <t>HAGFORS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46259</v>
      </c>
      <c r="F250" t="inlineStr">
        <is>
          <t>VÄRMLANDS LÄN</t>
        </is>
      </c>
      <c r="G250" t="inlineStr">
        <is>
          <t>HAGFORS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41117-2025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46259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46259</v>
      </c>
      <c r="F252" t="inlineStr">
        <is>
          <t>VÄRMLANDS LÄN</t>
        </is>
      </c>
      <c r="G252" t="inlineStr">
        <is>
          <t>HAGFORS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46259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45739</v>
      </c>
      <c r="E254" s="1" t="n">
        <v>46259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46259</v>
      </c>
      <c r="F255" t="inlineStr">
        <is>
          <t>VÄRMLANDS LÄN</t>
        </is>
      </c>
      <c r="G255" t="inlineStr">
        <is>
          <t>HAGFORS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46259</v>
      </c>
      <c r="F256" t="inlineStr">
        <is>
          <t>VÄRMLANDS LÄN</t>
        </is>
      </c>
      <c r="G256" t="inlineStr">
        <is>
          <t>HAGFORS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71447-2021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44540</v>
      </c>
      <c r="E257" s="1" t="n">
        <v>46259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41739-2025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45902</v>
      </c>
      <c r="E258" s="1" t="n">
        <v>46259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46259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46259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45632</v>
      </c>
      <c r="E261" s="1" t="n">
        <v>46259</v>
      </c>
      <c r="F261" t="inlineStr">
        <is>
          <t>VÄRMLANDS LÄN</t>
        </is>
      </c>
      <c r="G261" t="inlineStr">
        <is>
          <t>HAGFORS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41603-2023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45175</v>
      </c>
      <c r="E262" s="1" t="n">
        <v>46259</v>
      </c>
      <c r="F262" t="inlineStr">
        <is>
          <t>VÄRMLANDS LÄN</t>
        </is>
      </c>
      <c r="G262" t="inlineStr">
        <is>
          <t>HAGFORS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46259</v>
      </c>
      <c r="F263" t="inlineStr">
        <is>
          <t>VÄRMLANDS LÄN</t>
        </is>
      </c>
      <c r="G263" t="inlineStr">
        <is>
          <t>HAGFORS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46259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45902</v>
      </c>
      <c r="E265" s="1" t="n">
        <v>46259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46259</v>
      </c>
      <c r="F266" t="inlineStr">
        <is>
          <t>VÄRMLANDS LÄN</t>
        </is>
      </c>
      <c r="G266" t="inlineStr">
        <is>
          <t>HAGFORS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46259</v>
      </c>
      <c r="F267" t="inlineStr">
        <is>
          <t>VÄRMLANDS LÄN</t>
        </is>
      </c>
      <c r="G267" t="inlineStr">
        <is>
          <t>HAGFORS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44582</v>
      </c>
      <c r="E268" s="1" t="n">
        <v>46259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13419-2026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46259</v>
      </c>
      <c r="F269" t="inlineStr">
        <is>
          <t>VÄRMLANDS LÄN</t>
        </is>
      </c>
      <c r="G269" t="inlineStr">
        <is>
          <t>HAGFORS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46259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46259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46259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46259</v>
      </c>
      <c r="F273" t="inlineStr">
        <is>
          <t>VÄRMLANDS LÄN</t>
        </is>
      </c>
      <c r="G273" t="inlineStr">
        <is>
          <t>HAGFORS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46259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46259</v>
      </c>
      <c r="F275" t="inlineStr">
        <is>
          <t>VÄRMLANDS LÄN</t>
        </is>
      </c>
      <c r="G275" t="inlineStr">
        <is>
          <t>HAGFORS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45050</v>
      </c>
      <c r="E276" s="1" t="n">
        <v>46259</v>
      </c>
      <c r="F276" t="inlineStr">
        <is>
          <t>VÄRMLANDS LÄN</t>
        </is>
      </c>
      <c r="G276" t="inlineStr">
        <is>
          <t>HAGFORS</t>
        </is>
      </c>
      <c r="H276" t="inlineStr">
        <is>
          <t>Kommuner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46099</v>
      </c>
      <c r="E277" s="1" t="n">
        <v>46259</v>
      </c>
      <c r="F277" t="inlineStr">
        <is>
          <t>VÄRMLANDS LÄN</t>
        </is>
      </c>
      <c r="G277" t="inlineStr">
        <is>
          <t>HAGFORS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46259</v>
      </c>
      <c r="F278" t="inlineStr">
        <is>
          <t>VÄRMLANDS LÄN</t>
        </is>
      </c>
      <c r="G278" t="inlineStr">
        <is>
          <t>HAGFORS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35065-2023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46259</v>
      </c>
      <c r="F279" t="inlineStr">
        <is>
          <t>VÄRMLANDS LÄN</t>
        </is>
      </c>
      <c r="G279" t="inlineStr">
        <is>
          <t>HAGFORS</t>
        </is>
      </c>
      <c r="I279" t="n">
        <v>13.5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46259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45526</v>
      </c>
      <c r="E281" s="1" t="n">
        <v>46259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46259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46259</v>
      </c>
      <c r="F283" t="inlineStr">
        <is>
          <t>VÄRMLANDS LÄN</t>
        </is>
      </c>
      <c r="G283" t="inlineStr">
        <is>
          <t>HAGFORS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46259</v>
      </c>
      <c r="F284" t="inlineStr">
        <is>
          <t>VÄRMLANDS LÄN</t>
        </is>
      </c>
      <c r="G284" t="inlineStr">
        <is>
          <t>HAGFORS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46259</v>
      </c>
      <c r="F285" t="inlineStr">
        <is>
          <t>VÄRMLANDS LÄN</t>
        </is>
      </c>
      <c r="G285" t="inlineStr">
        <is>
          <t>HAGFORS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46259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46259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46259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46259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46259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17.2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46259</v>
      </c>
      <c r="F291" t="inlineStr">
        <is>
          <t>VÄRMLANDS LÄN</t>
        </is>
      </c>
      <c r="G291" t="inlineStr">
        <is>
          <t>HAGFORS</t>
        </is>
      </c>
      <c r="I291" t="n">
        <v>8.1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46259</v>
      </c>
      <c r="F292" t="inlineStr">
        <is>
          <t>VÄRMLANDS LÄN</t>
        </is>
      </c>
      <c r="G292" t="inlineStr">
        <is>
          <t>HAGFORS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46259</v>
      </c>
      <c r="F293" t="inlineStr">
        <is>
          <t>VÄRMLANDS LÄN</t>
        </is>
      </c>
      <c r="G293" t="inlineStr">
        <is>
          <t>HAGFORS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44824</v>
      </c>
      <c r="E294" s="1" t="n">
        <v>46259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46259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46259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44938</v>
      </c>
      <c r="E297" s="1" t="n">
        <v>46259</v>
      </c>
      <c r="F297" t="inlineStr">
        <is>
          <t>VÄRMLANDS LÄN</t>
        </is>
      </c>
      <c r="G297" t="inlineStr">
        <is>
          <t>HAGFORS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46259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49766-2023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45212</v>
      </c>
      <c r="E299" s="1" t="n">
        <v>46259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46259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46259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45582</v>
      </c>
      <c r="E302" s="1" t="n">
        <v>46259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46259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46259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46259</v>
      </c>
      <c r="F305" t="inlineStr">
        <is>
          <t>VÄRMLANDS LÄN</t>
        </is>
      </c>
      <c r="G305" t="inlineStr">
        <is>
          <t>HAGFORS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46259</v>
      </c>
      <c r="F306" t="inlineStr">
        <is>
          <t>VÄRMLANDS LÄN</t>
        </is>
      </c>
      <c r="G306" t="inlineStr">
        <is>
          <t>HAGFORS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46259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46259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45572</v>
      </c>
      <c r="E309" s="1" t="n">
        <v>46259</v>
      </c>
      <c r="F309" t="inlineStr">
        <is>
          <t>VÄRMLANDS LÄN</t>
        </is>
      </c>
      <c r="G309" t="inlineStr">
        <is>
          <t>HAGFORS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59552-2024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45638</v>
      </c>
      <c r="E310" s="1" t="n">
        <v>46259</v>
      </c>
      <c r="F310" t="inlineStr">
        <is>
          <t>VÄRMLANDS LÄN</t>
        </is>
      </c>
      <c r="G310" t="inlineStr">
        <is>
          <t>HAGFORS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45492</v>
      </c>
      <c r="E311" s="1" t="n">
        <v>46259</v>
      </c>
      <c r="F311" t="inlineStr">
        <is>
          <t>VÄRMLANDS LÄN</t>
        </is>
      </c>
      <c r="G311" t="inlineStr">
        <is>
          <t>HAGFORS</t>
        </is>
      </c>
      <c r="H311" t="inlineStr">
        <is>
          <t>Kyrkan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6980-2022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44603</v>
      </c>
      <c r="E312" s="1" t="n">
        <v>46259</v>
      </c>
      <c r="F312" t="inlineStr">
        <is>
          <t>VÄRMLANDS LÄN</t>
        </is>
      </c>
      <c r="G312" t="inlineStr">
        <is>
          <t>HAGFORS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15491-2026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46259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9.4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46259</v>
      </c>
      <c r="F315" t="inlineStr">
        <is>
          <t>VÄRMLANDS LÄN</t>
        </is>
      </c>
      <c r="G315" t="inlineStr">
        <is>
          <t>HAGFORS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16146-2026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46108</v>
      </c>
      <c r="E316" s="1" t="n">
        <v>46259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44596</v>
      </c>
      <c r="E317" s="1" t="n">
        <v>46259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50929-2023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45211</v>
      </c>
      <c r="E318" s="1" t="n">
        <v>46259</v>
      </c>
      <c r="F318" t="inlineStr">
        <is>
          <t>VÄRMLANDS LÄN</t>
        </is>
      </c>
      <c r="G318" t="inlineStr">
        <is>
          <t>HAGFORS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41092-2024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46259</v>
      </c>
      <c r="F319" t="inlineStr">
        <is>
          <t>VÄRMLANDS LÄN</t>
        </is>
      </c>
      <c r="G319" t="inlineStr">
        <is>
          <t>HAGFORS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54744-2024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45618</v>
      </c>
      <c r="E320" s="1" t="n">
        <v>46259</v>
      </c>
      <c r="F320" t="inlineStr">
        <is>
          <t>VÄRMLANDS LÄN</t>
        </is>
      </c>
      <c r="G320" t="inlineStr">
        <is>
          <t>HAGFORS</t>
        </is>
      </c>
      <c r="H320" t="inlineStr">
        <is>
          <t>Kyrkan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46259</v>
      </c>
      <c r="F321" t="inlineStr">
        <is>
          <t>VÄRMLANDS LÄN</t>
        </is>
      </c>
      <c r="G321" t="inlineStr">
        <is>
          <t>HAGFORS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46259</v>
      </c>
      <c r="F322" t="inlineStr">
        <is>
          <t>VÄRMLANDS LÄN</t>
        </is>
      </c>
      <c r="G322" t="inlineStr">
        <is>
          <t>HAGFORS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45069</v>
      </c>
      <c r="E323" s="1" t="n">
        <v>46259</v>
      </c>
      <c r="F323" t="inlineStr">
        <is>
          <t>VÄRMLANDS LÄN</t>
        </is>
      </c>
      <c r="G323" t="inlineStr">
        <is>
          <t>HAGFORS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45614</v>
      </c>
      <c r="E324" s="1" t="n">
        <v>46259</v>
      </c>
      <c r="F324" t="inlineStr">
        <is>
          <t>VÄRMLANDS LÄN</t>
        </is>
      </c>
      <c r="G324" t="inlineStr">
        <is>
          <t>HAGFORS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46259</v>
      </c>
      <c r="F325" t="inlineStr">
        <is>
          <t>VÄRMLANDS LÄN</t>
        </is>
      </c>
      <c r="G325" t="inlineStr">
        <is>
          <t>HAGFORS</t>
        </is>
      </c>
      <c r="H325" t="inlineStr">
        <is>
          <t>Kyrkan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16824-2023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45033</v>
      </c>
      <c r="E326" s="1" t="n">
        <v>46259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46259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44883</v>
      </c>
      <c r="E328" s="1" t="n">
        <v>46259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17.9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45420</v>
      </c>
      <c r="E329" s="1" t="n">
        <v>46259</v>
      </c>
      <c r="F329" t="inlineStr">
        <is>
          <t>VÄRMLANDS LÄN</t>
        </is>
      </c>
      <c r="G329" t="inlineStr">
        <is>
          <t>HAGFORS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46259</v>
      </c>
      <c r="F330" t="inlineStr">
        <is>
          <t>VÄRMLANDS LÄN</t>
        </is>
      </c>
      <c r="G330" t="inlineStr">
        <is>
          <t>HAGFORS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47027-2023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46259</v>
      </c>
      <c r="F331" t="inlineStr">
        <is>
          <t>VÄRMLANDS LÄN</t>
        </is>
      </c>
      <c r="G331" t="inlineStr">
        <is>
          <t>HAGFORS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46259</v>
      </c>
      <c r="F332" t="inlineStr">
        <is>
          <t>VÄRMLANDS LÄN</t>
        </is>
      </c>
      <c r="G332" t="inlineStr">
        <is>
          <t>HAGFORS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45506</v>
      </c>
      <c r="E333" s="1" t="n">
        <v>46259</v>
      </c>
      <c r="F333" t="inlineStr">
        <is>
          <t>VÄRMLANDS LÄN</t>
        </is>
      </c>
      <c r="G333" t="inlineStr">
        <is>
          <t>HAGFORS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45645</v>
      </c>
      <c r="E334" s="1" t="n">
        <v>46259</v>
      </c>
      <c r="F334" t="inlineStr">
        <is>
          <t>VÄRMLANDS LÄN</t>
        </is>
      </c>
      <c r="G334" t="inlineStr">
        <is>
          <t>HAGFORS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44664</v>
      </c>
      <c r="E335" s="1" t="n">
        <v>46259</v>
      </c>
      <c r="F335" t="inlineStr">
        <is>
          <t>VÄRMLANDS LÄN</t>
        </is>
      </c>
      <c r="G335" t="inlineStr">
        <is>
          <t>HAGFORS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12426-2024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45379</v>
      </c>
      <c r="E336" s="1" t="n">
        <v>46259</v>
      </c>
      <c r="F336" t="inlineStr">
        <is>
          <t>VÄRMLANDS LÄN</t>
        </is>
      </c>
      <c r="G336" t="inlineStr">
        <is>
          <t>HAGFORS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46259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46259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45659</v>
      </c>
      <c r="E339" s="1" t="n">
        <v>46259</v>
      </c>
      <c r="F339" t="inlineStr">
        <is>
          <t>VÄRMLANDS LÄN</t>
        </is>
      </c>
      <c r="G339" t="inlineStr">
        <is>
          <t>HAGFORS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46259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46259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46259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46259</v>
      </c>
      <c r="F343" t="inlineStr">
        <is>
          <t>VÄRMLANDS LÄN</t>
        </is>
      </c>
      <c r="G343" t="inlineStr">
        <is>
          <t>HAGFORS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18528-2026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46127</v>
      </c>
      <c r="E344" s="1" t="n">
        <v>46259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45446</v>
      </c>
      <c r="E345" s="1" t="n">
        <v>46259</v>
      </c>
      <c r="F345" t="inlineStr">
        <is>
          <t>VÄRMLANDS LÄN</t>
        </is>
      </c>
      <c r="G345" t="inlineStr">
        <is>
          <t>HAGFORS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46259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45055</v>
      </c>
      <c r="E347" s="1" t="n">
        <v>46259</v>
      </c>
      <c r="F347" t="inlineStr">
        <is>
          <t>VÄRMLANDS LÄN</t>
        </is>
      </c>
      <c r="G347" t="inlineStr">
        <is>
          <t>HAGFORS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64936-2023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46259</v>
      </c>
      <c r="F348" t="inlineStr">
        <is>
          <t>VÄRMLANDS LÄN</t>
        </is>
      </c>
      <c r="G348" t="inlineStr">
        <is>
          <t>HAGFORS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45763</v>
      </c>
      <c r="E349" s="1" t="n">
        <v>46259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46259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45037</v>
      </c>
      <c r="E351" s="1" t="n">
        <v>46259</v>
      </c>
      <c r="F351" t="inlineStr">
        <is>
          <t>VÄRMLANDS LÄN</t>
        </is>
      </c>
      <c r="G351" t="inlineStr">
        <is>
          <t>HAGFORS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46129</v>
      </c>
      <c r="E352" s="1" t="n">
        <v>46259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46259</v>
      </c>
      <c r="F353" t="inlineStr">
        <is>
          <t>VÄRMLANDS LÄN</t>
        </is>
      </c>
      <c r="G353" t="inlineStr">
        <is>
          <t>HAGFORS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46259</v>
      </c>
      <c r="F354" t="inlineStr">
        <is>
          <t>VÄRMLANDS LÄN</t>
        </is>
      </c>
      <c r="G354" t="inlineStr">
        <is>
          <t>HAGFORS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46259</v>
      </c>
      <c r="F355" t="inlineStr">
        <is>
          <t>VÄRMLANDS LÄN</t>
        </is>
      </c>
      <c r="G355" t="inlineStr">
        <is>
          <t>HAGFORS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52924-2023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46259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45385</v>
      </c>
      <c r="E357" s="1" t="n">
        <v>46259</v>
      </c>
      <c r="F357" t="inlineStr">
        <is>
          <t>VÄRMLANDS LÄN</t>
        </is>
      </c>
      <c r="G357" t="inlineStr">
        <is>
          <t>HAGFORS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46259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46259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46259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46259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46259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45679</v>
      </c>
      <c r="E364" s="1" t="n">
        <v>46259</v>
      </c>
      <c r="F364" t="inlineStr">
        <is>
          <t>VÄRMLANDS LÄN</t>
        </is>
      </c>
      <c r="G364" t="inlineStr">
        <is>
          <t>HAGFORS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45390</v>
      </c>
      <c r="E365" s="1" t="n">
        <v>46259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46259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46259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46259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46259</v>
      </c>
      <c r="F369" t="inlineStr">
        <is>
          <t>VÄRMLANDS LÄN</t>
        </is>
      </c>
      <c r="G369" t="inlineStr">
        <is>
          <t>HAGFORS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46259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45361-2025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46259</v>
      </c>
      <c r="F371" t="inlineStr">
        <is>
          <t>VÄRMLANDS LÄN</t>
        </is>
      </c>
      <c r="G371" t="inlineStr">
        <is>
          <t>HAGFORS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46259</v>
      </c>
      <c r="F372" t="inlineStr">
        <is>
          <t>VÄRMLANDS LÄN</t>
        </is>
      </c>
      <c r="G372" t="inlineStr">
        <is>
          <t>HAGFORS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44638</v>
      </c>
      <c r="E373" s="1" t="n">
        <v>46259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45641-2025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45922</v>
      </c>
      <c r="E374" s="1" t="n">
        <v>46259</v>
      </c>
      <c r="F374" t="inlineStr">
        <is>
          <t>VÄRMLANDS LÄN</t>
        </is>
      </c>
      <c r="G374" t="inlineStr">
        <is>
          <t>HAGFORS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28571-2025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46259</v>
      </c>
      <c r="F375" t="inlineStr">
        <is>
          <t>VÄRMLANDS LÄN</t>
        </is>
      </c>
      <c r="G375" t="inlineStr">
        <is>
          <t>HAGFORS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45149</v>
      </c>
      <c r="E376" s="1" t="n">
        <v>46259</v>
      </c>
      <c r="F376" t="inlineStr">
        <is>
          <t>VÄRMLANDS LÄN</t>
        </is>
      </c>
      <c r="G376" t="inlineStr">
        <is>
          <t>HAGFORS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45703</v>
      </c>
      <c r="E377" s="1" t="n">
        <v>46259</v>
      </c>
      <c r="F377" t="inlineStr">
        <is>
          <t>VÄRMLANDS LÄN</t>
        </is>
      </c>
      <c r="G377" t="inlineStr">
        <is>
          <t>HAGFORS</t>
        </is>
      </c>
      <c r="H377" t="inlineStr">
        <is>
          <t>Kyrkan</t>
        </is>
      </c>
      <c r="I377" t="n">
        <v>15.9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19072-2025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45765</v>
      </c>
      <c r="E378" s="1" t="n">
        <v>46259</v>
      </c>
      <c r="F378" t="inlineStr">
        <is>
          <t>VÄRMLANDS LÄN</t>
        </is>
      </c>
      <c r="G378" t="inlineStr">
        <is>
          <t>HAGFORS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8922-2025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45713</v>
      </c>
      <c r="E379" s="1" t="n">
        <v>46259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46259</v>
      </c>
      <c r="F380" t="inlineStr">
        <is>
          <t>VÄRMLANDS LÄN</t>
        </is>
      </c>
      <c r="G380" t="inlineStr">
        <is>
          <t>HAGFORS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46259</v>
      </c>
      <c r="F381" t="inlineStr">
        <is>
          <t>VÄRMLANDS LÄN</t>
        </is>
      </c>
      <c r="G381" t="inlineStr">
        <is>
          <t>HAGFORS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18699-2022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44687</v>
      </c>
      <c r="E382" s="1" t="n">
        <v>46259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46259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46259</v>
      </c>
      <c r="F384" t="inlineStr">
        <is>
          <t>VÄRMLANDS LÄN</t>
        </is>
      </c>
      <c r="G384" t="inlineStr">
        <is>
          <t>HAGFORS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46259</v>
      </c>
      <c r="F385" t="inlineStr">
        <is>
          <t>VÄRMLANDS LÄN</t>
        </is>
      </c>
      <c r="G385" t="inlineStr">
        <is>
          <t>HAGFORS</t>
        </is>
      </c>
      <c r="H385" t="inlineStr">
        <is>
          <t>Kyrkan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45684</v>
      </c>
      <c r="E386" s="1" t="n">
        <v>46259</v>
      </c>
      <c r="F386" t="inlineStr">
        <is>
          <t>VÄRMLANDS LÄN</t>
        </is>
      </c>
      <c r="G386" t="inlineStr">
        <is>
          <t>HAGFORS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13300-2023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45005</v>
      </c>
      <c r="E387" s="1" t="n">
        <v>46259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44125-2021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44434</v>
      </c>
      <c r="E388" s="1" t="n">
        <v>46259</v>
      </c>
      <c r="F388" t="inlineStr">
        <is>
          <t>VÄRMLANDS LÄN</t>
        </is>
      </c>
      <c r="G388" t="inlineStr">
        <is>
          <t>HAGFORS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45684</v>
      </c>
      <c r="E389" s="1" t="n">
        <v>46259</v>
      </c>
      <c r="F389" t="inlineStr">
        <is>
          <t>VÄRMLANDS LÄN</t>
        </is>
      </c>
      <c r="G389" t="inlineStr">
        <is>
          <t>HAGFORS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45925</v>
      </c>
      <c r="E390" s="1" t="n">
        <v>46259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45671</v>
      </c>
      <c r="E391" s="1" t="n">
        <v>46259</v>
      </c>
      <c r="F391" t="inlineStr">
        <is>
          <t>VÄRMLANDS LÄN</t>
        </is>
      </c>
      <c r="G391" t="inlineStr">
        <is>
          <t>HAGFORS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45097</v>
      </c>
      <c r="E392" s="1" t="n">
        <v>46259</v>
      </c>
      <c r="F392" t="inlineStr">
        <is>
          <t>VÄRMLANDS LÄN</t>
        </is>
      </c>
      <c r="G392" t="inlineStr">
        <is>
          <t>HAGFORS</t>
        </is>
      </c>
      <c r="H392" t="inlineStr">
        <is>
          <t>Kyrkan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45609</v>
      </c>
      <c r="E393" s="1" t="n">
        <v>46259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45623</v>
      </c>
      <c r="E394" s="1" t="n">
        <v>46259</v>
      </c>
      <c r="F394" t="inlineStr">
        <is>
          <t>VÄRMLANDS LÄN</t>
        </is>
      </c>
      <c r="G394" t="inlineStr">
        <is>
          <t>HAGFORS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46280-2025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46259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45926</v>
      </c>
      <c r="E396" s="1" t="n">
        <v>46259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45833</v>
      </c>
      <c r="E397" s="1" t="n">
        <v>46259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40835-2023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45172</v>
      </c>
      <c r="E398" s="1" t="n">
        <v>46259</v>
      </c>
      <c r="F398" t="inlineStr">
        <is>
          <t>VÄRMLANDS LÄN</t>
        </is>
      </c>
      <c r="G398" t="inlineStr">
        <is>
          <t>HAGFORS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52224-2023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45224</v>
      </c>
      <c r="E399" s="1" t="n">
        <v>46259</v>
      </c>
      <c r="F399" t="inlineStr">
        <is>
          <t>VÄRMLANDS LÄN</t>
        </is>
      </c>
      <c r="G399" t="inlineStr">
        <is>
          <t>HAGFORS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45783</v>
      </c>
      <c r="E400" s="1" t="n">
        <v>46259</v>
      </c>
      <c r="F400" t="inlineStr">
        <is>
          <t>VÄRMLANDS LÄN</t>
        </is>
      </c>
      <c r="G400" t="inlineStr">
        <is>
          <t>HAGFORS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46136</v>
      </c>
      <c r="E401" s="1" t="n">
        <v>46259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45132</v>
      </c>
      <c r="E402" s="1" t="n">
        <v>46259</v>
      </c>
      <c r="F402" t="inlineStr">
        <is>
          <t>VÄRMLANDS LÄN</t>
        </is>
      </c>
      <c r="G402" t="inlineStr">
        <is>
          <t>HAGFORS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45715</v>
      </c>
      <c r="E403" s="1" t="n">
        <v>46259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22346-2025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45786</v>
      </c>
      <c r="E404" s="1" t="n">
        <v>46259</v>
      </c>
      <c r="F404" t="inlineStr">
        <is>
          <t>VÄRMLANDS LÄN</t>
        </is>
      </c>
      <c r="G404" t="inlineStr">
        <is>
          <t>HAGFORS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45927</v>
      </c>
      <c r="E405" s="1" t="n">
        <v>46259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46259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45930</v>
      </c>
      <c r="E407" s="1" t="n">
        <v>46259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46259</v>
      </c>
      <c r="F408" t="inlineStr">
        <is>
          <t>VÄRMLANDS LÄN</t>
        </is>
      </c>
      <c r="G408" t="inlineStr">
        <is>
          <t>HAGFORS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45927</v>
      </c>
      <c r="E409" s="1" t="n">
        <v>46259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46838-2025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45928</v>
      </c>
      <c r="E410" s="1" t="n">
        <v>46259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45450</v>
      </c>
      <c r="E411" s="1" t="n">
        <v>46259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45932</v>
      </c>
      <c r="E412" s="1" t="n">
        <v>46259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48134-2025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46259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46259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45933</v>
      </c>
      <c r="E415" s="1" t="n">
        <v>46259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46259</v>
      </c>
      <c r="F416" t="inlineStr">
        <is>
          <t>VÄRMLANDS LÄN</t>
        </is>
      </c>
      <c r="G416" t="inlineStr">
        <is>
          <t>HAGFORS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45847</v>
      </c>
      <c r="E417" s="1" t="n">
        <v>46259</v>
      </c>
      <c r="F417" t="inlineStr">
        <is>
          <t>VÄRMLANDS LÄN</t>
        </is>
      </c>
      <c r="G417" t="inlineStr">
        <is>
          <t>HAGFORS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48138-2025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46259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9.699999999999999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45933</v>
      </c>
      <c r="E419" s="1" t="n">
        <v>46259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30180-2023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46259</v>
      </c>
      <c r="F420" t="inlineStr">
        <is>
          <t>VÄRMLANDS LÄN</t>
        </is>
      </c>
      <c r="G420" t="inlineStr">
        <is>
          <t>HAGFORS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46259</v>
      </c>
      <c r="F421" t="inlineStr">
        <is>
          <t>VÄRMLANDS LÄN</t>
        </is>
      </c>
      <c r="G421" t="inlineStr">
        <is>
          <t>HAGFORS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49146-2025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46259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45051</v>
      </c>
      <c r="E423" s="1" t="n">
        <v>46259</v>
      </c>
      <c r="F423" t="inlineStr">
        <is>
          <t>VÄRMLANDS LÄN</t>
        </is>
      </c>
      <c r="G423" t="inlineStr">
        <is>
          <t>HAGFORS</t>
        </is>
      </c>
      <c r="H423" t="inlineStr">
        <is>
          <t>Kommuner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46259</v>
      </c>
      <c r="F424" t="inlineStr">
        <is>
          <t>VÄRMLANDS LÄN</t>
        </is>
      </c>
      <c r="G424" t="inlineStr">
        <is>
          <t>HAGFORS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48809-2025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45937</v>
      </c>
      <c r="E425" s="1" t="n">
        <v>46259</v>
      </c>
      <c r="F425" t="inlineStr">
        <is>
          <t>VÄRMLANDS LÄN</t>
        </is>
      </c>
      <c r="G425" t="inlineStr">
        <is>
          <t>HAGFORS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29492-2024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45484</v>
      </c>
      <c r="E426" s="1" t="n">
        <v>46259</v>
      </c>
      <c r="F426" t="inlineStr">
        <is>
          <t>VÄRMLANDS LÄN</t>
        </is>
      </c>
      <c r="G426" t="inlineStr">
        <is>
          <t>HAGFORS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24947-2024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45461</v>
      </c>
      <c r="E427" s="1" t="n">
        <v>46259</v>
      </c>
      <c r="F427" t="inlineStr">
        <is>
          <t>VÄRMLANDS LÄN</t>
        </is>
      </c>
      <c r="G427" t="inlineStr">
        <is>
          <t>HAGFORS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20260-2026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46139</v>
      </c>
      <c r="E428" s="1" t="n">
        <v>46259</v>
      </c>
      <c r="F428" t="inlineStr">
        <is>
          <t>VÄRMLANDS LÄN</t>
        </is>
      </c>
      <c r="G428" t="inlineStr">
        <is>
          <t>HAGFORS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45839</v>
      </c>
      <c r="E429" s="1" t="n">
        <v>46259</v>
      </c>
      <c r="F429" t="inlineStr">
        <is>
          <t>VÄRMLANDS LÄN</t>
        </is>
      </c>
      <c r="G429" t="inlineStr">
        <is>
          <t>HAGFORS</t>
        </is>
      </c>
      <c r="H429" t="inlineStr">
        <is>
          <t>Kyrkan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46259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47028-2023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46259</v>
      </c>
      <c r="F431" t="inlineStr">
        <is>
          <t>VÄRMLANDS LÄN</t>
        </is>
      </c>
      <c r="G431" t="inlineStr">
        <is>
          <t>HAGFORS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46259</v>
      </c>
      <c r="F432" t="inlineStr">
        <is>
          <t>VÄRMLANDS LÄN</t>
        </is>
      </c>
      <c r="G432" t="inlineStr">
        <is>
          <t>HAGFORS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38555-2023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46259</v>
      </c>
      <c r="F433" t="inlineStr">
        <is>
          <t>VÄRMLANDS LÄN</t>
        </is>
      </c>
      <c r="G433" t="inlineStr">
        <is>
          <t>HAGFORS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45645</v>
      </c>
      <c r="E434" s="1" t="n">
        <v>46259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46259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46259</v>
      </c>
      <c r="F436" t="inlineStr">
        <is>
          <t>VÄRMLANDS LÄN</t>
        </is>
      </c>
      <c r="G436" t="inlineStr">
        <is>
          <t>HAGFORS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45796</v>
      </c>
      <c r="E437" s="1" t="n">
        <v>46259</v>
      </c>
      <c r="F437" t="inlineStr">
        <is>
          <t>VÄRMLANDS LÄN</t>
        </is>
      </c>
      <c r="G437" t="inlineStr">
        <is>
          <t>HAGFORS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46259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45279</v>
      </c>
      <c r="E439" s="1" t="n">
        <v>46259</v>
      </c>
      <c r="F439" t="inlineStr">
        <is>
          <t>VÄRMLANDS LÄN</t>
        </is>
      </c>
      <c r="G439" t="inlineStr">
        <is>
          <t>HAGFORS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46259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45758</v>
      </c>
      <c r="E441" s="1" t="n">
        <v>46259</v>
      </c>
      <c r="F441" t="inlineStr">
        <is>
          <t>VÄRMLANDS LÄN</t>
        </is>
      </c>
      <c r="G441" t="inlineStr">
        <is>
          <t>HAGFORS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46259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46259</v>
      </c>
      <c r="F443" t="inlineStr">
        <is>
          <t>VÄRMLANDS LÄN</t>
        </is>
      </c>
      <c r="G443" t="inlineStr">
        <is>
          <t>HAGFORS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45469</v>
      </c>
      <c r="E444" s="1" t="n">
        <v>46259</v>
      </c>
      <c r="F444" t="inlineStr">
        <is>
          <t>VÄRMLANDS LÄN</t>
        </is>
      </c>
      <c r="G444" t="inlineStr">
        <is>
          <t>HAGFORS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12778-2025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45733</v>
      </c>
      <c r="E445" s="1" t="n">
        <v>46259</v>
      </c>
      <c r="F445" t="inlineStr">
        <is>
          <t>VÄRMLANDS LÄN</t>
        </is>
      </c>
      <c r="G445" t="inlineStr">
        <is>
          <t>HAGFORS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45615</v>
      </c>
      <c r="E446" s="1" t="n">
        <v>46259</v>
      </c>
      <c r="F446" t="inlineStr">
        <is>
          <t>VÄRMLANDS LÄN</t>
        </is>
      </c>
      <c r="G446" t="inlineStr">
        <is>
          <t>HAGFORS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45846</v>
      </c>
      <c r="E447" s="1" t="n">
        <v>46259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46259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8.300000000000001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46259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30180-2022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44757</v>
      </c>
      <c r="E450" s="1" t="n">
        <v>46259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44915</v>
      </c>
      <c r="E451" s="1" t="n">
        <v>46259</v>
      </c>
      <c r="F451" t="inlineStr">
        <is>
          <t>VÄRMLANDS LÄN</t>
        </is>
      </c>
      <c r="G451" t="inlineStr">
        <is>
          <t>HAGFORS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68252-2021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44526</v>
      </c>
      <c r="E452" s="1" t="n">
        <v>46259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45939</v>
      </c>
      <c r="E453" s="1" t="n">
        <v>46259</v>
      </c>
      <c r="F453" t="inlineStr">
        <is>
          <t>VÄRMLANDS LÄN</t>
        </is>
      </c>
      <c r="G453" t="inlineStr">
        <is>
          <t>HAGFORS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20752-2026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46141</v>
      </c>
      <c r="E454" s="1" t="n">
        <v>46259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20729-2026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46259</v>
      </c>
      <c r="F455" t="inlineStr">
        <is>
          <t>VÄRMLANDS LÄN</t>
        </is>
      </c>
      <c r="G455" t="inlineStr">
        <is>
          <t>HAGFORS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45250</v>
      </c>
      <c r="E456" s="1" t="n">
        <v>46259</v>
      </c>
      <c r="F456" t="inlineStr">
        <is>
          <t>VÄRMLANDS LÄN</t>
        </is>
      </c>
      <c r="G456" t="inlineStr">
        <is>
          <t>HAGFORS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20880-2026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46142</v>
      </c>
      <c r="E457" s="1" t="n">
        <v>46259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45723</v>
      </c>
      <c r="E458" s="1" t="n">
        <v>46259</v>
      </c>
      <c r="F458" t="inlineStr">
        <is>
          <t>VÄRMLANDS LÄN</t>
        </is>
      </c>
      <c r="G458" t="inlineStr">
        <is>
          <t>HAGFORS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11180-2025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45725</v>
      </c>
      <c r="E459" s="1" t="n">
        <v>46259</v>
      </c>
      <c r="F459" t="inlineStr">
        <is>
          <t>VÄRMLANDS LÄN</t>
        </is>
      </c>
      <c r="G459" t="inlineStr">
        <is>
          <t>HAGFORS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19702-2022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44694</v>
      </c>
      <c r="E460" s="1" t="n">
        <v>46259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46259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19391-2025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45769</v>
      </c>
      <c r="E462" s="1" t="n">
        <v>46259</v>
      </c>
      <c r="F462" t="inlineStr">
        <is>
          <t>VÄRMLANDS LÄN</t>
        </is>
      </c>
      <c r="G462" t="inlineStr">
        <is>
          <t>HAGFORS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36360-2023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45152</v>
      </c>
      <c r="E463" s="1" t="n">
        <v>46259</v>
      </c>
      <c r="F463" t="inlineStr">
        <is>
          <t>VÄRMLANDS LÄN</t>
        </is>
      </c>
      <c r="G463" t="inlineStr">
        <is>
          <t>HAGFORS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46259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12.6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31166-2022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44770</v>
      </c>
      <c r="E465" s="1" t="n">
        <v>46259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44763</v>
      </c>
      <c r="E466" s="1" t="n">
        <v>46259</v>
      </c>
      <c r="F466" t="inlineStr">
        <is>
          <t>VÄRMLANDS LÄN</t>
        </is>
      </c>
      <c r="G466" t="inlineStr">
        <is>
          <t>HAGFORS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45310</v>
      </c>
      <c r="E467" s="1" t="n">
        <v>46259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45941</v>
      </c>
      <c r="E468" s="1" t="n">
        <v>46259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20911-2026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46259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46259</v>
      </c>
      <c r="F470" t="inlineStr">
        <is>
          <t>VÄRMLANDS LÄN</t>
        </is>
      </c>
      <c r="G470" t="inlineStr">
        <is>
          <t>HAGFORS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20706-2026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46141</v>
      </c>
      <c r="E471" s="1" t="n">
        <v>46259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57379-2022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44896</v>
      </c>
      <c r="E472" s="1" t="n">
        <v>46259</v>
      </c>
      <c r="F472" t="inlineStr">
        <is>
          <t>VÄRMLANDS LÄN</t>
        </is>
      </c>
      <c r="G472" t="inlineStr">
        <is>
          <t>HAGFORS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45946</v>
      </c>
      <c r="E473" s="1" t="n">
        <v>46259</v>
      </c>
      <c r="F473" t="inlineStr">
        <is>
          <t>VÄRMLANDS LÄN</t>
        </is>
      </c>
      <c r="G473" t="inlineStr">
        <is>
          <t>HAGFORS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46259</v>
      </c>
      <c r="F474" t="inlineStr">
        <is>
          <t>VÄRMLANDS LÄN</t>
        </is>
      </c>
      <c r="G474" t="inlineStr">
        <is>
          <t>HAGFORS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46259</v>
      </c>
      <c r="F475" t="inlineStr">
        <is>
          <t>VÄRMLANDS LÄN</t>
        </is>
      </c>
      <c r="G475" t="inlineStr">
        <is>
          <t>HAGFORS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25349-2023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45087</v>
      </c>
      <c r="E476" s="1" t="n">
        <v>46259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46259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45264</v>
      </c>
      <c r="E478" s="1" t="n">
        <v>46259</v>
      </c>
      <c r="F478" t="inlineStr">
        <is>
          <t>VÄRMLANDS LÄN</t>
        </is>
      </c>
      <c r="G478" t="inlineStr">
        <is>
          <t>HAGFORS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47019-2023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46259</v>
      </c>
      <c r="F479" t="inlineStr">
        <is>
          <t>VÄRMLANDS LÄN</t>
        </is>
      </c>
      <c r="G479" t="inlineStr">
        <is>
          <t>HAGFORS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5482-2022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44595</v>
      </c>
      <c r="E480" s="1" t="n">
        <v>46259</v>
      </c>
      <c r="F480" t="inlineStr">
        <is>
          <t>VÄRMLANDS LÄN</t>
        </is>
      </c>
      <c r="G480" t="inlineStr">
        <is>
          <t>HAGFORS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45029</v>
      </c>
      <c r="E481" s="1" t="n">
        <v>46259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39029-2022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46259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45653</v>
      </c>
      <c r="E483" s="1" t="n">
        <v>46259</v>
      </c>
      <c r="F483" t="inlineStr">
        <is>
          <t>VÄRMLANDS LÄN</t>
        </is>
      </c>
      <c r="G483" t="inlineStr">
        <is>
          <t>HAGFORS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46259</v>
      </c>
      <c r="F484" t="inlineStr">
        <is>
          <t>VÄRMLANDS LÄN</t>
        </is>
      </c>
      <c r="G484" t="inlineStr">
        <is>
          <t>HAGFORS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20652-2022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44700</v>
      </c>
      <c r="E485" s="1" t="n">
        <v>46259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30327-2022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44760</v>
      </c>
      <c r="E486" s="1" t="n">
        <v>46259</v>
      </c>
      <c r="F486" t="inlineStr">
        <is>
          <t>VÄRMLANDS LÄN</t>
        </is>
      </c>
      <c r="G486" t="inlineStr">
        <is>
          <t>HAGFORS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54929-2024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45618</v>
      </c>
      <c r="E487" s="1" t="n">
        <v>46259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45720</v>
      </c>
      <c r="E488" s="1" t="n">
        <v>46259</v>
      </c>
      <c r="F488" t="inlineStr">
        <is>
          <t>VÄRMLANDS LÄN</t>
        </is>
      </c>
      <c r="G488" t="inlineStr">
        <is>
          <t>HAGFORS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46150</v>
      </c>
      <c r="E489" s="1" t="n">
        <v>46259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21776-2026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46150</v>
      </c>
      <c r="E490" s="1" t="n">
        <v>46259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46259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49753-2023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45212</v>
      </c>
      <c r="E492" s="1" t="n">
        <v>46259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21762-2026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46150</v>
      </c>
      <c r="E493" s="1" t="n">
        <v>46259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31660-2022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44776</v>
      </c>
      <c r="E494" s="1" t="n">
        <v>46259</v>
      </c>
      <c r="F494" t="inlineStr">
        <is>
          <t>VÄRMLANDS LÄN</t>
        </is>
      </c>
      <c r="G494" t="inlineStr">
        <is>
          <t>HAGFORS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51915-2023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45223</v>
      </c>
      <c r="E495" s="1" t="n">
        <v>46259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56466-2024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45625</v>
      </c>
      <c r="E496" s="1" t="n">
        <v>46259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46259</v>
      </c>
      <c r="F497" t="inlineStr">
        <is>
          <t>VÄRMLANDS LÄN</t>
        </is>
      </c>
      <c r="G497" t="inlineStr">
        <is>
          <t>HAGFORS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46259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44937</v>
      </c>
      <c r="E499" s="1" t="n">
        <v>46259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36206-2024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45534</v>
      </c>
      <c r="E500" s="1" t="n">
        <v>46259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45351</v>
      </c>
      <c r="E501" s="1" t="n">
        <v>46259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45509</v>
      </c>
      <c r="E502" s="1" t="n">
        <v>46259</v>
      </c>
      <c r="F502" t="inlineStr">
        <is>
          <t>VÄRMLANDS LÄN</t>
        </is>
      </c>
      <c r="G502" t="inlineStr">
        <is>
          <t>HAGFORS</t>
        </is>
      </c>
      <c r="H502" t="inlineStr">
        <is>
          <t>Kommuner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42150-2024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45562</v>
      </c>
      <c r="E503" s="1" t="n">
        <v>46259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46259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60178-2023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45258</v>
      </c>
      <c r="E505" s="1" t="n">
        <v>46259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46259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46259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46259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46259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51160-2025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45947</v>
      </c>
      <c r="E510" s="1" t="n">
        <v>46259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22556-2026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46259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46259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15270-2024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45400</v>
      </c>
      <c r="E513" s="1" t="n">
        <v>46259</v>
      </c>
      <c r="F513" t="inlineStr">
        <is>
          <t>VÄRMLANDS LÄN</t>
        </is>
      </c>
      <c r="G513" t="inlineStr">
        <is>
          <t>HAGFORS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50977-2025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45947</v>
      </c>
      <c r="E514" s="1" t="n">
        <v>46259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9.300000000000001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14850-2025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45743</v>
      </c>
      <c r="E515" s="1" t="n">
        <v>46259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46259</v>
      </c>
      <c r="F516" t="inlineStr">
        <is>
          <t>VÄRMLANDS LÄN</t>
        </is>
      </c>
      <c r="G516" t="inlineStr">
        <is>
          <t>HAGFORS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46259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8304-2022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44610</v>
      </c>
      <c r="E518" s="1" t="n">
        <v>46259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55447-2022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44887</v>
      </c>
      <c r="E519" s="1" t="n">
        <v>46259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45949</v>
      </c>
      <c r="E520" s="1" t="n">
        <v>46259</v>
      </c>
      <c r="F520" t="inlineStr">
        <is>
          <t>VÄRMLANDS LÄN</t>
        </is>
      </c>
      <c r="G520" t="inlineStr">
        <is>
          <t>HAGFORS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44953</v>
      </c>
      <c r="E521" s="1" t="n">
        <v>46259</v>
      </c>
      <c r="F521" t="inlineStr">
        <is>
          <t>VÄRMLANDS LÄN</t>
        </is>
      </c>
      <c r="G521" t="inlineStr">
        <is>
          <t>HAGFORS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23129-2026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46259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46259</v>
      </c>
      <c r="F523" t="inlineStr">
        <is>
          <t>VÄRMLANDS LÄN</t>
        </is>
      </c>
      <c r="G523" t="inlineStr">
        <is>
          <t>HAGFORS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44951</v>
      </c>
      <c r="E524" s="1" t="n">
        <v>46259</v>
      </c>
      <c r="F524" t="inlineStr">
        <is>
          <t>VÄRMLANDS LÄN</t>
        </is>
      </c>
      <c r="G524" t="inlineStr">
        <is>
          <t>HAGFORS</t>
        </is>
      </c>
      <c r="H524" t="inlineStr">
        <is>
          <t>Kommuner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13850-2022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44649</v>
      </c>
      <c r="E525" s="1" t="n">
        <v>46259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46259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51611-2025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45951</v>
      </c>
      <c r="E527" s="1" t="n">
        <v>46259</v>
      </c>
      <c r="F527" t="inlineStr">
        <is>
          <t>VÄRMLANDS LÄN</t>
        </is>
      </c>
      <c r="G527" t="inlineStr">
        <is>
          <t>HAGFORS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46259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23525-2026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46163</v>
      </c>
      <c r="E529" s="1" t="n">
        <v>46259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61902-2021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44502</v>
      </c>
      <c r="E530" s="1" t="n">
        <v>46259</v>
      </c>
      <c r="F530" t="inlineStr">
        <is>
          <t>VÄRMLANDS LÄN</t>
        </is>
      </c>
      <c r="G530" t="inlineStr">
        <is>
          <t>HAGFORS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46259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23728-2026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46164</v>
      </c>
      <c r="E532" s="1" t="n">
        <v>46259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52479-2025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45954</v>
      </c>
      <c r="E533" s="1" t="n">
        <v>46259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45502</v>
      </c>
      <c r="E534" s="1" t="n">
        <v>46259</v>
      </c>
      <c r="F534" t="inlineStr">
        <is>
          <t>VÄRMLANDS LÄN</t>
        </is>
      </c>
      <c r="G534" t="inlineStr">
        <is>
          <t>HAGFORS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58307-2023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45250</v>
      </c>
      <c r="E535" s="1" t="n">
        <v>46259</v>
      </c>
      <c r="F535" t="inlineStr">
        <is>
          <t>VÄRMLANDS LÄN</t>
        </is>
      </c>
      <c r="G535" t="inlineStr">
        <is>
          <t>HAGFORS</t>
        </is>
      </c>
      <c r="H535" t="inlineStr">
        <is>
          <t>Kommuner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46259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11104-2022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44628</v>
      </c>
      <c r="E537" s="1" t="n">
        <v>46259</v>
      </c>
      <c r="F537" t="inlineStr">
        <is>
          <t>VÄRMLANDS LÄN</t>
        </is>
      </c>
      <c r="G537" t="inlineStr">
        <is>
          <t>HAGFORS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46259</v>
      </c>
      <c r="F538" t="inlineStr">
        <is>
          <t>VÄRMLANDS LÄN</t>
        </is>
      </c>
      <c r="G538" t="inlineStr">
        <is>
          <t>HAGFORS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51015-2025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45947</v>
      </c>
      <c r="E539" s="1" t="n">
        <v>46259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8.9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45869</v>
      </c>
      <c r="E540" s="1" t="n">
        <v>46259</v>
      </c>
      <c r="F540" t="inlineStr">
        <is>
          <t>VÄRMLANDS LÄN</t>
        </is>
      </c>
      <c r="G540" t="inlineStr">
        <is>
          <t>HAGFORS</t>
        </is>
      </c>
      <c r="H540" t="inlineStr">
        <is>
          <t>Kyrkan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46259</v>
      </c>
      <c r="F541" t="inlineStr">
        <is>
          <t>VÄRMLANDS LÄN</t>
        </is>
      </c>
      <c r="G541" t="inlineStr">
        <is>
          <t>HAGFORS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52450-2025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46259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9.800000000000001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30635-2025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45831</v>
      </c>
      <c r="E543" s="1" t="n">
        <v>46259</v>
      </c>
      <c r="F543" t="inlineStr">
        <is>
          <t>VÄRMLANDS LÄN</t>
        </is>
      </c>
      <c r="G543" t="inlineStr">
        <is>
          <t>HAGFORS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52524-2025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45954</v>
      </c>
      <c r="E544" s="1" t="n">
        <v>46259</v>
      </c>
      <c r="F544" t="inlineStr">
        <is>
          <t>VÄRMLANDS LÄN</t>
        </is>
      </c>
      <c r="G544" t="inlineStr">
        <is>
          <t>HAGFORS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52462-2025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45954</v>
      </c>
      <c r="E545" s="1" t="n">
        <v>46259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24240-2026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46259</v>
      </c>
      <c r="F546" t="inlineStr">
        <is>
          <t>VÄRMLANDS LÄN</t>
        </is>
      </c>
      <c r="G546" t="inlineStr">
        <is>
          <t>HAGFORS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46259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8.1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60664-2023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45259</v>
      </c>
      <c r="E548" s="1" t="n">
        <v>46259</v>
      </c>
      <c r="F548" t="inlineStr">
        <is>
          <t>VÄRMLANDS LÄN</t>
        </is>
      </c>
      <c r="G548" t="inlineStr">
        <is>
          <t>HAGFORS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24625-2026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46259</v>
      </c>
      <c r="F549" t="inlineStr">
        <is>
          <t>VÄRMLANDS LÄN</t>
        </is>
      </c>
      <c r="G549" t="inlineStr">
        <is>
          <t>HAGFORS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24699-2026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46171</v>
      </c>
      <c r="E550" s="1" t="n">
        <v>46259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46259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46171</v>
      </c>
      <c r="E552" s="1" t="n">
        <v>46259</v>
      </c>
      <c r="F552" t="inlineStr">
        <is>
          <t>VÄRMLANDS LÄN</t>
        </is>
      </c>
      <c r="G552" t="inlineStr">
        <is>
          <t>HAGFORS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24761-2026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46171</v>
      </c>
      <c r="E553" s="1" t="n">
        <v>46259</v>
      </c>
      <c r="F553" t="inlineStr">
        <is>
          <t>VÄRMLANDS LÄN</t>
        </is>
      </c>
      <c r="G553" t="inlineStr">
        <is>
          <t>HAGFORS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24628-2026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46259</v>
      </c>
      <c r="F554" t="inlineStr">
        <is>
          <t>VÄRMLANDS LÄN</t>
        </is>
      </c>
      <c r="G554" t="inlineStr">
        <is>
          <t>HAGFORS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8820-2024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46259</v>
      </c>
      <c r="F555" t="inlineStr">
        <is>
          <t>VÄRMLANDS LÄN</t>
        </is>
      </c>
      <c r="G555" t="inlineStr">
        <is>
          <t>HAGFORS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24626-2026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46171</v>
      </c>
      <c r="E556" s="1" t="n">
        <v>46259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53620-2025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45960</v>
      </c>
      <c r="E557" s="1" t="n">
        <v>46259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24677-2026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46171</v>
      </c>
      <c r="E558" s="1" t="n">
        <v>46259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45960</v>
      </c>
      <c r="E559" s="1" t="n">
        <v>46259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44566</v>
      </c>
      <c r="E560" s="1" t="n">
        <v>46259</v>
      </c>
      <c r="F560" t="inlineStr">
        <is>
          <t>VÄRMLANDS LÄN</t>
        </is>
      </c>
      <c r="G560" t="inlineStr">
        <is>
          <t>HAGFORS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59048-2022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44903</v>
      </c>
      <c r="E561" s="1" t="n">
        <v>46259</v>
      </c>
      <c r="F561" t="inlineStr">
        <is>
          <t>VÄRMLANDS LÄN</t>
        </is>
      </c>
      <c r="G561" t="inlineStr">
        <is>
          <t>HAGFORS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45106</v>
      </c>
      <c r="E562" s="1" t="n">
        <v>46259</v>
      </c>
      <c r="F562" t="inlineStr">
        <is>
          <t>VÄRMLANDS LÄN</t>
        </is>
      </c>
      <c r="G562" t="inlineStr">
        <is>
          <t>HAGFORS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46259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60221-2023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45258</v>
      </c>
      <c r="E564" s="1" t="n">
        <v>46259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53811-2025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45960</v>
      </c>
      <c r="E565" s="1" t="n">
        <v>46259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45525</v>
      </c>
      <c r="E566" s="1" t="n">
        <v>46259</v>
      </c>
      <c r="F566" t="inlineStr">
        <is>
          <t>VÄRMLANDS LÄN</t>
        </is>
      </c>
      <c r="G566" t="inlineStr">
        <is>
          <t>HAGFORS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35668-2023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45147</v>
      </c>
      <c r="E567" s="1" t="n">
        <v>46259</v>
      </c>
      <c r="F567" t="inlineStr">
        <is>
          <t>VÄRMLANDS LÄN</t>
        </is>
      </c>
      <c r="G567" t="inlineStr">
        <is>
          <t>HAGFORS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54001-2025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45961</v>
      </c>
      <c r="E568" s="1" t="n">
        <v>46259</v>
      </c>
      <c r="F568" t="inlineStr">
        <is>
          <t>VÄRMLANDS LÄN</t>
        </is>
      </c>
      <c r="G568" t="inlineStr">
        <is>
          <t>HAGFORS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46259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46259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45966</v>
      </c>
      <c r="E571" s="1" t="n">
        <v>46259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46259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25583-2026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46177</v>
      </c>
      <c r="E573" s="1" t="n">
        <v>46259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54645-2025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45966</v>
      </c>
      <c r="E574" s="1" t="n">
        <v>46259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46190-2024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45581</v>
      </c>
      <c r="E575" s="1" t="n">
        <v>46259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45678</v>
      </c>
      <c r="E576" s="1" t="n">
        <v>46259</v>
      </c>
      <c r="F576" t="inlineStr">
        <is>
          <t>VÄRMLANDS LÄN</t>
        </is>
      </c>
      <c r="G576" t="inlineStr">
        <is>
          <t>HAGFORS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45470</v>
      </c>
      <c r="E577" s="1" t="n">
        <v>46259</v>
      </c>
      <c r="F577" t="inlineStr">
        <is>
          <t>VÄRMLANDS LÄN</t>
        </is>
      </c>
      <c r="G577" t="inlineStr">
        <is>
          <t>HAGFORS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55190-2025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45968</v>
      </c>
      <c r="E578" s="1" t="n">
        <v>46259</v>
      </c>
      <c r="F578" t="inlineStr">
        <is>
          <t>VÄRMLANDS LÄN</t>
        </is>
      </c>
      <c r="G578" t="inlineStr">
        <is>
          <t>HAGFORS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26019-2026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46181</v>
      </c>
      <c r="E579" s="1" t="n">
        <v>46259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46259</v>
      </c>
      <c r="F580" t="inlineStr">
        <is>
          <t>VÄRMLANDS LÄN</t>
        </is>
      </c>
      <c r="G580" t="inlineStr">
        <is>
          <t>HAGFORS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46259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46208-2023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45196</v>
      </c>
      <c r="E582" s="1" t="n">
        <v>46259</v>
      </c>
      <c r="F582" t="inlineStr">
        <is>
          <t>VÄRMLANDS LÄN</t>
        </is>
      </c>
      <c r="G582" t="inlineStr">
        <is>
          <t>HAGFORS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46259</v>
      </c>
      <c r="F583" t="inlineStr">
        <is>
          <t>VÄRMLANDS LÄN</t>
        </is>
      </c>
      <c r="G583" t="inlineStr">
        <is>
          <t>HAGFORS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55480-2025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46259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45106</v>
      </c>
      <c r="E585" s="1" t="n">
        <v>46259</v>
      </c>
      <c r="F585" t="inlineStr">
        <is>
          <t>VÄRMLANDS LÄN</t>
        </is>
      </c>
      <c r="G585" t="inlineStr">
        <is>
          <t>HAGFORS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45971</v>
      </c>
      <c r="E586" s="1" t="n">
        <v>46259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4279-2024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45324</v>
      </c>
      <c r="E587" s="1" t="n">
        <v>46259</v>
      </c>
      <c r="F587" t="inlineStr">
        <is>
          <t>VÄRMLANDS LÄN</t>
        </is>
      </c>
      <c r="G587" t="inlineStr">
        <is>
          <t>HAGFORS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26012-2026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46259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52378-2021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44465</v>
      </c>
      <c r="E589" s="1" t="n">
        <v>46259</v>
      </c>
      <c r="F589" t="inlineStr">
        <is>
          <t>VÄRMLANDS LÄN</t>
        </is>
      </c>
      <c r="G589" t="inlineStr">
        <is>
          <t>HAGFORS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31671-2026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46225</v>
      </c>
      <c r="E590" s="1" t="n">
        <v>46259</v>
      </c>
      <c r="F590" t="inlineStr">
        <is>
          <t>VÄRMLANDS LÄN</t>
        </is>
      </c>
      <c r="G590" t="inlineStr">
        <is>
          <t>HAGFORS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46226</v>
      </c>
      <c r="E591" s="1" t="n">
        <v>46259</v>
      </c>
      <c r="F591" t="inlineStr">
        <is>
          <t>VÄRMLANDS LÄN</t>
        </is>
      </c>
      <c r="G591" t="inlineStr">
        <is>
          <t>HAGFORS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55895-2025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45973</v>
      </c>
      <c r="E592" s="1" t="n">
        <v>46259</v>
      </c>
      <c r="F592" t="inlineStr">
        <is>
          <t>VÄRMLANDS LÄN</t>
        </is>
      </c>
      <c r="G592" t="inlineStr">
        <is>
          <t>HAGFORS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46182</v>
      </c>
      <c r="E593" s="1" t="n">
        <v>46259</v>
      </c>
      <c r="F593" t="inlineStr">
        <is>
          <t>VÄRMLANDS LÄN</t>
        </is>
      </c>
      <c r="G593" t="inlineStr">
        <is>
          <t>HAGFORS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46259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46182</v>
      </c>
      <c r="E595" s="1" t="n">
        <v>46259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46226</v>
      </c>
      <c r="E596" s="1" t="n">
        <v>46259</v>
      </c>
      <c r="F596" t="inlineStr">
        <is>
          <t>VÄRMLANDS LÄN</t>
        </is>
      </c>
      <c r="G596" t="inlineStr">
        <is>
          <t>HAGFORS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46259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31672-2026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46225</v>
      </c>
      <c r="E598" s="1" t="n">
        <v>46259</v>
      </c>
      <c r="F598" t="inlineStr">
        <is>
          <t>VÄRMLANDS LÄN</t>
        </is>
      </c>
      <c r="G598" t="inlineStr">
        <is>
          <t>HAGFORS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46259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46259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44949</v>
      </c>
      <c r="E601" s="1" t="n">
        <v>46259</v>
      </c>
      <c r="F601" t="inlineStr">
        <is>
          <t>VÄRMLANDS LÄN</t>
        </is>
      </c>
      <c r="G601" t="inlineStr">
        <is>
          <t>HAGFORS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56714-2025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45975</v>
      </c>
      <c r="E602" s="1" t="n">
        <v>46259</v>
      </c>
      <c r="F602" t="inlineStr">
        <is>
          <t>VÄRMLANDS LÄN</t>
        </is>
      </c>
      <c r="G602" t="inlineStr">
        <is>
          <t>HAGFORS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42223-2022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44830</v>
      </c>
      <c r="E603" s="1" t="n">
        <v>46259</v>
      </c>
      <c r="F603" t="inlineStr">
        <is>
          <t>VÄRMLANDS LÄN</t>
        </is>
      </c>
      <c r="G603" t="inlineStr">
        <is>
          <t>HAGFORS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26740-2026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46259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45036</v>
      </c>
      <c r="E605" s="1" t="n">
        <v>46259</v>
      </c>
      <c r="F605" t="inlineStr">
        <is>
          <t>VÄRMLANDS LÄN</t>
        </is>
      </c>
      <c r="G605" t="inlineStr">
        <is>
          <t>HAGFORS</t>
        </is>
      </c>
      <c r="H605" t="inlineStr">
        <is>
          <t>Kommuner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46259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18.2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46185</v>
      </c>
      <c r="E607" s="1" t="n">
        <v>46259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20.5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26660-2026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46259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56477-2025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45975</v>
      </c>
      <c r="E609" s="1" t="n">
        <v>46259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45975</v>
      </c>
      <c r="E610" s="1" t="n">
        <v>46259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56411-2025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45975</v>
      </c>
      <c r="E611" s="1" t="n">
        <v>46259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46184</v>
      </c>
      <c r="E612" s="1" t="n">
        <v>46259</v>
      </c>
      <c r="F612" t="inlineStr">
        <is>
          <t>VÄRMLANDS LÄN</t>
        </is>
      </c>
      <c r="G612" t="inlineStr">
        <is>
          <t>HAGFORS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27306-2026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46188</v>
      </c>
      <c r="E613" s="1" t="n">
        <v>46259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45980</v>
      </c>
      <c r="E614" s="1" t="n">
        <v>46259</v>
      </c>
      <c r="F614" t="inlineStr">
        <is>
          <t>VÄRMLANDS LÄN</t>
        </is>
      </c>
      <c r="G614" t="inlineStr">
        <is>
          <t>HAGFORS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46188</v>
      </c>
      <c r="E615" s="1" t="n">
        <v>46259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17.2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46259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57460-2025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46259</v>
      </c>
      <c r="F617" t="inlineStr">
        <is>
          <t>VÄRMLANDS LÄN</t>
        </is>
      </c>
      <c r="G617" t="inlineStr">
        <is>
          <t>HAGFORS</t>
        </is>
      </c>
      <c r="H617" t="inlineStr">
        <is>
          <t>Kyrkan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57198-2025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45979</v>
      </c>
      <c r="E618" s="1" t="n">
        <v>46259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46189</v>
      </c>
      <c r="E619" s="1" t="n">
        <v>46259</v>
      </c>
      <c r="F619" t="inlineStr">
        <is>
          <t>VÄRMLANDS LÄN</t>
        </is>
      </c>
      <c r="G619" t="inlineStr">
        <is>
          <t>HAGFORS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57814-2025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45981</v>
      </c>
      <c r="E620" s="1" t="n">
        <v>46259</v>
      </c>
      <c r="F620" t="inlineStr">
        <is>
          <t>VÄRMLANDS LÄN</t>
        </is>
      </c>
      <c r="G620" t="inlineStr">
        <is>
          <t>HAGFORS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46259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46259</v>
      </c>
      <c r="F622" t="inlineStr">
        <is>
          <t>VÄRMLANDS LÄN</t>
        </is>
      </c>
      <c r="G622" t="inlineStr">
        <is>
          <t>HAGFORS</t>
        </is>
      </c>
      <c r="H622" t="inlineStr">
        <is>
          <t>Kyrkan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46189</v>
      </c>
      <c r="E623" s="1" t="n">
        <v>46259</v>
      </c>
      <c r="F623" t="inlineStr">
        <is>
          <t>VÄRMLANDS LÄN</t>
        </is>
      </c>
      <c r="G623" t="inlineStr">
        <is>
          <t>HAGFORS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59047-2025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45988</v>
      </c>
      <c r="E624" s="1" t="n">
        <v>46259</v>
      </c>
      <c r="F624" t="inlineStr">
        <is>
          <t>VÄRMLANDS LÄN</t>
        </is>
      </c>
      <c r="G624" t="inlineStr">
        <is>
          <t>HAGFORS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46259</v>
      </c>
      <c r="F625" t="inlineStr">
        <is>
          <t>VÄRMLANDS LÄN</t>
        </is>
      </c>
      <c r="G625" t="inlineStr">
        <is>
          <t>HAGFORS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32696-2023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45112</v>
      </c>
      <c r="E626" s="1" t="n">
        <v>46259</v>
      </c>
      <c r="F626" t="inlineStr">
        <is>
          <t>VÄRMLANDS LÄN</t>
        </is>
      </c>
      <c r="G626" t="inlineStr">
        <is>
          <t>HAGFORS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58799-2022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44903</v>
      </c>
      <c r="E627" s="1" t="n">
        <v>46259</v>
      </c>
      <c r="F627" t="inlineStr">
        <is>
          <t>VÄRMLANDS LÄN</t>
        </is>
      </c>
      <c r="G627" t="inlineStr">
        <is>
          <t>HAGFORS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59092-2022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44904</v>
      </c>
      <c r="E628" s="1" t="n">
        <v>46259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20466-2023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45057</v>
      </c>
      <c r="E629" s="1" t="n">
        <v>46259</v>
      </c>
      <c r="F629" t="inlineStr">
        <is>
          <t>VÄRMLANDS LÄN</t>
        </is>
      </c>
      <c r="G629" t="inlineStr">
        <is>
          <t>HAGFORS</t>
        </is>
      </c>
      <c r="H629" t="inlineStr">
        <is>
          <t>Kyrkan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59642-2025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46259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18.8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27799-2026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46191</v>
      </c>
      <c r="E631" s="1" t="n">
        <v>46259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32031-2024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45510</v>
      </c>
      <c r="E632" s="1" t="n">
        <v>46259</v>
      </c>
      <c r="F632" t="inlineStr">
        <is>
          <t>VÄRMLANDS LÄN</t>
        </is>
      </c>
      <c r="G632" t="inlineStr">
        <is>
          <t>HAGFORS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53192-2022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44876</v>
      </c>
      <c r="E633" s="1" t="n">
        <v>46259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45673</v>
      </c>
      <c r="E634" s="1" t="n">
        <v>46259</v>
      </c>
      <c r="F634" t="inlineStr">
        <is>
          <t>VÄRMLANDS LÄN</t>
        </is>
      </c>
      <c r="G634" t="inlineStr">
        <is>
          <t>HAGFORS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18014-2024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45419</v>
      </c>
      <c r="E635" s="1" t="n">
        <v>46259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46259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60606-2025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45996</v>
      </c>
      <c r="E637" s="1" t="n">
        <v>46259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60648-2025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45996</v>
      </c>
      <c r="E638" s="1" t="n">
        <v>46259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32043-2026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46259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45999</v>
      </c>
      <c r="E640" s="1" t="n">
        <v>46259</v>
      </c>
      <c r="F640" t="inlineStr">
        <is>
          <t>VÄRMLANDS LÄN</t>
        </is>
      </c>
      <c r="G640" t="inlineStr">
        <is>
          <t>HAGFORS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45308</v>
      </c>
      <c r="E641" s="1" t="n">
        <v>46259</v>
      </c>
      <c r="F641" t="inlineStr">
        <is>
          <t>VÄRMLANDS LÄN</t>
        </is>
      </c>
      <c r="G641" t="inlineStr">
        <is>
          <t>HAGFORS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36013-2023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45149</v>
      </c>
      <c r="E642" s="1" t="n">
        <v>46259</v>
      </c>
      <c r="F642" t="inlineStr">
        <is>
          <t>VÄRMLANDS LÄN</t>
        </is>
      </c>
      <c r="G642" t="inlineStr">
        <is>
          <t>HAGFORS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56895-2023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45244</v>
      </c>
      <c r="E643" s="1" t="n">
        <v>46259</v>
      </c>
      <c r="F643" t="inlineStr">
        <is>
          <t>VÄRMLANDS LÄN</t>
        </is>
      </c>
      <c r="G643" t="inlineStr">
        <is>
          <t>HAGFORS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35664-2023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46259</v>
      </c>
      <c r="F644" t="inlineStr">
        <is>
          <t>VÄRMLANDS LÄN</t>
        </is>
      </c>
      <c r="G644" t="inlineStr">
        <is>
          <t>HAGFORS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28185-2026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46259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61787-2025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46002</v>
      </c>
      <c r="E646" s="1" t="n">
        <v>46259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45699</v>
      </c>
      <c r="E647" s="1" t="n">
        <v>46259</v>
      </c>
      <c r="F647" t="inlineStr">
        <is>
          <t>VÄRMLANDS LÄN</t>
        </is>
      </c>
      <c r="G647" t="inlineStr">
        <is>
          <t>HAGFORS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61718-2025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46002</v>
      </c>
      <c r="E648" s="1" t="n">
        <v>46259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46239</v>
      </c>
      <c r="E649" s="1" t="n">
        <v>46259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61910-2025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46003</v>
      </c>
      <c r="E650" s="1" t="n">
        <v>46259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62125-2025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46259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46003</v>
      </c>
      <c r="E652" s="1" t="n">
        <v>46259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46003</v>
      </c>
      <c r="E653" s="1" t="n">
        <v>46259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17.4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62168-2025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46006</v>
      </c>
      <c r="E654" s="1" t="n">
        <v>46259</v>
      </c>
      <c r="F654" t="inlineStr">
        <is>
          <t>VÄRMLANDS LÄN</t>
        </is>
      </c>
      <c r="G654" t="inlineStr">
        <is>
          <t>HAGFORS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21309-2023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45062</v>
      </c>
      <c r="E655" s="1" t="n">
        <v>46259</v>
      </c>
      <c r="F655" t="inlineStr">
        <is>
          <t>VÄRMLANDS LÄN</t>
        </is>
      </c>
      <c r="G655" t="inlineStr">
        <is>
          <t>HAGFORS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62240-2025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46006</v>
      </c>
      <c r="E656" s="1" t="n">
        <v>46259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61843-2025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46003</v>
      </c>
      <c r="E657" s="1" t="n">
        <v>46259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62099-2025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46006</v>
      </c>
      <c r="E658" s="1" t="n">
        <v>46259</v>
      </c>
      <c r="F658" t="inlineStr">
        <is>
          <t>VÄRMLANDS LÄN</t>
        </is>
      </c>
      <c r="G658" t="inlineStr">
        <is>
          <t>HAGFORS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45328</v>
      </c>
      <c r="E659" s="1" t="n">
        <v>46259</v>
      </c>
      <c r="F659" t="inlineStr">
        <is>
          <t>VÄRMLANDS LÄN</t>
        </is>
      </c>
      <c r="G659" t="inlineStr">
        <is>
          <t>HAGFORS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62749-2025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46008</v>
      </c>
      <c r="E660" s="1" t="n">
        <v>46259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62542-2025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46007</v>
      </c>
      <c r="E661" s="1" t="n">
        <v>46259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62632-2025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46008</v>
      </c>
      <c r="E662" s="1" t="n">
        <v>46259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46239</v>
      </c>
      <c r="E663" s="1" t="n">
        <v>46259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32507-2026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46239</v>
      </c>
      <c r="E664" s="1" t="n">
        <v>46259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45638</v>
      </c>
      <c r="E665" s="1" t="n">
        <v>46259</v>
      </c>
      <c r="F665" t="inlineStr">
        <is>
          <t>VÄRMLANDS LÄN</t>
        </is>
      </c>
      <c r="G665" t="inlineStr">
        <is>
          <t>HAGFORS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63301-2025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46010</v>
      </c>
      <c r="E666" s="1" t="n">
        <v>46259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32483-2026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46239</v>
      </c>
      <c r="E667" s="1" t="n">
        <v>46259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45386</v>
      </c>
      <c r="E668" s="1" t="n">
        <v>46259</v>
      </c>
      <c r="F668" t="inlineStr">
        <is>
          <t>VÄRMLANDS LÄN</t>
        </is>
      </c>
      <c r="G668" t="inlineStr">
        <is>
          <t>HAGFORS</t>
        </is>
      </c>
      <c r="H668" t="inlineStr">
        <is>
          <t>Kommuner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63361-2025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46010</v>
      </c>
      <c r="E669" s="1" t="n">
        <v>46259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46010</v>
      </c>
      <c r="E670" s="1" t="n">
        <v>46259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28788-2026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46198</v>
      </c>
      <c r="E671" s="1" t="n">
        <v>46259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9.699999999999999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45328</v>
      </c>
      <c r="E672" s="1" t="n">
        <v>46259</v>
      </c>
      <c r="F672" t="inlineStr">
        <is>
          <t>VÄRMLANDS LÄN</t>
        </is>
      </c>
      <c r="G672" t="inlineStr">
        <is>
          <t>HAGFORS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48276-2024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45590</v>
      </c>
      <c r="E673" s="1" t="n">
        <v>46259</v>
      </c>
      <c r="F673" t="inlineStr">
        <is>
          <t>VÄRMLANDS LÄN</t>
        </is>
      </c>
      <c r="G673" t="inlineStr">
        <is>
          <t>HAGFORS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28720-2026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46259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57159-2024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45629</v>
      </c>
      <c r="E675" s="1" t="n">
        <v>46259</v>
      </c>
      <c r="F675" t="inlineStr">
        <is>
          <t>VÄRMLANDS LÄN</t>
        </is>
      </c>
      <c r="G675" t="inlineStr">
        <is>
          <t>HAGFORS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32721-2026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46241</v>
      </c>
      <c r="E676" s="1" t="n">
        <v>46259</v>
      </c>
      <c r="F676" t="inlineStr">
        <is>
          <t>VÄRMLANDS LÄN</t>
        </is>
      </c>
      <c r="G676" t="inlineStr">
        <is>
          <t>HAGFORS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46241</v>
      </c>
      <c r="E677" s="1" t="n">
        <v>46259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7.5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46259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63831-2025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46020</v>
      </c>
      <c r="E679" s="1" t="n">
        <v>46259</v>
      </c>
      <c r="F679" t="inlineStr">
        <is>
          <t>VÄRMLANDS LÄN</t>
        </is>
      </c>
      <c r="G679" t="inlineStr">
        <is>
          <t>HAGFORS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63764-2025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46018</v>
      </c>
      <c r="E680" s="1" t="n">
        <v>46259</v>
      </c>
      <c r="F680" t="inlineStr">
        <is>
          <t>VÄRMLANDS LÄN</t>
        </is>
      </c>
      <c r="G680" t="inlineStr">
        <is>
          <t>HAGFORS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63765-2025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46018</v>
      </c>
      <c r="E681" s="1" t="n">
        <v>46259</v>
      </c>
      <c r="F681" t="inlineStr">
        <is>
          <t>VÄRMLANDS LÄN</t>
        </is>
      </c>
      <c r="G681" t="inlineStr">
        <is>
          <t>HAGFORS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46259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46259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33146-2024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45518</v>
      </c>
      <c r="E684" s="1" t="n">
        <v>46259</v>
      </c>
      <c r="F684" t="inlineStr">
        <is>
          <t>VÄRMLANDS LÄN</t>
        </is>
      </c>
      <c r="G684" t="inlineStr">
        <is>
          <t>HAGFORS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63875-2025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46020</v>
      </c>
      <c r="E685" s="1" t="n">
        <v>46259</v>
      </c>
      <c r="F685" t="inlineStr">
        <is>
          <t>VÄRMLANDS LÄN</t>
        </is>
      </c>
      <c r="G685" t="inlineStr">
        <is>
          <t>HAGFORS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51346-2022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44869</v>
      </c>
      <c r="E686" s="1" t="n">
        <v>46259</v>
      </c>
      <c r="F686" t="inlineStr">
        <is>
          <t>VÄRMLANDS LÄN</t>
        </is>
      </c>
      <c r="G686" t="inlineStr">
        <is>
          <t>HAGFORS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46200</v>
      </c>
      <c r="E687" s="1" t="n">
        <v>46259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63834-2025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46020</v>
      </c>
      <c r="E688" s="1" t="n">
        <v>46259</v>
      </c>
      <c r="F688" t="inlineStr">
        <is>
          <t>VÄRMLANDS LÄN</t>
        </is>
      </c>
      <c r="G688" t="inlineStr">
        <is>
          <t>HAGFORS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45510</v>
      </c>
      <c r="E689" s="1" t="n">
        <v>46259</v>
      </c>
      <c r="F689" t="inlineStr">
        <is>
          <t>VÄRMLANDS LÄN</t>
        </is>
      </c>
      <c r="G689" t="inlineStr">
        <is>
          <t>HAGFORS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29103-2026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46200</v>
      </c>
      <c r="E690" s="1" t="n">
        <v>46259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46259</v>
      </c>
      <c r="F691" t="inlineStr">
        <is>
          <t>VÄRMLANDS LÄN</t>
        </is>
      </c>
      <c r="G691" t="inlineStr">
        <is>
          <t>HAGFORS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60390-2025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45995</v>
      </c>
      <c r="E692" s="1" t="n">
        <v>46259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29422-2026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46203</v>
      </c>
      <c r="E693" s="1" t="n">
        <v>46259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46259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46259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56888-2023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45244</v>
      </c>
      <c r="E696" s="1" t="n">
        <v>46259</v>
      </c>
      <c r="F696" t="inlineStr">
        <is>
          <t>VÄRMLANDS LÄN</t>
        </is>
      </c>
      <c r="G696" t="inlineStr">
        <is>
          <t>HAGFORS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46259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46259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27855-2026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46191</v>
      </c>
      <c r="E699" s="1" t="n">
        <v>46259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29427-2026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46259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9.6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46029</v>
      </c>
      <c r="E701" s="1" t="n">
        <v>46259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48807-2025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45937</v>
      </c>
      <c r="E702" s="1" t="n">
        <v>46259</v>
      </c>
      <c r="F702" t="inlineStr">
        <is>
          <t>VÄRMLANDS LÄN</t>
        </is>
      </c>
      <c r="G702" t="inlineStr">
        <is>
          <t>HAGFORS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975-2026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46030</v>
      </c>
      <c r="E703" s="1" t="n">
        <v>46259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60974-2024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45645</v>
      </c>
      <c r="E704" s="1" t="n">
        <v>46259</v>
      </c>
      <c r="F704" t="inlineStr">
        <is>
          <t>VÄRMLANDS LÄN</t>
        </is>
      </c>
      <c r="G704" t="inlineStr">
        <is>
          <t>HAGFORS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33627-2026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46248</v>
      </c>
      <c r="E705" s="1" t="n">
        <v>46259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46248</v>
      </c>
      <c r="E706" s="1" t="n">
        <v>46259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6.5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35775-2024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45532</v>
      </c>
      <c r="E707" s="1" t="n">
        <v>46259</v>
      </c>
      <c r="F707" t="inlineStr">
        <is>
          <t>VÄRMLANDS LÄN</t>
        </is>
      </c>
      <c r="G707" t="inlineStr">
        <is>
          <t>HAGFORS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45238-2024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45575</v>
      </c>
      <c r="E708" s="1" t="n">
        <v>46259</v>
      </c>
      <c r="F708" t="inlineStr">
        <is>
          <t>VÄRMLANDS LÄN</t>
        </is>
      </c>
      <c r="G708" t="inlineStr">
        <is>
          <t>HAGFORS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46259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46030</v>
      </c>
      <c r="E710" s="1" t="n">
        <v>46259</v>
      </c>
      <c r="F710" t="inlineStr">
        <is>
          <t>VÄRMLANDS LÄN</t>
        </is>
      </c>
      <c r="G710" t="inlineStr">
        <is>
          <t>HAGFORS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32149-2023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46259</v>
      </c>
      <c r="F711" t="inlineStr">
        <is>
          <t>VÄRMLANDS LÄN</t>
        </is>
      </c>
      <c r="G711" t="inlineStr">
        <is>
          <t>HAGFORS</t>
        </is>
      </c>
      <c r="I711" t="n">
        <v>9.1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1570-2026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46259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29580-2026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46204</v>
      </c>
      <c r="E713" s="1" t="n">
        <v>46259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26777-2023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45093</v>
      </c>
      <c r="E714" s="1" t="n">
        <v>46259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56165-2024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45624</v>
      </c>
      <c r="E715" s="1" t="n">
        <v>46259</v>
      </c>
      <c r="F715" t="inlineStr">
        <is>
          <t>VÄRMLANDS LÄN</t>
        </is>
      </c>
      <c r="G715" t="inlineStr">
        <is>
          <t>HAGFORS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44906-2024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45575</v>
      </c>
      <c r="E716" s="1" t="n">
        <v>46259</v>
      </c>
      <c r="F716" t="inlineStr">
        <is>
          <t>VÄRMLANDS LÄN</t>
        </is>
      </c>
      <c r="G716" t="inlineStr">
        <is>
          <t>HAGFORS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46259</v>
      </c>
      <c r="F717" t="inlineStr">
        <is>
          <t>VÄRMLANDS LÄN</t>
        </is>
      </c>
      <c r="G717" t="inlineStr">
        <is>
          <t>HAGFORS</t>
        </is>
      </c>
      <c r="I717" t="n">
        <v>13.1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3980-2025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45684</v>
      </c>
      <c r="E718" s="1" t="n">
        <v>46259</v>
      </c>
      <c r="F718" t="inlineStr">
        <is>
          <t>VÄRMLANDS LÄN</t>
        </is>
      </c>
      <c r="G718" t="inlineStr">
        <is>
          <t>HAGFORS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45684</v>
      </c>
      <c r="E719" s="1" t="n">
        <v>46259</v>
      </c>
      <c r="F719" t="inlineStr">
        <is>
          <t>VÄRMLANDS LÄN</t>
        </is>
      </c>
      <c r="G719" t="inlineStr">
        <is>
          <t>HAGFORS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4625-2026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46048</v>
      </c>
      <c r="E720" s="1" t="n">
        <v>46259</v>
      </c>
      <c r="F720" t="inlineStr">
        <is>
          <t>VÄRMLANDS LÄN</t>
        </is>
      </c>
      <c r="G720" t="inlineStr">
        <is>
          <t>HAGFORS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33635-2026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46248</v>
      </c>
      <c r="E721" s="1" t="n">
        <v>46259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19894-2024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45433</v>
      </c>
      <c r="E722" s="1" t="n">
        <v>46259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5796-2024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45335</v>
      </c>
      <c r="E723" s="1" t="n">
        <v>46259</v>
      </c>
      <c r="F723" t="inlineStr">
        <is>
          <t>VÄRMLANDS LÄN</t>
        </is>
      </c>
      <c r="G723" t="inlineStr">
        <is>
          <t>HAGFORS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45323</v>
      </c>
      <c r="E724" s="1" t="n">
        <v>46259</v>
      </c>
      <c r="F724" t="inlineStr">
        <is>
          <t>VÄRMLANDS LÄN</t>
        </is>
      </c>
      <c r="G724" t="inlineStr">
        <is>
          <t>HAGFORS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33821-2026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46251</v>
      </c>
      <c r="E725" s="1" t="n">
        <v>46259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30153-2026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46206</v>
      </c>
      <c r="E726" s="1" t="n">
        <v>46259</v>
      </c>
      <c r="F726" t="inlineStr">
        <is>
          <t>VÄRMLANDS LÄN</t>
        </is>
      </c>
      <c r="G726" t="inlineStr">
        <is>
          <t>HAGFORS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30433-2026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46209</v>
      </c>
      <c r="E727" s="1" t="n">
        <v>46259</v>
      </c>
      <c r="F727" t="inlineStr">
        <is>
          <t>VÄRMLANDS LÄN</t>
        </is>
      </c>
      <c r="G727" t="inlineStr">
        <is>
          <t>HAGFORS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5371-2026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46259</v>
      </c>
      <c r="F728" t="inlineStr">
        <is>
          <t>VÄRMLANDS LÄN</t>
        </is>
      </c>
      <c r="G728" t="inlineStr">
        <is>
          <t>HAGFORS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36228-2024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45534</v>
      </c>
      <c r="E729" s="1" t="n">
        <v>46259</v>
      </c>
      <c r="F729" t="inlineStr">
        <is>
          <t>VÄRMLANDS LÄN</t>
        </is>
      </c>
      <c r="G729" t="inlineStr">
        <is>
          <t>HAGFORS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45562</v>
      </c>
      <c r="E730" s="1" t="n">
        <v>46259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42178-2024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46259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42235-2024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45562</v>
      </c>
      <c r="E732" s="1" t="n">
        <v>46259</v>
      </c>
      <c r="F732" t="inlineStr">
        <is>
          <t>VÄRMLANDS LÄN</t>
        </is>
      </c>
      <c r="G732" t="inlineStr">
        <is>
          <t>HAGFORS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30167-2026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46206</v>
      </c>
      <c r="E733" s="1" t="n">
        <v>46259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46259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46050</v>
      </c>
      <c r="E735" s="1" t="n">
        <v>46259</v>
      </c>
      <c r="F735" t="inlineStr">
        <is>
          <t>VÄRMLANDS LÄN</t>
        </is>
      </c>
      <c r="G735" t="inlineStr">
        <is>
          <t>HAGFORS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46050</v>
      </c>
      <c r="E736" s="1" t="n">
        <v>46259</v>
      </c>
      <c r="F736" t="inlineStr">
        <is>
          <t>VÄRMLANDS LÄN</t>
        </is>
      </c>
      <c r="G736" t="inlineStr">
        <is>
          <t>HAGFORS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46050</v>
      </c>
      <c r="E737" s="1" t="n">
        <v>46259</v>
      </c>
      <c r="F737" t="inlineStr">
        <is>
          <t>VÄRMLANDS LÄN</t>
        </is>
      </c>
      <c r="G737" t="inlineStr">
        <is>
          <t>HAGFORS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46050</v>
      </c>
      <c r="E738" s="1" t="n">
        <v>46259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46050</v>
      </c>
      <c r="E739" s="1" t="n">
        <v>46259</v>
      </c>
      <c r="F739" t="inlineStr">
        <is>
          <t>VÄRMLANDS LÄN</t>
        </is>
      </c>
      <c r="G739" t="inlineStr">
        <is>
          <t>HAGFORS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34014-2026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46252</v>
      </c>
      <c r="E740" s="1" t="n">
        <v>46259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46259</v>
      </c>
      <c r="F741" t="inlineStr">
        <is>
          <t>VÄRMLANDS LÄN</t>
        </is>
      </c>
      <c r="G741" t="inlineStr">
        <is>
          <t>HAGFORS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21067-2025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45777</v>
      </c>
      <c r="E742" s="1" t="n">
        <v>46259</v>
      </c>
      <c r="F742" t="inlineStr">
        <is>
          <t>VÄRMLANDS LÄN</t>
        </is>
      </c>
      <c r="G742" t="inlineStr">
        <is>
          <t>HAGFORS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29950-2026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46259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7.4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33833-2026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46251</v>
      </c>
      <c r="E744" s="1" t="n">
        <v>46259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5.8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46259</v>
      </c>
      <c r="F745" t="inlineStr">
        <is>
          <t>VÄRMLANDS LÄN</t>
        </is>
      </c>
      <c r="G745" t="inlineStr">
        <is>
          <t>HAGFORS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30437-2026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46209</v>
      </c>
      <c r="E746" s="1" t="n">
        <v>46259</v>
      </c>
      <c r="F746" t="inlineStr">
        <is>
          <t>VÄRMLANDS LÄN</t>
        </is>
      </c>
      <c r="G746" t="inlineStr">
        <is>
          <t>HAGFORS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47425-2024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45587</v>
      </c>
      <c r="E747" s="1" t="n">
        <v>46259</v>
      </c>
      <c r="F747" t="inlineStr">
        <is>
          <t>VÄRMLANDS LÄN</t>
        </is>
      </c>
      <c r="G747" t="inlineStr">
        <is>
          <t>HAGFORS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24680-2024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45460</v>
      </c>
      <c r="E748" s="1" t="n">
        <v>46259</v>
      </c>
      <c r="F748" t="inlineStr">
        <is>
          <t>VÄRMLANDS LÄN</t>
        </is>
      </c>
      <c r="G748" t="inlineStr">
        <is>
          <t>HAGFORS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46259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40332-2023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45169</v>
      </c>
      <c r="E750" s="1" t="n">
        <v>46259</v>
      </c>
      <c r="F750" t="inlineStr">
        <is>
          <t>VÄRMLANDS LÄN</t>
        </is>
      </c>
      <c r="G750" t="inlineStr">
        <is>
          <t>HAGFORS</t>
        </is>
      </c>
      <c r="I750" t="n">
        <v>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46259</v>
      </c>
      <c r="F751" t="inlineStr">
        <is>
          <t>VÄRMLANDS LÄN</t>
        </is>
      </c>
      <c r="G751" t="inlineStr">
        <is>
          <t>HAGFORS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46259</v>
      </c>
      <c r="F752" t="inlineStr">
        <is>
          <t>VÄRMLANDS LÄN</t>
        </is>
      </c>
      <c r="G752" t="inlineStr">
        <is>
          <t>HAGFORS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22461-2025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45786</v>
      </c>
      <c r="E753" s="1" t="n">
        <v>46259</v>
      </c>
      <c r="F753" t="inlineStr">
        <is>
          <t>VÄRMLANDS LÄN</t>
        </is>
      </c>
      <c r="G753" t="inlineStr">
        <is>
          <t>HAGFORS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17833-2022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44683</v>
      </c>
      <c r="E754" s="1" t="n">
        <v>46259</v>
      </c>
      <c r="F754" t="inlineStr">
        <is>
          <t>VÄRMLANDS LÄN</t>
        </is>
      </c>
      <c r="G754" t="inlineStr">
        <is>
          <t>HAGFORS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34399-2026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46254</v>
      </c>
      <c r="E755" s="1" t="n">
        <v>46259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15.8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34797-2026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46258</v>
      </c>
      <c r="E756" s="1" t="n">
        <v>46259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6.8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22917-2025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45790</v>
      </c>
      <c r="E757" s="1" t="n">
        <v>46259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46255</v>
      </c>
      <c r="E758" s="1" t="n">
        <v>46259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46259</v>
      </c>
      <c r="F759" t="inlineStr">
        <is>
          <t>VÄRMLANDS LÄN</t>
        </is>
      </c>
      <c r="G759" t="inlineStr">
        <is>
          <t>HAGFORS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46255</v>
      </c>
      <c r="E760" s="1" t="n">
        <v>46259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34456-2026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46259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8.800000000000001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22964-2025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46259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22799-2025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45789</v>
      </c>
      <c r="E763" s="1" t="n">
        <v>46259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23268-2025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46259</v>
      </c>
      <c r="F764" t="inlineStr">
        <is>
          <t>VÄRMLANDS LÄN</t>
        </is>
      </c>
      <c r="G764" t="inlineStr">
        <is>
          <t>HAGFORS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23556-2025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45792</v>
      </c>
      <c r="E765" s="1" t="n">
        <v>46259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34443-2026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46259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23525-2025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45792</v>
      </c>
      <c r="E767" s="1" t="n">
        <v>46259</v>
      </c>
      <c r="F767" t="inlineStr">
        <is>
          <t>VÄRMLANDS LÄN</t>
        </is>
      </c>
      <c r="G767" t="inlineStr">
        <is>
          <t>HAGFORS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45545</v>
      </c>
      <c r="E768" s="1" t="n">
        <v>46259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34522-2026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46255</v>
      </c>
      <c r="E769" s="1" t="n">
        <v>46259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54008-2024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45615</v>
      </c>
      <c r="E770" s="1" t="n">
        <v>46259</v>
      </c>
      <c r="F770" t="inlineStr">
        <is>
          <t>VÄRMLANDS LÄN</t>
        </is>
      </c>
      <c r="G770" t="inlineStr">
        <is>
          <t>HAGFORS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45623</v>
      </c>
      <c r="E771" s="1" t="n">
        <v>46259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46057</v>
      </c>
      <c r="E772" s="1" t="n">
        <v>46259</v>
      </c>
      <c r="F772" t="inlineStr">
        <is>
          <t>VÄRMLANDS LÄN</t>
        </is>
      </c>
      <c r="G772" t="inlineStr">
        <is>
          <t>HAGFORS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23674-2025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45793</v>
      </c>
      <c r="E773" s="1" t="n">
        <v>46259</v>
      </c>
      <c r="F773" t="inlineStr">
        <is>
          <t>VÄRMLANDS LÄN</t>
        </is>
      </c>
      <c r="G773" t="inlineStr">
        <is>
          <t>HAGFORS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15643-2024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45404</v>
      </c>
      <c r="E774" s="1" t="n">
        <v>46259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23712-2025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46259</v>
      </c>
      <c r="F775" t="inlineStr">
        <is>
          <t>VÄRMLANDS LÄN</t>
        </is>
      </c>
      <c r="G775" t="inlineStr">
        <is>
          <t>HAGFORS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24435-2025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45797</v>
      </c>
      <c r="E776" s="1" t="n">
        <v>46259</v>
      </c>
      <c r="F776" t="inlineStr">
        <is>
          <t>VÄRMLANDS LÄN</t>
        </is>
      </c>
      <c r="G776" t="inlineStr">
        <is>
          <t>HAGFORS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16798-2025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46259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24434-2025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45797</v>
      </c>
      <c r="E778" s="1" t="n">
        <v>46259</v>
      </c>
      <c r="F778" t="inlineStr">
        <is>
          <t>VÄRMLANDS LÄN</t>
        </is>
      </c>
      <c r="G778" t="inlineStr">
        <is>
          <t>HAGFORS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13524-2025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45736</v>
      </c>
      <c r="E779" s="1" t="n">
        <v>46259</v>
      </c>
      <c r="F779" t="inlineStr">
        <is>
          <t>VÄRMLANDS LÄN</t>
        </is>
      </c>
      <c r="G779" t="inlineStr">
        <is>
          <t>HAGFORS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24438-2025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46259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46259</v>
      </c>
      <c r="F781" t="inlineStr">
        <is>
          <t>VÄRMLANDS LÄN</t>
        </is>
      </c>
      <c r="G781" t="inlineStr">
        <is>
          <t>HAGFORS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9670-2026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46072</v>
      </c>
      <c r="E782" s="1" t="n">
        <v>46259</v>
      </c>
      <c r="F782" t="inlineStr">
        <is>
          <t>VÄRMLANDS LÄN</t>
        </is>
      </c>
      <c r="G782" t="inlineStr">
        <is>
          <t>HAGFORS</t>
        </is>
      </c>
      <c r="I782" t="n">
        <v>5.7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9769-2026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46072</v>
      </c>
      <c r="E783" s="1" t="n">
        <v>46259</v>
      </c>
      <c r="F783" t="inlineStr">
        <is>
          <t>VÄRMLANDS LÄN</t>
        </is>
      </c>
      <c r="G783" t="inlineStr">
        <is>
          <t>HAGFORS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46076</v>
      </c>
      <c r="E784" s="1" t="n">
        <v>46259</v>
      </c>
      <c r="F784" t="inlineStr">
        <is>
          <t>VÄRMLANDS LÄN</t>
        </is>
      </c>
      <c r="G784" t="inlineStr">
        <is>
          <t>HAGFORS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12295-2026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46087</v>
      </c>
      <c r="E785" s="1" t="n">
        <v>46259</v>
      </c>
      <c r="F785" t="inlineStr">
        <is>
          <t>VÄRMLANDS LÄN</t>
        </is>
      </c>
      <c r="G785" t="inlineStr">
        <is>
          <t>HAGFORS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12611-2026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46091</v>
      </c>
      <c r="E786" s="1" t="n">
        <v>46259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7.2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12534-2026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46090</v>
      </c>
      <c r="E787" s="1" t="n">
        <v>46259</v>
      </c>
      <c r="F787" t="inlineStr">
        <is>
          <t>VÄRMLANDS LÄN</t>
        </is>
      </c>
      <c r="G787" t="inlineStr">
        <is>
          <t>HAGFORS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46259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46259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937-2022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46259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59.4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931-2022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46259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49.5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262-2022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44578</v>
      </c>
      <c r="E792" s="1" t="n">
        <v>46259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78.90000000000001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907-2022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46259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43.5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913-2022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46259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898-2022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46259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24.9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900-2022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46259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914-2022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46259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19.3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4419-2023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46259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35.6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4420-2023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46259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4426-2023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46259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5512-2022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44834</v>
      </c>
      <c r="E801" s="1" t="n">
        <v>46259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4415-2023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9.199999999999999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6970-2022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44901</v>
      </c>
      <c r="E803" s="1" t="n">
        <v>46259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29.3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4408-2023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46259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6968-2022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46259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4423-2023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46259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15.7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4418-2023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46259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651-2024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45356</v>
      </c>
      <c r="E808" s="1" t="n">
        <v>46259</v>
      </c>
      <c r="F808" t="inlineStr">
        <is>
          <t>VÄRMLANDS LÄN</t>
        </is>
      </c>
      <c r="G808" t="inlineStr">
        <is>
          <t>HAGFORS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4145-2023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45247</v>
      </c>
      <c r="E809" s="1" t="n">
        <v>46259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26.1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46259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27.1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89-2025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45316</v>
      </c>
      <c r="E811" s="1" t="n">
        <v>46259</v>
      </c>
      <c r="F811" t="inlineStr">
        <is>
          <t>VÄRMLANDS LÄN</t>
        </is>
      </c>
      <c r="G811" t="inlineStr">
        <is>
          <t>HAGFORS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6969-2022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46259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220-2025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45680</v>
      </c>
      <c r="E813" s="1" t="n">
        <v>46259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4150-2023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46259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4410-2023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46259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46259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46259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46259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46259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46259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46259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46259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46259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46259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46259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46259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2026-08-25T01:50:14Z</dcterms:created>
  <dcterms:modified xmlns:dcterms="http://purl.org/dc/terms/" xmlns:xsi="http://www.w3.org/2001/XMLSchema-instance" xsi:type="dcterms:W3CDTF">2026-08-25T01:50:15Z</dcterms:modified>
</cp:coreProperties>
</file>