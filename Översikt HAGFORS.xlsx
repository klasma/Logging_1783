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46203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46203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46203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46203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46203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23955-2025</t>
        </is>
      </c>
      <c r="B12" s="1" t="n">
        <v>45796</v>
      </c>
      <c r="C12" s="1" t="n">
        <v>46203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Garnlav
Knärot
Dropptaggsvamp
Tretåig hackspett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46203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46203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Garnlav
Kolflarnlav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59972-2025</t>
        </is>
      </c>
      <c r="B16" s="1" t="n">
        <v>45993</v>
      </c>
      <c r="C16" s="1" t="n">
        <v>46203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Korallblylav</t>
        </is>
      </c>
      <c r="S16">
        <f>HYPERLINK("https://klasma.github.io/Logging_1783/artfynd/A 59972-2025 artfynd.xlsx", "A 59972-2025")</f>
        <v/>
      </c>
      <c r="T16">
        <f>HYPERLINK("https://klasma.github.io/Logging_1783/kartor/A 59972-2025 karta.png", "A 59972-2025")</f>
        <v/>
      </c>
      <c r="V16">
        <f>HYPERLINK("https://klasma.github.io/Logging_1783/klagomål/A 59972-2025 FSC-klagomål.docx", "A 59972-2025")</f>
        <v/>
      </c>
      <c r="W16">
        <f>HYPERLINK("https://klasma.github.io/Logging_1783/klagomålsmail/A 59972-2025 FSC-klagomål mail.docx", "A 59972-2025")</f>
        <v/>
      </c>
      <c r="X16">
        <f>HYPERLINK("https://klasma.github.io/Logging_1783/tillsyn/A 59972-2025 tillsynsbegäran.docx", "A 59972-2025")</f>
        <v/>
      </c>
      <c r="Y16">
        <f>HYPERLINK("https://klasma.github.io/Logging_1783/tillsynsmail/A 59972-2025 tillsynsbegäran mail.docx", "A 59972-2025")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46203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Rynkskinn
Stjärntagging
Ullticka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46203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10836-2026</t>
        </is>
      </c>
      <c r="B20" s="1" t="n">
        <v>46078</v>
      </c>
      <c r="C20" s="1" t="n">
        <v>46203</v>
      </c>
      <c r="D20" t="inlineStr">
        <is>
          <t>VÄRMLANDS LÄN</t>
        </is>
      </c>
      <c r="E20" t="inlineStr">
        <is>
          <t>HAGFORS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Ärtsångare</t>
        </is>
      </c>
      <c r="S20">
        <f>HYPERLINK("https://klasma.github.io/Logging_1783/artfynd/A 10836-2026 artfynd.xlsx", "A 10836-2026")</f>
        <v/>
      </c>
      <c r="T20">
        <f>HYPERLINK("https://klasma.github.io/Logging_1783/kartor/A 10836-2026 karta.png", "A 10836-2026")</f>
        <v/>
      </c>
      <c r="V20">
        <f>HYPERLINK("https://klasma.github.io/Logging_1783/klagomål/A 10836-2026 FSC-klagomål.docx", "A 10836-2026")</f>
        <v/>
      </c>
      <c r="W20">
        <f>HYPERLINK("https://klasma.github.io/Logging_1783/klagomålsmail/A 10836-2026 FSC-klagomål mail.docx", "A 10836-2026")</f>
        <v/>
      </c>
      <c r="X20">
        <f>HYPERLINK("https://klasma.github.io/Logging_1783/tillsyn/A 10836-2026 tillsynsbegäran.docx", "A 10836-2026")</f>
        <v/>
      </c>
      <c r="Y20">
        <f>HYPERLINK("https://klasma.github.io/Logging_1783/tillsynsmail/A 10836-2026 tillsynsbegäran mail.docx", "A 10836-2026")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46203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46203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46203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46203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50030-2025</t>
        </is>
      </c>
      <c r="B26" s="1" t="n">
        <v>45943</v>
      </c>
      <c r="C26" s="1" t="n">
        <v>46203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HYPERLINK("https://klasma.github.io/Logging_1783/artfynd/A 50030-2025 artfynd.xlsx", "A 50030-2025")</f>
        <v/>
      </c>
      <c r="T26">
        <f>HYPERLINK("https://klasma.github.io/Logging_1783/kartor/A 50030-2025 karta.png", "A 50030-2025")</f>
        <v/>
      </c>
      <c r="V26">
        <f>HYPERLINK("https://klasma.github.io/Logging_1783/klagomål/A 50030-2025 FSC-klagomål.docx", "A 50030-2025")</f>
        <v/>
      </c>
      <c r="W26">
        <f>HYPERLINK("https://klasma.github.io/Logging_1783/klagomålsmail/A 50030-2025 FSC-klagomål mail.docx", "A 50030-2025")</f>
        <v/>
      </c>
      <c r="X26">
        <f>HYPERLINK("https://klasma.github.io/Logging_1783/tillsyn/A 50030-2025 tillsynsbegäran.docx", "A 50030-2025")</f>
        <v/>
      </c>
      <c r="Y26">
        <f>HYPERLINK("https://klasma.github.io/Logging_1783/tillsynsmail/A 50030-2025 tillsynsbegäran mail.docx", "A 50030-2025")</f>
        <v/>
      </c>
    </row>
    <row r="27" ht="15" customHeight="1">
      <c r="A27" t="inlineStr">
        <is>
          <t>A 22484-2025</t>
        </is>
      </c>
      <c r="B27" s="1" t="n">
        <v>45786</v>
      </c>
      <c r="C27" s="1" t="n">
        <v>46203</v>
      </c>
      <c r="D27" t="inlineStr">
        <is>
          <t>VÄRMLANDS LÄN</t>
        </is>
      </c>
      <c r="E27" t="inlineStr">
        <is>
          <t>HAGFORS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HYPERLINK("https://klasma.github.io/Logging_1783/artfynd/A 22484-2025 artfynd.xlsx", "A 22484-2025")</f>
        <v/>
      </c>
      <c r="T27">
        <f>HYPERLINK("https://klasma.github.io/Logging_1783/kartor/A 22484-2025 karta.png", "A 22484-2025")</f>
        <v/>
      </c>
      <c r="V27">
        <f>HYPERLINK("https://klasma.github.io/Logging_1783/klagomål/A 22484-2025 FSC-klagomål.docx", "A 22484-2025")</f>
        <v/>
      </c>
      <c r="W27">
        <f>HYPERLINK("https://klasma.github.io/Logging_1783/klagomålsmail/A 22484-2025 FSC-klagomål mail.docx", "A 22484-2025")</f>
        <v/>
      </c>
      <c r="X27">
        <f>HYPERLINK("https://klasma.github.io/Logging_1783/tillsyn/A 22484-2025 tillsynsbegäran.docx", "A 22484-2025")</f>
        <v/>
      </c>
      <c r="Y27">
        <f>HYPERLINK("https://klasma.github.io/Logging_1783/tillsynsmail/A 22484-2025 tillsynsbegäran mail.docx", "A 22484-2025")</f>
        <v/>
      </c>
    </row>
    <row r="28" ht="15" customHeight="1">
      <c r="A28" t="inlineStr">
        <is>
          <t>A 54700-2025</t>
        </is>
      </c>
      <c r="B28" s="1" t="n">
        <v>45966</v>
      </c>
      <c r="C28" s="1" t="n">
        <v>46203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54700-2025 artfynd.xlsx", "A 54700-2025")</f>
        <v/>
      </c>
      <c r="T28">
        <f>HYPERLINK("https://klasma.github.io/Logging_1783/kartor/A 54700-2025 karta.png", "A 54700-2025")</f>
        <v/>
      </c>
      <c r="V28">
        <f>HYPERLINK("https://klasma.github.io/Logging_1783/klagomål/A 54700-2025 FSC-klagomål.docx", "A 54700-2025")</f>
        <v/>
      </c>
      <c r="W28">
        <f>HYPERLINK("https://klasma.github.io/Logging_1783/klagomålsmail/A 54700-2025 FSC-klagomål mail.docx", "A 54700-2025")</f>
        <v/>
      </c>
      <c r="X28">
        <f>HYPERLINK("https://klasma.github.io/Logging_1783/tillsyn/A 54700-2025 tillsynsbegäran.docx", "A 54700-2025")</f>
        <v/>
      </c>
      <c r="Y28">
        <f>HYPERLINK("https://klasma.github.io/Logging_1783/tillsynsmail/A 54700-2025 tillsynsbegäran mail.docx", "A 54700-2025")</f>
        <v/>
      </c>
      <c r="Z28">
        <f>HYPERLINK("https://klasma.github.io/Logging_1783/fåglar/A 54700-2025 prioriterade fågelarter.docx", "A 54700-2025")</f>
        <v/>
      </c>
    </row>
    <row r="29" ht="15" customHeight="1">
      <c r="A29" t="inlineStr">
        <is>
          <t>A 24885-2025</t>
        </is>
      </c>
      <c r="B29" s="1" t="n">
        <v>45799</v>
      </c>
      <c r="C29" s="1" t="n">
        <v>46203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55484-2025</t>
        </is>
      </c>
      <c r="B30" s="1" t="n">
        <v>45971</v>
      </c>
      <c r="C30" s="1" t="n">
        <v>46203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HYPERLINK("https://klasma.github.io/Logging_1783/artfynd/A 55484-2025 artfynd.xlsx", "A 55484-2025")</f>
        <v/>
      </c>
      <c r="T30">
        <f>HYPERLINK("https://klasma.github.io/Logging_1783/kartor/A 55484-2025 karta.png", "A 55484-2025")</f>
        <v/>
      </c>
      <c r="V30">
        <f>HYPERLINK("https://klasma.github.io/Logging_1783/klagomål/A 55484-2025 FSC-klagomål.docx", "A 55484-2025")</f>
        <v/>
      </c>
      <c r="W30">
        <f>HYPERLINK("https://klasma.github.io/Logging_1783/klagomålsmail/A 55484-2025 FSC-klagomål mail.docx", "A 55484-2025")</f>
        <v/>
      </c>
      <c r="X30">
        <f>HYPERLINK("https://klasma.github.io/Logging_1783/tillsyn/A 55484-2025 tillsynsbegäran.docx", "A 55484-2025")</f>
        <v/>
      </c>
      <c r="Y30">
        <f>HYPERLINK("https://klasma.github.io/Logging_1783/tillsynsmail/A 55484-2025 tillsynsbegäran mail.docx", "A 55484-2025")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46203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46203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46203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33848-2025</t>
        </is>
      </c>
      <c r="B34" s="1" t="n">
        <v>45842</v>
      </c>
      <c r="C34" s="1" t="n">
        <v>46203</v>
      </c>
      <c r="D34" t="inlineStr">
        <is>
          <t>VÄRMLANDS LÄN</t>
        </is>
      </c>
      <c r="E34" t="inlineStr">
        <is>
          <t>HAGFORS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33848-2025 artfynd.xlsx", "A 33848-2025")</f>
        <v/>
      </c>
      <c r="T34">
        <f>HYPERLINK("https://klasma.github.io/Logging_1783/kartor/A 33848-2025 karta.png", "A 33848-2025")</f>
        <v/>
      </c>
      <c r="V34">
        <f>HYPERLINK("https://klasma.github.io/Logging_1783/klagomål/A 33848-2025 FSC-klagomål.docx", "A 33848-2025")</f>
        <v/>
      </c>
      <c r="W34">
        <f>HYPERLINK("https://klasma.github.io/Logging_1783/klagomålsmail/A 33848-2025 FSC-klagomål mail.docx", "A 33848-2025")</f>
        <v/>
      </c>
      <c r="X34">
        <f>HYPERLINK("https://klasma.github.io/Logging_1783/tillsyn/A 33848-2025 tillsynsbegäran.docx", "A 33848-2025")</f>
        <v/>
      </c>
      <c r="Y34">
        <f>HYPERLINK("https://klasma.github.io/Logging_1783/tillsynsmail/A 33848-2025 tillsynsbegäran mail.docx", "A 33848-2025")</f>
        <v/>
      </c>
    </row>
    <row r="35" ht="15" customHeight="1">
      <c r="A35" t="inlineStr">
        <is>
          <t>A 33905-2025</t>
        </is>
      </c>
      <c r="B35" s="1" t="n">
        <v>45842</v>
      </c>
      <c r="C35" s="1" t="n">
        <v>46203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7.8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33905-2025 artfynd.xlsx", "A 33905-2025")</f>
        <v/>
      </c>
      <c r="T35">
        <f>HYPERLINK("https://klasma.github.io/Logging_1783/kartor/A 33905-2025 karta.png", "A 33905-2025")</f>
        <v/>
      </c>
      <c r="V35">
        <f>HYPERLINK("https://klasma.github.io/Logging_1783/klagomål/A 33905-2025 FSC-klagomål.docx", "A 33905-2025")</f>
        <v/>
      </c>
      <c r="W35">
        <f>HYPERLINK("https://klasma.github.io/Logging_1783/klagomålsmail/A 33905-2025 FSC-klagomål mail.docx", "A 33905-2025")</f>
        <v/>
      </c>
      <c r="X35">
        <f>HYPERLINK("https://klasma.github.io/Logging_1783/tillsyn/A 33905-2025 tillsynsbegäran.docx", "A 33905-2025")</f>
        <v/>
      </c>
      <c r="Y35">
        <f>HYPERLINK("https://klasma.github.io/Logging_1783/tillsynsmail/A 33905-2025 tillsynsbegäran mail.docx", "A 33905-2025")</f>
        <v/>
      </c>
    </row>
    <row r="36" ht="15" customHeight="1">
      <c r="A36" t="inlineStr">
        <is>
          <t>A 38267-2024</t>
        </is>
      </c>
      <c r="B36" s="1" t="n">
        <v>45545</v>
      </c>
      <c r="C36" s="1" t="n">
        <v>46203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HYPERLINK("https://klasma.github.io/Logging_1783/artfynd/A 38267-2024 artfynd.xlsx", "A 38267-2024")</f>
        <v/>
      </c>
      <c r="T36">
        <f>HYPERLINK("https://klasma.github.io/Logging_1783/kartor/A 38267-2024 karta.png", "A 38267-2024")</f>
        <v/>
      </c>
      <c r="V36">
        <f>HYPERLINK("https://klasma.github.io/Logging_1783/klagomål/A 38267-2024 FSC-klagomål.docx", "A 38267-2024")</f>
        <v/>
      </c>
      <c r="W36">
        <f>HYPERLINK("https://klasma.github.io/Logging_1783/klagomålsmail/A 38267-2024 FSC-klagomål mail.docx", "A 38267-2024")</f>
        <v/>
      </c>
      <c r="X36">
        <f>HYPERLINK("https://klasma.github.io/Logging_1783/tillsyn/A 38267-2024 tillsynsbegäran.docx", "A 38267-2024")</f>
        <v/>
      </c>
      <c r="Y36">
        <f>HYPERLINK("https://klasma.github.io/Logging_1783/tillsynsmail/A 38267-2024 tillsynsbegäran mail.docx", "A 38267-2024")</f>
        <v/>
      </c>
    </row>
    <row r="37" ht="15" customHeight="1">
      <c r="A37" t="inlineStr">
        <is>
          <t>A 62954-2025</t>
        </is>
      </c>
      <c r="B37" s="1" t="n">
        <v>46009</v>
      </c>
      <c r="C37" s="1" t="n">
        <v>46203</v>
      </c>
      <c r="D37" t="inlineStr">
        <is>
          <t>VÄRMLANDS LÄN</t>
        </is>
      </c>
      <c r="E37" t="inlineStr">
        <is>
          <t>HAGFORS</t>
        </is>
      </c>
      <c r="G37" t="n">
        <v>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HYPERLINK("https://klasma.github.io/Logging_1783/artfynd/A 62954-2025 artfynd.xlsx", "A 62954-2025")</f>
        <v/>
      </c>
      <c r="T37">
        <f>HYPERLINK("https://klasma.github.io/Logging_1783/kartor/A 62954-2025 karta.png", "A 62954-2025")</f>
        <v/>
      </c>
      <c r="V37">
        <f>HYPERLINK("https://klasma.github.io/Logging_1783/klagomål/A 62954-2025 FSC-klagomål.docx", "A 62954-2025")</f>
        <v/>
      </c>
      <c r="W37">
        <f>HYPERLINK("https://klasma.github.io/Logging_1783/klagomålsmail/A 62954-2025 FSC-klagomål mail.docx", "A 62954-2025")</f>
        <v/>
      </c>
      <c r="X37">
        <f>HYPERLINK("https://klasma.github.io/Logging_1783/tillsyn/A 62954-2025 tillsynsbegäran.docx", "A 62954-2025")</f>
        <v/>
      </c>
      <c r="Y37">
        <f>HYPERLINK("https://klasma.github.io/Logging_1783/tillsynsmail/A 62954-2025 tillsynsbegäran mail.docx", "A 62954-2025")</f>
        <v/>
      </c>
    </row>
    <row r="38" ht="15" customHeight="1">
      <c r="A38" t="inlineStr">
        <is>
          <t>A 37152-2023</t>
        </is>
      </c>
      <c r="B38" s="1" t="n">
        <v>45155</v>
      </c>
      <c r="C38" s="1" t="n">
        <v>46203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Hökuggla</t>
        </is>
      </c>
      <c r="S38">
        <f>HYPERLINK("https://klasma.github.io/Logging_1783/artfynd/A 37152-2023 artfynd.xlsx", "A 37152-2023")</f>
        <v/>
      </c>
      <c r="T38">
        <f>HYPERLINK("https://klasma.github.io/Logging_1783/kartor/A 37152-2023 karta.png", "A 37152-2023")</f>
        <v/>
      </c>
      <c r="V38">
        <f>HYPERLINK("https://klasma.github.io/Logging_1783/klagomål/A 37152-2023 FSC-klagomål.docx", "A 37152-2023")</f>
        <v/>
      </c>
      <c r="W38">
        <f>HYPERLINK("https://klasma.github.io/Logging_1783/klagomålsmail/A 37152-2023 FSC-klagomål mail.docx", "A 37152-2023")</f>
        <v/>
      </c>
      <c r="X38">
        <f>HYPERLINK("https://klasma.github.io/Logging_1783/tillsyn/A 37152-2023 tillsynsbegäran.docx", "A 37152-2023")</f>
        <v/>
      </c>
      <c r="Y38">
        <f>HYPERLINK("https://klasma.github.io/Logging_1783/tillsynsmail/A 37152-2023 tillsynsbegäran mail.docx", "A 37152-2023")</f>
        <v/>
      </c>
      <c r="Z38">
        <f>HYPERLINK("https://klasma.github.io/Logging_1783/fåglar/A 37152-2023 prioriterade fågelarter.docx", "A 37152-2023")</f>
        <v/>
      </c>
    </row>
    <row r="39" ht="15" customHeight="1">
      <c r="A39" t="inlineStr">
        <is>
          <t>A 8254-2026</t>
        </is>
      </c>
      <c r="B39" s="1" t="n">
        <v>46064</v>
      </c>
      <c r="C39" s="1" t="n">
        <v>46203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HYPERLINK("https://klasma.github.io/Logging_1783/artfynd/A 8254-2026 artfynd.xlsx", "A 8254-2026")</f>
        <v/>
      </c>
      <c r="T39">
        <f>HYPERLINK("https://klasma.github.io/Logging_1783/kartor/A 8254-2026 karta.png", "A 8254-2026")</f>
        <v/>
      </c>
      <c r="V39">
        <f>HYPERLINK("https://klasma.github.io/Logging_1783/klagomål/A 8254-2026 FSC-klagomål.docx", "A 8254-2026")</f>
        <v/>
      </c>
      <c r="W39">
        <f>HYPERLINK("https://klasma.github.io/Logging_1783/klagomålsmail/A 8254-2026 FSC-klagomål mail.docx", "A 8254-2026")</f>
        <v/>
      </c>
      <c r="X39">
        <f>HYPERLINK("https://klasma.github.io/Logging_1783/tillsyn/A 8254-2026 tillsynsbegäran.docx", "A 8254-2026")</f>
        <v/>
      </c>
      <c r="Y39">
        <f>HYPERLINK("https://klasma.github.io/Logging_1783/tillsynsmail/A 8254-2026 tillsynsbegäran mail.docx", "A 8254-2026")</f>
        <v/>
      </c>
    </row>
    <row r="40" ht="15" customHeight="1">
      <c r="A40" t="inlineStr">
        <is>
          <t>A 12445-2026</t>
        </is>
      </c>
      <c r="B40" s="1" t="n">
        <v>46090</v>
      </c>
      <c r="C40" s="1" t="n">
        <v>46203</v>
      </c>
      <c r="D40" t="inlineStr">
        <is>
          <t>VÄRMLANDS LÄN</t>
        </is>
      </c>
      <c r="E40" t="inlineStr">
        <is>
          <t>HAGFORS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12445-2026 artfynd.xlsx", "A 12445-2026")</f>
        <v/>
      </c>
      <c r="T40">
        <f>HYPERLINK("https://klasma.github.io/Logging_1783/kartor/A 12445-2026 karta.png", "A 12445-2026")</f>
        <v/>
      </c>
      <c r="V40">
        <f>HYPERLINK("https://klasma.github.io/Logging_1783/klagomål/A 12445-2026 FSC-klagomål.docx", "A 12445-2026")</f>
        <v/>
      </c>
      <c r="W40">
        <f>HYPERLINK("https://klasma.github.io/Logging_1783/klagomålsmail/A 12445-2026 FSC-klagomål mail.docx", "A 12445-2026")</f>
        <v/>
      </c>
      <c r="X40">
        <f>HYPERLINK("https://klasma.github.io/Logging_1783/tillsyn/A 12445-2026 tillsynsbegäran.docx", "A 12445-2026")</f>
        <v/>
      </c>
      <c r="Y40">
        <f>HYPERLINK("https://klasma.github.io/Logging_1783/tillsynsmail/A 12445-2026 tillsynsbegäran mail.docx", "A 12445-2026")</f>
        <v/>
      </c>
      <c r="Z40">
        <f>HYPERLINK("https://klasma.github.io/Logging_1783/fåglar/A 12445-2026 prioriterade fågelarter.docx", "A 12445-2026")</f>
        <v/>
      </c>
    </row>
    <row r="41" ht="15" customHeight="1">
      <c r="A41" t="inlineStr">
        <is>
          <t>A 24716-2026</t>
        </is>
      </c>
      <c r="B41" s="1" t="n">
        <v>46171</v>
      </c>
      <c r="C41" s="1" t="n">
        <v>46203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82.3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HYPERLINK("https://klasma.github.io/Logging_1783/artfynd/A 24716-2026 artfynd.xlsx", "A 24716-2026")</f>
        <v/>
      </c>
      <c r="T41">
        <f>HYPERLINK("https://klasma.github.io/Logging_1783/kartor/A 24716-2026 karta.png", "A 24716-2026")</f>
        <v/>
      </c>
      <c r="V41">
        <f>HYPERLINK("https://klasma.github.io/Logging_1783/klagomål/A 24716-2026 FSC-klagomål.docx", "A 24716-2026")</f>
        <v/>
      </c>
      <c r="W41">
        <f>HYPERLINK("https://klasma.github.io/Logging_1783/klagomålsmail/A 24716-2026 FSC-klagomål mail.docx", "A 24716-2026")</f>
        <v/>
      </c>
      <c r="X41">
        <f>HYPERLINK("https://klasma.github.io/Logging_1783/tillsyn/A 24716-2026 tillsynsbegäran.docx", "A 24716-2026")</f>
        <v/>
      </c>
      <c r="Y41">
        <f>HYPERLINK("https://klasma.github.io/Logging_1783/tillsynsmail/A 24716-2026 tillsynsbegäran mail.docx", "A 24716-2026")</f>
        <v/>
      </c>
    </row>
    <row r="42" ht="15" customHeight="1">
      <c r="A42" t="inlineStr">
        <is>
          <t>A 24659-2026</t>
        </is>
      </c>
      <c r="B42" s="1" t="n">
        <v>46171</v>
      </c>
      <c r="C42" s="1" t="n">
        <v>46203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82.3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HYPERLINK("https://klasma.github.io/Logging_1783/artfynd/A 24659-2026 artfynd.xlsx", "A 24659-2026")</f>
        <v/>
      </c>
      <c r="T42">
        <f>HYPERLINK("https://klasma.github.io/Logging_1783/kartor/A 24659-2026 karta.png", "A 24659-2026")</f>
        <v/>
      </c>
      <c r="V42">
        <f>HYPERLINK("https://klasma.github.io/Logging_1783/klagomål/A 24659-2026 FSC-klagomål.docx", "A 24659-2026")</f>
        <v/>
      </c>
      <c r="W42">
        <f>HYPERLINK("https://klasma.github.io/Logging_1783/klagomålsmail/A 24659-2026 FSC-klagomål mail.docx", "A 24659-2026")</f>
        <v/>
      </c>
      <c r="X42">
        <f>HYPERLINK("https://klasma.github.io/Logging_1783/tillsyn/A 24659-2026 tillsynsbegäran.docx", "A 24659-2026")</f>
        <v/>
      </c>
      <c r="Y42">
        <f>HYPERLINK("https://klasma.github.io/Logging_1783/tillsynsmail/A 24659-2026 tillsynsbegäran mail.docx", "A 24659-2026")</f>
        <v/>
      </c>
    </row>
    <row r="43" ht="15" customHeight="1">
      <c r="A43" t="inlineStr">
        <is>
          <t>A 19362-2026</t>
        </is>
      </c>
      <c r="B43" s="1" t="n">
        <v>46133</v>
      </c>
      <c r="C43" s="1" t="n">
        <v>46203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HYPERLINK("https://klasma.github.io/Logging_1783/artfynd/A 19362-2026 artfynd.xlsx", "A 19362-2026")</f>
        <v/>
      </c>
      <c r="T43">
        <f>HYPERLINK("https://klasma.github.io/Logging_1783/kartor/A 19362-2026 karta.png", "A 19362-2026")</f>
        <v/>
      </c>
      <c r="V43">
        <f>HYPERLINK("https://klasma.github.io/Logging_1783/klagomål/A 19362-2026 FSC-klagomål.docx", "A 19362-2026")</f>
        <v/>
      </c>
      <c r="W43">
        <f>HYPERLINK("https://klasma.github.io/Logging_1783/klagomålsmail/A 19362-2026 FSC-klagomål mail.docx", "A 19362-2026")</f>
        <v/>
      </c>
      <c r="X43">
        <f>HYPERLINK("https://klasma.github.io/Logging_1783/tillsyn/A 19362-2026 tillsynsbegäran.docx", "A 19362-2026")</f>
        <v/>
      </c>
      <c r="Y43">
        <f>HYPERLINK("https://klasma.github.io/Logging_1783/tillsynsmail/A 19362-2026 tillsynsbegäran mail.docx", "A 19362-2026")</f>
        <v/>
      </c>
    </row>
    <row r="44" ht="15" customHeight="1">
      <c r="A44" t="inlineStr">
        <is>
          <t>A 16319-2023</t>
        </is>
      </c>
      <c r="B44" s="1" t="n">
        <v>45028</v>
      </c>
      <c r="C44" s="1" t="n">
        <v>46203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HYPERLINK("https://klasma.github.io/Logging_1783/artfynd/A 16319-2023 artfynd.xlsx", "A 16319-2023")</f>
        <v/>
      </c>
      <c r="T44">
        <f>HYPERLINK("https://klasma.github.io/Logging_1783/kartor/A 16319-2023 karta.png", "A 16319-2023")</f>
        <v/>
      </c>
      <c r="V44">
        <f>HYPERLINK("https://klasma.github.io/Logging_1783/klagomål/A 16319-2023 FSC-klagomål.docx", "A 16319-2023")</f>
        <v/>
      </c>
      <c r="W44">
        <f>HYPERLINK("https://klasma.github.io/Logging_1783/klagomålsmail/A 16319-2023 FSC-klagomål mail.docx", "A 16319-2023")</f>
        <v/>
      </c>
      <c r="X44">
        <f>HYPERLINK("https://klasma.github.io/Logging_1783/tillsyn/A 16319-2023 tillsynsbegäran.docx", "A 16319-2023")</f>
        <v/>
      </c>
      <c r="Y44">
        <f>HYPERLINK("https://klasma.github.io/Logging_1783/tillsynsmail/A 16319-2023 tillsynsbegäran mail.docx", "A 16319-2023")</f>
        <v/>
      </c>
    </row>
    <row r="45" ht="15" customHeight="1">
      <c r="A45" t="inlineStr">
        <is>
          <t>A 26189-2026</t>
        </is>
      </c>
      <c r="B45" s="1" t="n">
        <v>46182</v>
      </c>
      <c r="C45" s="1" t="n">
        <v>46203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Sävsparv</t>
        </is>
      </c>
      <c r="S45">
        <f>HYPERLINK("https://klasma.github.io/Logging_1783/artfynd/A 26189-2026 artfynd.xlsx", "A 26189-2026")</f>
        <v/>
      </c>
      <c r="T45">
        <f>HYPERLINK("https://klasma.github.io/Logging_1783/kartor/A 26189-2026 karta.png", "A 26189-2026")</f>
        <v/>
      </c>
      <c r="V45">
        <f>HYPERLINK("https://klasma.github.io/Logging_1783/klagomål/A 26189-2026 FSC-klagomål.docx", "A 26189-2026")</f>
        <v/>
      </c>
      <c r="W45">
        <f>HYPERLINK("https://klasma.github.io/Logging_1783/klagomålsmail/A 26189-2026 FSC-klagomål mail.docx", "A 26189-2026")</f>
        <v/>
      </c>
      <c r="X45">
        <f>HYPERLINK("https://klasma.github.io/Logging_1783/tillsyn/A 26189-2026 tillsynsbegäran.docx", "A 26189-2026")</f>
        <v/>
      </c>
      <c r="Y45">
        <f>HYPERLINK("https://klasma.github.io/Logging_1783/tillsynsmail/A 26189-2026 tillsynsbegäran mail.docx", "A 26189-2026")</f>
        <v/>
      </c>
      <c r="Z45">
        <f>HYPERLINK("https://klasma.github.io/Logging_1783/fåglar/A 26189-2026 prioriterade fågelarter.docx", "A 26189-2026")</f>
        <v/>
      </c>
    </row>
    <row r="46" ht="15" customHeight="1">
      <c r="A46" t="inlineStr">
        <is>
          <t>A 34158-2025</t>
        </is>
      </c>
      <c r="B46" s="1" t="n">
        <v>45845</v>
      </c>
      <c r="C46" s="1" t="n">
        <v>46203</v>
      </c>
      <c r="D46" t="inlineStr">
        <is>
          <t>VÄRMLANDS LÄN</t>
        </is>
      </c>
      <c r="E46" t="inlineStr">
        <is>
          <t>HAGFORS</t>
        </is>
      </c>
      <c r="G46" t="n">
        <v>5.8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HYPERLINK("https://klasma.github.io/Logging_1783/artfynd/A 34158-2025 artfynd.xlsx", "A 34158-2025")</f>
        <v/>
      </c>
      <c r="T46">
        <f>HYPERLINK("https://klasma.github.io/Logging_1783/kartor/A 34158-2025 karta.png", "A 34158-2025")</f>
        <v/>
      </c>
      <c r="V46">
        <f>HYPERLINK("https://klasma.github.io/Logging_1783/klagomål/A 34158-2025 FSC-klagomål.docx", "A 34158-2025")</f>
        <v/>
      </c>
      <c r="W46">
        <f>HYPERLINK("https://klasma.github.io/Logging_1783/klagomålsmail/A 34158-2025 FSC-klagomål mail.docx", "A 34158-2025")</f>
        <v/>
      </c>
      <c r="X46">
        <f>HYPERLINK("https://klasma.github.io/Logging_1783/tillsyn/A 34158-2025 tillsynsbegäran.docx", "A 34158-2025")</f>
        <v/>
      </c>
      <c r="Y46">
        <f>HYPERLINK("https://klasma.github.io/Logging_1783/tillsynsmail/A 34158-2025 tillsynsbegäran mail.docx", "A 34158-2025")</f>
        <v/>
      </c>
    </row>
    <row r="47" ht="15" customHeight="1">
      <c r="A47" t="inlineStr">
        <is>
          <t>A 6986-2022</t>
        </is>
      </c>
      <c r="B47" s="1" t="n">
        <v>44603</v>
      </c>
      <c r="C47" s="1" t="n">
        <v>46203</v>
      </c>
      <c r="D47" t="inlineStr">
        <is>
          <t>VÄRMLANDS LÄN</t>
        </is>
      </c>
      <c r="E47" t="inlineStr">
        <is>
          <t>HAGFORS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HYPERLINK("https://klasma.github.io/Logging_1783/artfynd/A 6986-2022 artfynd.xlsx", "A 6986-2022")</f>
        <v/>
      </c>
      <c r="T47">
        <f>HYPERLINK("https://klasma.github.io/Logging_1783/kartor/A 6986-2022 karta.png", "A 6986-2022")</f>
        <v/>
      </c>
      <c r="V47">
        <f>HYPERLINK("https://klasma.github.io/Logging_1783/klagomål/A 6986-2022 FSC-klagomål.docx", "A 6986-2022")</f>
        <v/>
      </c>
      <c r="W47">
        <f>HYPERLINK("https://klasma.github.io/Logging_1783/klagomålsmail/A 6986-2022 FSC-klagomål mail.docx", "A 6986-2022")</f>
        <v/>
      </c>
      <c r="X47">
        <f>HYPERLINK("https://klasma.github.io/Logging_1783/tillsyn/A 6986-2022 tillsynsbegäran.docx", "A 6986-2022")</f>
        <v/>
      </c>
      <c r="Y47">
        <f>HYPERLINK("https://klasma.github.io/Logging_1783/tillsynsmail/A 6986-2022 tillsynsbegäran mail.docx", "A 6986-2022")</f>
        <v/>
      </c>
    </row>
    <row r="48" ht="15" customHeight="1">
      <c r="A48" t="inlineStr">
        <is>
          <t>A 30524-2022</t>
        </is>
      </c>
      <c r="B48" s="1" t="n">
        <v>44762</v>
      </c>
      <c r="C48" s="1" t="n">
        <v>46203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HYPERLINK("https://klasma.github.io/Logging_1783/artfynd/A 30524-2022 artfynd.xlsx", "A 30524-2022")</f>
        <v/>
      </c>
      <c r="T48">
        <f>HYPERLINK("https://klasma.github.io/Logging_1783/kartor/A 30524-2022 karta.png", "A 30524-2022")</f>
        <v/>
      </c>
      <c r="V48">
        <f>HYPERLINK("https://klasma.github.io/Logging_1783/klagomål/A 30524-2022 FSC-klagomål.docx", "A 30524-2022")</f>
        <v/>
      </c>
      <c r="W48">
        <f>HYPERLINK("https://klasma.github.io/Logging_1783/klagomålsmail/A 30524-2022 FSC-klagomål mail.docx", "A 30524-2022")</f>
        <v/>
      </c>
      <c r="X48">
        <f>HYPERLINK("https://klasma.github.io/Logging_1783/tillsyn/A 30524-2022 tillsynsbegäran.docx", "A 30524-2022")</f>
        <v/>
      </c>
      <c r="Y48">
        <f>HYPERLINK("https://klasma.github.io/Logging_1783/tillsynsmail/A 30524-2022 tillsynsbegäran mail.docx", "A 30524-2022")</f>
        <v/>
      </c>
    </row>
    <row r="49" ht="15" customHeight="1">
      <c r="A49" t="inlineStr">
        <is>
          <t>A 44095-2023</t>
        </is>
      </c>
      <c r="B49" s="1" t="n">
        <v>45188</v>
      </c>
      <c r="C49" s="1" t="n">
        <v>46203</v>
      </c>
      <c r="D49" t="inlineStr">
        <is>
          <t>VÄRMLANDS LÄN</t>
        </is>
      </c>
      <c r="E49" t="inlineStr">
        <is>
          <t>HAGFORS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44095-2023 artfynd.xlsx", "A 44095-2023")</f>
        <v/>
      </c>
      <c r="T49">
        <f>HYPERLINK("https://klasma.github.io/Logging_1783/kartor/A 44095-2023 karta.png", "A 44095-2023")</f>
        <v/>
      </c>
      <c r="V49">
        <f>HYPERLINK("https://klasma.github.io/Logging_1783/klagomål/A 44095-2023 FSC-klagomål.docx", "A 44095-2023")</f>
        <v/>
      </c>
      <c r="W49">
        <f>HYPERLINK("https://klasma.github.io/Logging_1783/klagomålsmail/A 44095-2023 FSC-klagomål mail.docx", "A 44095-2023")</f>
        <v/>
      </c>
      <c r="X49">
        <f>HYPERLINK("https://klasma.github.io/Logging_1783/tillsyn/A 44095-2023 tillsynsbegäran.docx", "A 44095-2023")</f>
        <v/>
      </c>
      <c r="Y49">
        <f>HYPERLINK("https://klasma.github.io/Logging_1783/tillsynsmail/A 44095-2023 tillsynsbegäran mail.docx", "A 44095-2023")</f>
        <v/>
      </c>
    </row>
    <row r="50" ht="15" customHeight="1">
      <c r="A50" t="inlineStr">
        <is>
          <t>A 51194-2022</t>
        </is>
      </c>
      <c r="B50" s="1" t="n">
        <v>44868</v>
      </c>
      <c r="C50" s="1" t="n">
        <v>46203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HYPERLINK("https://klasma.github.io/Logging_1783/artfynd/A 51194-2022 artfynd.xlsx", "A 51194-2022")</f>
        <v/>
      </c>
      <c r="T50">
        <f>HYPERLINK("https://klasma.github.io/Logging_1783/kartor/A 51194-2022 karta.png", "A 51194-2022")</f>
        <v/>
      </c>
      <c r="V50">
        <f>HYPERLINK("https://klasma.github.io/Logging_1783/klagomål/A 51194-2022 FSC-klagomål.docx", "A 51194-2022")</f>
        <v/>
      </c>
      <c r="W50">
        <f>HYPERLINK("https://klasma.github.io/Logging_1783/klagomålsmail/A 51194-2022 FSC-klagomål mail.docx", "A 51194-2022")</f>
        <v/>
      </c>
      <c r="X50">
        <f>HYPERLINK("https://klasma.github.io/Logging_1783/tillsyn/A 51194-2022 tillsynsbegäran.docx", "A 51194-2022")</f>
        <v/>
      </c>
      <c r="Y50">
        <f>HYPERLINK("https://klasma.github.io/Logging_1783/tillsynsmail/A 51194-2022 tillsynsbegäran mail.docx", "A 51194-2022")</f>
        <v/>
      </c>
    </row>
    <row r="51" ht="15" customHeight="1">
      <c r="A51" t="inlineStr">
        <is>
          <t>A 42446-2024</t>
        </is>
      </c>
      <c r="B51" s="1" t="n">
        <v>45565</v>
      </c>
      <c r="C51" s="1" t="n">
        <v>46203</v>
      </c>
      <c r="D51" t="inlineStr">
        <is>
          <t>VÄRMLANDS LÄN</t>
        </is>
      </c>
      <c r="E51" t="inlineStr">
        <is>
          <t>HAGFORS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HYPERLINK("https://klasma.github.io/Logging_1783/artfynd/A 42446-2024 artfynd.xlsx", "A 42446-2024")</f>
        <v/>
      </c>
      <c r="T51">
        <f>HYPERLINK("https://klasma.github.io/Logging_1783/kartor/A 42446-2024 karta.png", "A 42446-2024")</f>
        <v/>
      </c>
      <c r="V51">
        <f>HYPERLINK("https://klasma.github.io/Logging_1783/klagomål/A 42446-2024 FSC-klagomål.docx", "A 42446-2024")</f>
        <v/>
      </c>
      <c r="W51">
        <f>HYPERLINK("https://klasma.github.io/Logging_1783/klagomålsmail/A 42446-2024 FSC-klagomål mail.docx", "A 42446-2024")</f>
        <v/>
      </c>
      <c r="X51">
        <f>HYPERLINK("https://klasma.github.io/Logging_1783/tillsyn/A 42446-2024 tillsynsbegäran.docx", "A 42446-2024")</f>
        <v/>
      </c>
      <c r="Y51">
        <f>HYPERLINK("https://klasma.github.io/Logging_1783/tillsynsmail/A 42446-2024 tillsynsbegäran mail.docx", "A 42446-2024")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46203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46203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65299-2021</t>
        </is>
      </c>
      <c r="B54" s="1" t="n">
        <v>44515</v>
      </c>
      <c r="C54" s="1" t="n">
        <v>46203</v>
      </c>
      <c r="D54" t="inlineStr">
        <is>
          <t>VÄRMLANDS LÄN</t>
        </is>
      </c>
      <c r="E54" t="inlineStr">
        <is>
          <t>HAGFORS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39409-2021</t>
        </is>
      </c>
      <c r="B55" s="1" t="n">
        <v>44414</v>
      </c>
      <c r="C55" s="1" t="n">
        <v>46203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46203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46203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46203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46203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46203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46203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46203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46203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46203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46203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46203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46203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46203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46203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46203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46203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46203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46203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46203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46203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72937-2021</t>
        </is>
      </c>
      <c r="B76" s="1" t="n">
        <v>44547</v>
      </c>
      <c r="C76" s="1" t="n">
        <v>46203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44539-2021</t>
        </is>
      </c>
      <c r="B77" s="1" t="n">
        <v>44435</v>
      </c>
      <c r="C77" s="1" t="n">
        <v>46203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46203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46203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17923-2022</t>
        </is>
      </c>
      <c r="B80" s="1" t="n">
        <v>44683</v>
      </c>
      <c r="C80" s="1" t="n">
        <v>46203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43473-2021</t>
        </is>
      </c>
      <c r="B81" s="1" t="n">
        <v>44432</v>
      </c>
      <c r="C81" s="1" t="n">
        <v>46203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46203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</v>
      </c>
      <c r="C83" s="1" t="n">
        <v>46203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</v>
      </c>
      <c r="C84" s="1" t="n">
        <v>46203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</v>
      </c>
      <c r="C85" s="1" t="n">
        <v>46203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46203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</v>
      </c>
      <c r="C87" s="1" t="n">
        <v>46203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</v>
      </c>
      <c r="C88" s="1" t="n">
        <v>46203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20436-2022</t>
        </is>
      </c>
      <c r="B89" s="1" t="n">
        <v>44699</v>
      </c>
      <c r="C89" s="1" t="n">
        <v>46203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46203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</v>
      </c>
      <c r="C91" s="1" t="n">
        <v>46203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46203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72375-2021</t>
        </is>
      </c>
      <c r="B93" s="1" t="n">
        <v>44545</v>
      </c>
      <c r="C93" s="1" t="n">
        <v>46203</v>
      </c>
      <c r="D93" t="inlineStr">
        <is>
          <t>VÄRMLANDS LÄN</t>
        </is>
      </c>
      <c r="E93" t="inlineStr">
        <is>
          <t>HAGFORS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39059-2022</t>
        </is>
      </c>
      <c r="B94" s="1" t="n">
        <v>44817</v>
      </c>
      <c r="C94" s="1" t="n">
        <v>46203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42423-2022</t>
        </is>
      </c>
      <c r="B95" s="1" t="n">
        <v>44830</v>
      </c>
      <c r="C95" s="1" t="n">
        <v>46203</v>
      </c>
      <c r="D95" t="inlineStr">
        <is>
          <t>VÄRMLANDS LÄN</t>
        </is>
      </c>
      <c r="E95" t="inlineStr">
        <is>
          <t>HAGFORS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39698-2021</t>
        </is>
      </c>
      <c r="B96" s="1" t="n">
        <v>44417</v>
      </c>
      <c r="C96" s="1" t="n">
        <v>46203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72365-2021</t>
        </is>
      </c>
      <c r="B97" s="1" t="n">
        <v>44545</v>
      </c>
      <c r="C97" s="1" t="n">
        <v>46203</v>
      </c>
      <c r="D97" t="inlineStr">
        <is>
          <t>VÄRMLANDS LÄN</t>
        </is>
      </c>
      <c r="E97" t="inlineStr">
        <is>
          <t>HAGFORS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43475-2022</t>
        </is>
      </c>
      <c r="B98" s="1" t="n">
        <v>44836</v>
      </c>
      <c r="C98" s="1" t="n">
        <v>46203</v>
      </c>
      <c r="D98" t="inlineStr">
        <is>
          <t>VÄRMLANDS LÄN</t>
        </is>
      </c>
      <c r="E98" t="inlineStr">
        <is>
          <t>HAGFORS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51759-2022</t>
        </is>
      </c>
      <c r="B99" s="1" t="n">
        <v>44872</v>
      </c>
      <c r="C99" s="1" t="n">
        <v>46203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70713-2021</t>
        </is>
      </c>
      <c r="B100" s="1" t="n">
        <v>44537</v>
      </c>
      <c r="C100" s="1" t="n">
        <v>46203</v>
      </c>
      <c r="D100" t="inlineStr">
        <is>
          <t>VÄRMLANDS LÄN</t>
        </is>
      </c>
      <c r="E100" t="inlineStr">
        <is>
          <t>HAGFORS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</v>
      </c>
      <c r="C101" s="1" t="n">
        <v>46203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48203-2022</t>
        </is>
      </c>
      <c r="B102" s="1" t="n">
        <v>44858</v>
      </c>
      <c r="C102" s="1" t="n">
        <v>46203</v>
      </c>
      <c r="D102" t="inlineStr">
        <is>
          <t>VÄRMLANDS LÄN</t>
        </is>
      </c>
      <c r="E102" t="inlineStr">
        <is>
          <t>HAGFORS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5202-2022</t>
        </is>
      </c>
      <c r="B103" s="1" t="n">
        <v>44594</v>
      </c>
      <c r="C103" s="1" t="n">
        <v>46203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6708-2022</t>
        </is>
      </c>
      <c r="B104" s="1" t="n">
        <v>44602</v>
      </c>
      <c r="C104" s="1" t="n">
        <v>46203</v>
      </c>
      <c r="D104" t="inlineStr">
        <is>
          <t>VÄRMLANDS LÄN</t>
        </is>
      </c>
      <c r="E104" t="inlineStr">
        <is>
          <t>HAGFORS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46203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65565-2021</t>
        </is>
      </c>
      <c r="B106" s="1" t="n">
        <v>44516</v>
      </c>
      <c r="C106" s="1" t="n">
        <v>46203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17402-2022</t>
        </is>
      </c>
      <c r="B107" s="1" t="n">
        <v>44678</v>
      </c>
      <c r="C107" s="1" t="n">
        <v>46203</v>
      </c>
      <c r="D107" t="inlineStr">
        <is>
          <t>VÄRMLANDS LÄN</t>
        </is>
      </c>
      <c r="E107" t="inlineStr">
        <is>
          <t>HAGFORS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21442-2022</t>
        </is>
      </c>
      <c r="B108" s="1" t="n">
        <v>44706</v>
      </c>
      <c r="C108" s="1" t="n">
        <v>46203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53757-2021</t>
        </is>
      </c>
      <c r="B109" s="1" t="n">
        <v>44469</v>
      </c>
      <c r="C109" s="1" t="n">
        <v>46203</v>
      </c>
      <c r="D109" t="inlineStr">
        <is>
          <t>VÄRMLANDS LÄN</t>
        </is>
      </c>
      <c r="E109" t="inlineStr">
        <is>
          <t>HAGFORS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55137-2024</t>
        </is>
      </c>
      <c r="B110" s="1" t="n">
        <v>45621</v>
      </c>
      <c r="C110" s="1" t="n">
        <v>46203</v>
      </c>
      <c r="D110" t="inlineStr">
        <is>
          <t>VÄRMLANDS LÄN</t>
        </is>
      </c>
      <c r="E110" t="inlineStr">
        <is>
          <t>HAGFORS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46203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8842-2025</t>
        </is>
      </c>
      <c r="B112" s="1" t="n">
        <v>45713</v>
      </c>
      <c r="C112" s="1" t="n">
        <v>46203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5778-2024</t>
        </is>
      </c>
      <c r="B113" s="1" t="n">
        <v>45335</v>
      </c>
      <c r="C113" s="1" t="n">
        <v>46203</v>
      </c>
      <c r="D113" t="inlineStr">
        <is>
          <t>VÄRMLANDS LÄN</t>
        </is>
      </c>
      <c r="E113" t="inlineStr">
        <is>
          <t>HAGFORS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56893-2023</t>
        </is>
      </c>
      <c r="B114" s="1" t="n">
        <v>45244</v>
      </c>
      <c r="C114" s="1" t="n">
        <v>46203</v>
      </c>
      <c r="D114" t="inlineStr">
        <is>
          <t>VÄRMLANDS LÄN</t>
        </is>
      </c>
      <c r="E114" t="inlineStr">
        <is>
          <t>HAGFORS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3669-2025</t>
        </is>
      </c>
      <c r="B115" s="1" t="n">
        <v>45681</v>
      </c>
      <c r="C115" s="1" t="n">
        <v>46203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62461-2023</t>
        </is>
      </c>
      <c r="B116" s="1" t="n">
        <v>45268</v>
      </c>
      <c r="C116" s="1" t="n">
        <v>46203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3980-2025</t>
        </is>
      </c>
      <c r="B117" s="1" t="n">
        <v>45684</v>
      </c>
      <c r="C117" s="1" t="n">
        <v>46203</v>
      </c>
      <c r="D117" t="inlineStr">
        <is>
          <t>VÄRMLANDS LÄN</t>
        </is>
      </c>
      <c r="E117" t="inlineStr">
        <is>
          <t>HAGFORS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4012-2025</t>
        </is>
      </c>
      <c r="B118" s="1" t="n">
        <v>45684</v>
      </c>
      <c r="C118" s="1" t="n">
        <v>46203</v>
      </c>
      <c r="D118" t="inlineStr">
        <is>
          <t>VÄRMLANDS LÄN</t>
        </is>
      </c>
      <c r="E118" t="inlineStr">
        <is>
          <t>HAGFORS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31178-2022</t>
        </is>
      </c>
      <c r="B119" s="1" t="n">
        <v>44770</v>
      </c>
      <c r="C119" s="1" t="n">
        <v>46203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15538-2024</t>
        </is>
      </c>
      <c r="B120" s="1" t="n">
        <v>45401</v>
      </c>
      <c r="C120" s="1" t="n">
        <v>46203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19894-2024</t>
        </is>
      </c>
      <c r="B121" s="1" t="n">
        <v>45433</v>
      </c>
      <c r="C121" s="1" t="n">
        <v>46203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</v>
      </c>
      <c r="C122" s="1" t="n">
        <v>46203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4047-2024</t>
        </is>
      </c>
      <c r="B123" s="1" t="n">
        <v>45323</v>
      </c>
      <c r="C123" s="1" t="n">
        <v>46203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17297-2024</t>
        </is>
      </c>
      <c r="B124" s="1" t="n">
        <v>45414</v>
      </c>
      <c r="C124" s="1" t="n">
        <v>46203</v>
      </c>
      <c r="D124" t="inlineStr">
        <is>
          <t>VÄRMLANDS LÄN</t>
        </is>
      </c>
      <c r="E124" t="inlineStr">
        <is>
          <t>HAGFORS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17329-2024</t>
        </is>
      </c>
      <c r="B125" s="1" t="n">
        <v>45414</v>
      </c>
      <c r="C125" s="1" t="n">
        <v>46203</v>
      </c>
      <c r="D125" t="inlineStr">
        <is>
          <t>VÄRMLANDS LÄN</t>
        </is>
      </c>
      <c r="E125" t="inlineStr">
        <is>
          <t>HAGFORS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48042-2025</t>
        </is>
      </c>
      <c r="B126" s="1" t="n">
        <v>45932</v>
      </c>
      <c r="C126" s="1" t="n">
        <v>46203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11744-2024</t>
        </is>
      </c>
      <c r="B127" s="1" t="n">
        <v>45373</v>
      </c>
      <c r="C127" s="1" t="n">
        <v>46203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6437-2024</t>
        </is>
      </c>
      <c r="B128" s="1" t="n">
        <v>45338</v>
      </c>
      <c r="C128" s="1" t="n">
        <v>46203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47516-2023</t>
        </is>
      </c>
      <c r="B129" s="1" t="n">
        <v>45203</v>
      </c>
      <c r="C129" s="1" t="n">
        <v>46203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36228-2024</t>
        </is>
      </c>
      <c r="B130" s="1" t="n">
        <v>45534</v>
      </c>
      <c r="C130" s="1" t="n">
        <v>46203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15228-2024</t>
        </is>
      </c>
      <c r="B131" s="1" t="n">
        <v>45400</v>
      </c>
      <c r="C131" s="1" t="n">
        <v>46203</v>
      </c>
      <c r="D131" t="inlineStr">
        <is>
          <t>VÄRMLANDS LÄN</t>
        </is>
      </c>
      <c r="E131" t="inlineStr">
        <is>
          <t>HAGFORS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42173-2024</t>
        </is>
      </c>
      <c r="B132" s="1" t="n">
        <v>45562</v>
      </c>
      <c r="C132" s="1" t="n">
        <v>46203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42178-2024</t>
        </is>
      </c>
      <c r="B133" s="1" t="n">
        <v>45562</v>
      </c>
      <c r="C133" s="1" t="n">
        <v>46203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42235-2024</t>
        </is>
      </c>
      <c r="B134" s="1" t="n">
        <v>45562</v>
      </c>
      <c r="C134" s="1" t="n">
        <v>46203</v>
      </c>
      <c r="D134" t="inlineStr">
        <is>
          <t>VÄRMLANDS LÄN</t>
        </is>
      </c>
      <c r="E134" t="inlineStr">
        <is>
          <t>HAGFORS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48134-2025</t>
        </is>
      </c>
      <c r="B135" s="1" t="n">
        <v>45933</v>
      </c>
      <c r="C135" s="1" t="n">
        <v>46203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48150-2025</t>
        </is>
      </c>
      <c r="B136" s="1" t="n">
        <v>45933</v>
      </c>
      <c r="C136" s="1" t="n">
        <v>46203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48108-2025</t>
        </is>
      </c>
      <c r="B137" s="1" t="n">
        <v>45933</v>
      </c>
      <c r="C137" s="1" t="n">
        <v>46203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48138-2025</t>
        </is>
      </c>
      <c r="B138" s="1" t="n">
        <v>45933</v>
      </c>
      <c r="C138" s="1" t="n">
        <v>46203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48176-2025</t>
        </is>
      </c>
      <c r="B139" s="1" t="n">
        <v>45933</v>
      </c>
      <c r="C139" s="1" t="n">
        <v>46203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21067-2025</t>
        </is>
      </c>
      <c r="B140" s="1" t="n">
        <v>45777</v>
      </c>
      <c r="C140" s="1" t="n">
        <v>46203</v>
      </c>
      <c r="D140" t="inlineStr">
        <is>
          <t>VÄRMLANDS LÄN</t>
        </is>
      </c>
      <c r="E140" t="inlineStr">
        <is>
          <t>HAGFORS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49146-2025</t>
        </is>
      </c>
      <c r="B141" s="1" t="n">
        <v>45938</v>
      </c>
      <c r="C141" s="1" t="n">
        <v>46203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49220-2025</t>
        </is>
      </c>
      <c r="B142" s="1" t="n">
        <v>45938</v>
      </c>
      <c r="C142" s="1" t="n">
        <v>46203</v>
      </c>
      <c r="D142" t="inlineStr">
        <is>
          <t>VÄRMLANDS LÄN</t>
        </is>
      </c>
      <c r="E142" t="inlineStr">
        <is>
          <t>HAGFORS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47425-2024</t>
        </is>
      </c>
      <c r="B143" s="1" t="n">
        <v>45587</v>
      </c>
      <c r="C143" s="1" t="n">
        <v>46203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21729-2025</t>
        </is>
      </c>
      <c r="B144" s="1" t="n">
        <v>45783</v>
      </c>
      <c r="C144" s="1" t="n">
        <v>46203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24680-2024</t>
        </is>
      </c>
      <c r="B145" s="1" t="n">
        <v>45460</v>
      </c>
      <c r="C145" s="1" t="n">
        <v>46203</v>
      </c>
      <c r="D145" t="inlineStr">
        <is>
          <t>VÄRMLANDS LÄN</t>
        </is>
      </c>
      <c r="E145" t="inlineStr">
        <is>
          <t>HAGFORS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48809-2025</t>
        </is>
      </c>
      <c r="B146" s="1" t="n">
        <v>45937</v>
      </c>
      <c r="C146" s="1" t="n">
        <v>46203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40332-2023</t>
        </is>
      </c>
      <c r="B147" s="1" t="n">
        <v>45169</v>
      </c>
      <c r="C147" s="1" t="n">
        <v>46203</v>
      </c>
      <c r="D147" t="inlineStr">
        <is>
          <t>VÄRMLANDS LÄN</t>
        </is>
      </c>
      <c r="E147" t="inlineStr">
        <is>
          <t>HAGFORS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21723-2025</t>
        </is>
      </c>
      <c r="B148" s="1" t="n">
        <v>45783</v>
      </c>
      <c r="C148" s="1" t="n">
        <v>46203</v>
      </c>
      <c r="D148" t="inlineStr">
        <is>
          <t>VÄRMLANDS LÄN</t>
        </is>
      </c>
      <c r="E148" t="inlineStr">
        <is>
          <t>HAGFORS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49533-2025</t>
        </is>
      </c>
      <c r="B149" s="1" t="n">
        <v>45939</v>
      </c>
      <c r="C149" s="1" t="n">
        <v>46203</v>
      </c>
      <c r="D149" t="inlineStr">
        <is>
          <t>VÄRMLANDS LÄN</t>
        </is>
      </c>
      <c r="E149" t="inlineStr">
        <is>
          <t>HAGFORS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49631-2025</t>
        </is>
      </c>
      <c r="B150" s="1" t="n">
        <v>45939</v>
      </c>
      <c r="C150" s="1" t="n">
        <v>46203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22231-2025</t>
        </is>
      </c>
      <c r="B151" s="1" t="n">
        <v>45785</v>
      </c>
      <c r="C151" s="1" t="n">
        <v>46203</v>
      </c>
      <c r="D151" t="inlineStr">
        <is>
          <t>VÄRMLANDS LÄN</t>
        </is>
      </c>
      <c r="E151" t="inlineStr">
        <is>
          <t>HAGFORS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49967-2025</t>
        </is>
      </c>
      <c r="B152" s="1" t="n">
        <v>45941</v>
      </c>
      <c r="C152" s="1" t="n">
        <v>46203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22461-2025</t>
        </is>
      </c>
      <c r="B153" s="1" t="n">
        <v>45786</v>
      </c>
      <c r="C153" s="1" t="n">
        <v>46203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17833-2022</t>
        </is>
      </c>
      <c r="B154" s="1" t="n">
        <v>44683</v>
      </c>
      <c r="C154" s="1" t="n">
        <v>46203</v>
      </c>
      <c r="D154" t="inlineStr">
        <is>
          <t>VÄRMLANDS LÄN</t>
        </is>
      </c>
      <c r="E154" t="inlineStr">
        <is>
          <t>HAGFORS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50880-2025</t>
        </is>
      </c>
      <c r="B155" s="1" t="n">
        <v>45946</v>
      </c>
      <c r="C155" s="1" t="n">
        <v>46203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50752-2025</t>
        </is>
      </c>
      <c r="B156" s="1" t="n">
        <v>45946</v>
      </c>
      <c r="C156" s="1" t="n">
        <v>46203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11241-2024</t>
        </is>
      </c>
      <c r="B157" s="1" t="n">
        <v>45371</v>
      </c>
      <c r="C157" s="1" t="n">
        <v>46203</v>
      </c>
      <c r="D157" t="inlineStr">
        <is>
          <t>VÄRMLANDS LÄN</t>
        </is>
      </c>
      <c r="E157" t="inlineStr">
        <is>
          <t>HAGFORS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24857-2025</t>
        </is>
      </c>
      <c r="B158" s="1" t="n">
        <v>45799</v>
      </c>
      <c r="C158" s="1" t="n">
        <v>46203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21451-2024</t>
        </is>
      </c>
      <c r="B159" s="1" t="n">
        <v>45441</v>
      </c>
      <c r="C159" s="1" t="n">
        <v>46203</v>
      </c>
      <c r="D159" t="inlineStr">
        <is>
          <t>VÄRMLANDS LÄN</t>
        </is>
      </c>
      <c r="E159" t="inlineStr">
        <is>
          <t>HAGFORS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20103-2024</t>
        </is>
      </c>
      <c r="B160" s="1" t="n">
        <v>45434</v>
      </c>
      <c r="C160" s="1" t="n">
        <v>46203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22917-2025</t>
        </is>
      </c>
      <c r="B161" s="1" t="n">
        <v>45790</v>
      </c>
      <c r="C161" s="1" t="n">
        <v>46203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50893-2025</t>
        </is>
      </c>
      <c r="B162" s="1" t="n">
        <v>45946</v>
      </c>
      <c r="C162" s="1" t="n">
        <v>46203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18472-2024</t>
        </is>
      </c>
      <c r="B163" s="1" t="n">
        <v>45425</v>
      </c>
      <c r="C163" s="1" t="n">
        <v>46203</v>
      </c>
      <c r="D163" t="inlineStr">
        <is>
          <t>VÄRMLANDS LÄN</t>
        </is>
      </c>
      <c r="E163" t="inlineStr">
        <is>
          <t>HAGFORS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39211-2022</t>
        </is>
      </c>
      <c r="B164" s="1" t="n">
        <v>44817</v>
      </c>
      <c r="C164" s="1" t="n">
        <v>46203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39249-2025</t>
        </is>
      </c>
      <c r="B165" s="1" t="n">
        <v>45889</v>
      </c>
      <c r="C165" s="1" t="n">
        <v>46203</v>
      </c>
      <c r="D165" t="inlineStr">
        <is>
          <t>VÄRMLANDS LÄN</t>
        </is>
      </c>
      <c r="E165" t="inlineStr">
        <is>
          <t>HAGFORS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22964-2025</t>
        </is>
      </c>
      <c r="B166" s="1" t="n">
        <v>45790</v>
      </c>
      <c r="C166" s="1" t="n">
        <v>46203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22799-2025</t>
        </is>
      </c>
      <c r="B167" s="1" t="n">
        <v>45789</v>
      </c>
      <c r="C167" s="1" t="n">
        <v>46203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51015-2025</t>
        </is>
      </c>
      <c r="B168" s="1" t="n">
        <v>45947</v>
      </c>
      <c r="C168" s="1" t="n">
        <v>46203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23268-2025</t>
        </is>
      </c>
      <c r="B169" s="1" t="n">
        <v>45791</v>
      </c>
      <c r="C169" s="1" t="n">
        <v>46203</v>
      </c>
      <c r="D169" t="inlineStr">
        <is>
          <t>VÄRMLANDS LÄN</t>
        </is>
      </c>
      <c r="E169" t="inlineStr">
        <is>
          <t>HAGFORS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51160-2025</t>
        </is>
      </c>
      <c r="B170" s="1" t="n">
        <v>45947</v>
      </c>
      <c r="C170" s="1" t="n">
        <v>46203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23556-2025</t>
        </is>
      </c>
      <c r="B171" s="1" t="n">
        <v>45792</v>
      </c>
      <c r="C171" s="1" t="n">
        <v>46203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50977-2025</t>
        </is>
      </c>
      <c r="B172" s="1" t="n">
        <v>45947</v>
      </c>
      <c r="C172" s="1" t="n">
        <v>46203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51273-2025</t>
        </is>
      </c>
      <c r="B173" s="1" t="n">
        <v>45949</v>
      </c>
      <c r="C173" s="1" t="n">
        <v>46203</v>
      </c>
      <c r="D173" t="inlineStr">
        <is>
          <t>VÄRMLANDS LÄN</t>
        </is>
      </c>
      <c r="E173" t="inlineStr">
        <is>
          <t>HAGFORS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52016-2025</t>
        </is>
      </c>
      <c r="B174" s="1" t="n">
        <v>45952</v>
      </c>
      <c r="C174" s="1" t="n">
        <v>46203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51611-2025</t>
        </is>
      </c>
      <c r="B175" s="1" t="n">
        <v>45951</v>
      </c>
      <c r="C175" s="1" t="n">
        <v>46203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39904-2025</t>
        </is>
      </c>
      <c r="B176" s="1" t="n">
        <v>45891</v>
      </c>
      <c r="C176" s="1" t="n">
        <v>46203</v>
      </c>
      <c r="D176" t="inlineStr">
        <is>
          <t>VÄRMLANDS LÄN</t>
        </is>
      </c>
      <c r="E176" t="inlineStr">
        <is>
          <t>HAGFORS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52479-2025</t>
        </is>
      </c>
      <c r="B177" s="1" t="n">
        <v>45954</v>
      </c>
      <c r="C177" s="1" t="n">
        <v>46203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23525-2025</t>
        </is>
      </c>
      <c r="B178" s="1" t="n">
        <v>45792</v>
      </c>
      <c r="C178" s="1" t="n">
        <v>46203</v>
      </c>
      <c r="D178" t="inlineStr">
        <is>
          <t>VÄRMLANDS LÄN</t>
        </is>
      </c>
      <c r="E178" t="inlineStr">
        <is>
          <t>HAGFORS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52450-2025</t>
        </is>
      </c>
      <c r="B179" s="1" t="n">
        <v>45954</v>
      </c>
      <c r="C179" s="1" t="n">
        <v>46203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12673-2024</t>
        </is>
      </c>
      <c r="B180" s="1" t="n">
        <v>45384</v>
      </c>
      <c r="C180" s="1" t="n">
        <v>46203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56884-2023</t>
        </is>
      </c>
      <c r="B181" s="1" t="n">
        <v>45244</v>
      </c>
      <c r="C181" s="1" t="n">
        <v>46203</v>
      </c>
      <c r="D181" t="inlineStr">
        <is>
          <t>VÄRMLANDS LÄN</t>
        </is>
      </c>
      <c r="E181" t="inlineStr">
        <is>
          <t>HAGFORS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40300-2025</t>
        </is>
      </c>
      <c r="B182" s="1" t="n">
        <v>45895</v>
      </c>
      <c r="C182" s="1" t="n">
        <v>46203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52524-2025</t>
        </is>
      </c>
      <c r="B183" s="1" t="n">
        <v>45954</v>
      </c>
      <c r="C183" s="1" t="n">
        <v>46203</v>
      </c>
      <c r="D183" t="inlineStr">
        <is>
          <t>VÄRMLANDS LÄN</t>
        </is>
      </c>
      <c r="E183" t="inlineStr">
        <is>
          <t>HAGFORS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52462-2025</t>
        </is>
      </c>
      <c r="B184" s="1" t="n">
        <v>45954</v>
      </c>
      <c r="C184" s="1" t="n">
        <v>46203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41015-2025</t>
        </is>
      </c>
      <c r="B185" s="1" t="n">
        <v>45898</v>
      </c>
      <c r="C185" s="1" t="n">
        <v>46203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12291-2025</t>
        </is>
      </c>
      <c r="B186" s="1" t="n">
        <v>45729</v>
      </c>
      <c r="C186" s="1" t="n">
        <v>46203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38239-2024</t>
        </is>
      </c>
      <c r="B187" s="1" t="n">
        <v>45545</v>
      </c>
      <c r="C187" s="1" t="n">
        <v>46203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41092-2025</t>
        </is>
      </c>
      <c r="B188" s="1" t="n">
        <v>45898</v>
      </c>
      <c r="C188" s="1" t="n">
        <v>46203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41155-2025</t>
        </is>
      </c>
      <c r="B189" s="1" t="n">
        <v>45898</v>
      </c>
      <c r="C189" s="1" t="n">
        <v>46203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41117-2025</t>
        </is>
      </c>
      <c r="B190" s="1" t="n">
        <v>45898</v>
      </c>
      <c r="C190" s="1" t="n">
        <v>46203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13990-2025</t>
        </is>
      </c>
      <c r="B191" s="1" t="n">
        <v>45739</v>
      </c>
      <c r="C191" s="1" t="n">
        <v>46203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41153-2025</t>
        </is>
      </c>
      <c r="B192" s="1" t="n">
        <v>45898</v>
      </c>
      <c r="C192" s="1" t="n">
        <v>46203</v>
      </c>
      <c r="D192" t="inlineStr">
        <is>
          <t>VÄRMLANDS LÄN</t>
        </is>
      </c>
      <c r="E192" t="inlineStr">
        <is>
          <t>HAGFORS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41154-2025</t>
        </is>
      </c>
      <c r="B193" s="1" t="n">
        <v>45898</v>
      </c>
      <c r="C193" s="1" t="n">
        <v>46203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14897-2024</t>
        </is>
      </c>
      <c r="B194" s="1" t="n">
        <v>45398</v>
      </c>
      <c r="C194" s="1" t="n">
        <v>46203</v>
      </c>
      <c r="D194" t="inlineStr">
        <is>
          <t>VÄRMLANDS LÄN</t>
        </is>
      </c>
      <c r="E194" t="inlineStr">
        <is>
          <t>HAGFORS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54008-2024</t>
        </is>
      </c>
      <c r="B195" s="1" t="n">
        <v>45615</v>
      </c>
      <c r="C195" s="1" t="n">
        <v>46203</v>
      </c>
      <c r="D195" t="inlineStr">
        <is>
          <t>VÄRMLANDS LÄN</t>
        </is>
      </c>
      <c r="E195" t="inlineStr">
        <is>
          <t>HAGFORS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55950-2024</t>
        </is>
      </c>
      <c r="B196" s="1" t="n">
        <v>45623</v>
      </c>
      <c r="C196" s="1" t="n">
        <v>46203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42169-2024</t>
        </is>
      </c>
      <c r="B197" s="1" t="n">
        <v>45562</v>
      </c>
      <c r="C197" s="1" t="n">
        <v>46203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53183-2025</t>
        </is>
      </c>
      <c r="B198" s="1" t="n">
        <v>45958</v>
      </c>
      <c r="C198" s="1" t="n">
        <v>46203</v>
      </c>
      <c r="D198" t="inlineStr">
        <is>
          <t>VÄRMLANDS LÄN</t>
        </is>
      </c>
      <c r="E198" t="inlineStr">
        <is>
          <t>HAGFORS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52420-2025</t>
        </is>
      </c>
      <c r="B199" s="1" t="n">
        <v>45954</v>
      </c>
      <c r="C199" s="1" t="n">
        <v>46203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52691-2025</t>
        </is>
      </c>
      <c r="B200" s="1" t="n">
        <v>45956</v>
      </c>
      <c r="C200" s="1" t="n">
        <v>46203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28.2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23674-2025</t>
        </is>
      </c>
      <c r="B201" s="1" t="n">
        <v>45793</v>
      </c>
      <c r="C201" s="1" t="n">
        <v>46203</v>
      </c>
      <c r="D201" t="inlineStr">
        <is>
          <t>VÄRMLANDS LÄN</t>
        </is>
      </c>
      <c r="E201" t="inlineStr">
        <is>
          <t>HAGFORS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41739-2025</t>
        </is>
      </c>
      <c r="B202" s="1" t="n">
        <v>45902</v>
      </c>
      <c r="C202" s="1" t="n">
        <v>46203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38132-2022</t>
        </is>
      </c>
      <c r="B203" s="1" t="n">
        <v>44812</v>
      </c>
      <c r="C203" s="1" t="n">
        <v>46203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53620-2025</t>
        </is>
      </c>
      <c r="B204" s="1" t="n">
        <v>45960</v>
      </c>
      <c r="C204" s="1" t="n">
        <v>46203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41809-2025</t>
        </is>
      </c>
      <c r="B205" s="1" t="n">
        <v>45902</v>
      </c>
      <c r="C205" s="1" t="n">
        <v>46203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53574-2025</t>
        </is>
      </c>
      <c r="B206" s="1" t="n">
        <v>45960</v>
      </c>
      <c r="C206" s="1" t="n">
        <v>46203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21867-2024</t>
        </is>
      </c>
      <c r="B207" s="1" t="n">
        <v>45443</v>
      </c>
      <c r="C207" s="1" t="n">
        <v>46203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15643-2024</t>
        </is>
      </c>
      <c r="B208" s="1" t="n">
        <v>45404</v>
      </c>
      <c r="C208" s="1" t="n">
        <v>46203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41784-2025</t>
        </is>
      </c>
      <c r="B209" s="1" t="n">
        <v>45902</v>
      </c>
      <c r="C209" s="1" t="n">
        <v>46203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23712-2025</t>
        </is>
      </c>
      <c r="B210" s="1" t="n">
        <v>45793</v>
      </c>
      <c r="C210" s="1" t="n">
        <v>46203</v>
      </c>
      <c r="D210" t="inlineStr">
        <is>
          <t>VÄRMLANDS LÄN</t>
        </is>
      </c>
      <c r="E210" t="inlineStr">
        <is>
          <t>HAGFORS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59874-2023</t>
        </is>
      </c>
      <c r="B211" s="1" t="n">
        <v>45257</v>
      </c>
      <c r="C211" s="1" t="n">
        <v>46203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53811-2025</t>
        </is>
      </c>
      <c r="B212" s="1" t="n">
        <v>45960</v>
      </c>
      <c r="C212" s="1" t="n">
        <v>46203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52923-2023</t>
        </is>
      </c>
      <c r="B213" s="1" t="n">
        <v>45226</v>
      </c>
      <c r="C213" s="1" t="n">
        <v>46203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18213-2024</t>
        </is>
      </c>
      <c r="B214" s="1" t="n">
        <v>45420</v>
      </c>
      <c r="C214" s="1" t="n">
        <v>46203</v>
      </c>
      <c r="D214" t="inlineStr">
        <is>
          <t>VÄRMLANDS LÄN</t>
        </is>
      </c>
      <c r="E214" t="inlineStr">
        <is>
          <t>HAGFORS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10562-2024</t>
        </is>
      </c>
      <c r="B215" s="1" t="n">
        <v>45366</v>
      </c>
      <c r="C215" s="1" t="n">
        <v>46203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24435-2025</t>
        </is>
      </c>
      <c r="B216" s="1" t="n">
        <v>45797</v>
      </c>
      <c r="C216" s="1" t="n">
        <v>46203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42381-2025</t>
        </is>
      </c>
      <c r="B217" s="1" t="n">
        <v>45905</v>
      </c>
      <c r="C217" s="1" t="n">
        <v>46203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42406-2025</t>
        </is>
      </c>
      <c r="B218" s="1" t="n">
        <v>45905</v>
      </c>
      <c r="C218" s="1" t="n">
        <v>46203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16798-2025</t>
        </is>
      </c>
      <c r="B219" s="1" t="n">
        <v>45754</v>
      </c>
      <c r="C219" s="1" t="n">
        <v>46203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24434-2025</t>
        </is>
      </c>
      <c r="B220" s="1" t="n">
        <v>45797</v>
      </c>
      <c r="C220" s="1" t="n">
        <v>46203</v>
      </c>
      <c r="D220" t="inlineStr">
        <is>
          <t>VÄRMLANDS LÄN</t>
        </is>
      </c>
      <c r="E220" t="inlineStr">
        <is>
          <t>HAGFORS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42453-2025</t>
        </is>
      </c>
      <c r="B221" s="1" t="n">
        <v>45905</v>
      </c>
      <c r="C221" s="1" t="n">
        <v>46203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19.2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13524-2025</t>
        </is>
      </c>
      <c r="B222" s="1" t="n">
        <v>45736</v>
      </c>
      <c r="C222" s="1" t="n">
        <v>46203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54001-2025</t>
        </is>
      </c>
      <c r="B223" s="1" t="n">
        <v>45961</v>
      </c>
      <c r="C223" s="1" t="n">
        <v>46203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42385-2025</t>
        </is>
      </c>
      <c r="B224" s="1" t="n">
        <v>45905</v>
      </c>
      <c r="C224" s="1" t="n">
        <v>46203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35088-2024</t>
        </is>
      </c>
      <c r="B225" s="1" t="n">
        <v>45527</v>
      </c>
      <c r="C225" s="1" t="n">
        <v>46203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42430-2025</t>
        </is>
      </c>
      <c r="B226" s="1" t="n">
        <v>45905</v>
      </c>
      <c r="C226" s="1" t="n">
        <v>46203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24438-2025</t>
        </is>
      </c>
      <c r="B227" s="1" t="n">
        <v>45797</v>
      </c>
      <c r="C227" s="1" t="n">
        <v>46203</v>
      </c>
      <c r="D227" t="inlineStr">
        <is>
          <t>VÄRMLANDS LÄN</t>
        </is>
      </c>
      <c r="E227" t="inlineStr">
        <is>
          <t>HAGFORS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54684-2025</t>
        </is>
      </c>
      <c r="B228" s="1" t="n">
        <v>45966</v>
      </c>
      <c r="C228" s="1" t="n">
        <v>46203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54645-2025</t>
        </is>
      </c>
      <c r="B229" s="1" t="n">
        <v>45966</v>
      </c>
      <c r="C229" s="1" t="n">
        <v>46203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43084-2025</t>
        </is>
      </c>
      <c r="B230" s="1" t="n">
        <v>45909</v>
      </c>
      <c r="C230" s="1" t="n">
        <v>46203</v>
      </c>
      <c r="D230" t="inlineStr">
        <is>
          <t>VÄRMLANDS LÄN</t>
        </is>
      </c>
      <c r="E230" t="inlineStr">
        <is>
          <t>HAGFORS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43309-2022</t>
        </is>
      </c>
      <c r="B231" s="1" t="n">
        <v>44834</v>
      </c>
      <c r="C231" s="1" t="n">
        <v>46203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24895-2025</t>
        </is>
      </c>
      <c r="B232" s="1" t="n">
        <v>45799</v>
      </c>
      <c r="C232" s="1" t="n">
        <v>46203</v>
      </c>
      <c r="D232" t="inlineStr">
        <is>
          <t>VÄRMLANDS LÄN</t>
        </is>
      </c>
      <c r="E232" t="inlineStr">
        <is>
          <t>HAGFORS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55190-2025</t>
        </is>
      </c>
      <c r="B233" s="1" t="n">
        <v>45968</v>
      </c>
      <c r="C233" s="1" t="n">
        <v>46203</v>
      </c>
      <c r="D233" t="inlineStr">
        <is>
          <t>VÄRMLANDS LÄN</t>
        </is>
      </c>
      <c r="E233" t="inlineStr">
        <is>
          <t>HAGFORS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24793-2025</t>
        </is>
      </c>
      <c r="B234" s="1" t="n">
        <v>45799</v>
      </c>
      <c r="C234" s="1" t="n">
        <v>46203</v>
      </c>
      <c r="D234" t="inlineStr">
        <is>
          <t>VÄRMLANDS LÄN</t>
        </is>
      </c>
      <c r="E234" t="inlineStr">
        <is>
          <t>HAGFORS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25031-2025</t>
        </is>
      </c>
      <c r="B235" s="1" t="n">
        <v>45799</v>
      </c>
      <c r="C235" s="1" t="n">
        <v>46203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55001-2025</t>
        </is>
      </c>
      <c r="B236" s="1" t="n">
        <v>45967</v>
      </c>
      <c r="C236" s="1" t="n">
        <v>46203</v>
      </c>
      <c r="D236" t="inlineStr">
        <is>
          <t>VÄRMLANDS LÄN</t>
        </is>
      </c>
      <c r="E236" t="inlineStr">
        <is>
          <t>HAGFORS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29447-2025</t>
        </is>
      </c>
      <c r="B237" s="1" t="n">
        <v>45824</v>
      </c>
      <c r="C237" s="1" t="n">
        <v>46203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55480-2025</t>
        </is>
      </c>
      <c r="B238" s="1" t="n">
        <v>45971</v>
      </c>
      <c r="C238" s="1" t="n">
        <v>46203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55519-2025</t>
        </is>
      </c>
      <c r="B239" s="1" t="n">
        <v>45971</v>
      </c>
      <c r="C239" s="1" t="n">
        <v>46203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23065-2025</t>
        </is>
      </c>
      <c r="B240" s="1" t="n">
        <v>45790</v>
      </c>
      <c r="C240" s="1" t="n">
        <v>46203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33823-2025</t>
        </is>
      </c>
      <c r="B241" s="1" t="n">
        <v>45842</v>
      </c>
      <c r="C241" s="1" t="n">
        <v>46203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55895-2025</t>
        </is>
      </c>
      <c r="B242" s="1" t="n">
        <v>45973</v>
      </c>
      <c r="C242" s="1" t="n">
        <v>46203</v>
      </c>
      <c r="D242" t="inlineStr">
        <is>
          <t>VÄRMLANDS LÄN</t>
        </is>
      </c>
      <c r="E242" t="inlineStr">
        <is>
          <t>HAGFORS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44877-2025</t>
        </is>
      </c>
      <c r="B243" s="1" t="n">
        <v>45918</v>
      </c>
      <c r="C243" s="1" t="n">
        <v>46203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44804-2025</t>
        </is>
      </c>
      <c r="B244" s="1" t="n">
        <v>45918</v>
      </c>
      <c r="C244" s="1" t="n">
        <v>46203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38474-2024</t>
        </is>
      </c>
      <c r="B245" s="1" t="n">
        <v>45546</v>
      </c>
      <c r="C245" s="1" t="n">
        <v>46203</v>
      </c>
      <c r="D245" t="inlineStr">
        <is>
          <t>VÄRMLANDS LÄN</t>
        </is>
      </c>
      <c r="E245" t="inlineStr">
        <is>
          <t>HAGFORS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26463-2025</t>
        </is>
      </c>
      <c r="B246" s="1" t="n">
        <v>45807</v>
      </c>
      <c r="C246" s="1" t="n">
        <v>46203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52383-2024</t>
        </is>
      </c>
      <c r="B247" s="1" t="n">
        <v>45608</v>
      </c>
      <c r="C247" s="1" t="n">
        <v>46203</v>
      </c>
      <c r="D247" t="inlineStr">
        <is>
          <t>VÄRMLANDS LÄN</t>
        </is>
      </c>
      <c r="E247" t="inlineStr">
        <is>
          <t>HAGFORS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16755-2025</t>
        </is>
      </c>
      <c r="B248" s="1" t="n">
        <v>45754</v>
      </c>
      <c r="C248" s="1" t="n">
        <v>46203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44876-2025</t>
        </is>
      </c>
      <c r="B249" s="1" t="n">
        <v>45918</v>
      </c>
      <c r="C249" s="1" t="n">
        <v>46203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56714-2025</t>
        </is>
      </c>
      <c r="B250" s="1" t="n">
        <v>45975</v>
      </c>
      <c r="C250" s="1" t="n">
        <v>46203</v>
      </c>
      <c r="D250" t="inlineStr">
        <is>
          <t>VÄRMLANDS LÄN</t>
        </is>
      </c>
      <c r="E250" t="inlineStr">
        <is>
          <t>HAGFORS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56477-2025</t>
        </is>
      </c>
      <c r="B251" s="1" t="n">
        <v>45975</v>
      </c>
      <c r="C251" s="1" t="n">
        <v>46203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26617-2025</t>
        </is>
      </c>
      <c r="B252" s="1" t="n">
        <v>45810</v>
      </c>
      <c r="C252" s="1" t="n">
        <v>46203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56468-2025</t>
        </is>
      </c>
      <c r="B253" s="1" t="n">
        <v>45975</v>
      </c>
      <c r="C253" s="1" t="n">
        <v>46203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56411-2025</t>
        </is>
      </c>
      <c r="B254" s="1" t="n">
        <v>45975</v>
      </c>
      <c r="C254" s="1" t="n">
        <v>46203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27071-2025</t>
        </is>
      </c>
      <c r="B255" s="1" t="n">
        <v>45811</v>
      </c>
      <c r="C255" s="1" t="n">
        <v>46203</v>
      </c>
      <c r="D255" t="inlineStr">
        <is>
          <t>VÄRMLANDS LÄN</t>
        </is>
      </c>
      <c r="E255" t="inlineStr">
        <is>
          <t>HAGFORS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45355-2025</t>
        </is>
      </c>
      <c r="B256" s="1" t="n">
        <v>45922</v>
      </c>
      <c r="C256" s="1" t="n">
        <v>46203</v>
      </c>
      <c r="D256" t="inlineStr">
        <is>
          <t>VÄRMLANDS LÄN</t>
        </is>
      </c>
      <c r="E256" t="inlineStr">
        <is>
          <t>HAGFORS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26980-2025</t>
        </is>
      </c>
      <c r="B257" s="1" t="n">
        <v>45811</v>
      </c>
      <c r="C257" s="1" t="n">
        <v>46203</v>
      </c>
      <c r="D257" t="inlineStr">
        <is>
          <t>VÄRMLANDS LÄN</t>
        </is>
      </c>
      <c r="E257" t="inlineStr">
        <is>
          <t>HAGFORS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26982-2025</t>
        </is>
      </c>
      <c r="B258" s="1" t="n">
        <v>45811</v>
      </c>
      <c r="C258" s="1" t="n">
        <v>46203</v>
      </c>
      <c r="D258" t="inlineStr">
        <is>
          <t>VÄRMLANDS LÄN</t>
        </is>
      </c>
      <c r="E258" t="inlineStr">
        <is>
          <t>HAGFORS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45361-2025</t>
        </is>
      </c>
      <c r="B259" s="1" t="n">
        <v>45922</v>
      </c>
      <c r="C259" s="1" t="n">
        <v>46203</v>
      </c>
      <c r="D259" t="inlineStr">
        <is>
          <t>VÄRMLANDS LÄN</t>
        </is>
      </c>
      <c r="E259" t="inlineStr">
        <is>
          <t>HAGFORS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27319-2025</t>
        </is>
      </c>
      <c r="B260" s="1" t="n">
        <v>45812</v>
      </c>
      <c r="C260" s="1" t="n">
        <v>46203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57462-2025</t>
        </is>
      </c>
      <c r="B261" s="1" t="n">
        <v>45980</v>
      </c>
      <c r="C261" s="1" t="n">
        <v>46203</v>
      </c>
      <c r="D261" t="inlineStr">
        <is>
          <t>VÄRMLANDS LÄN</t>
        </is>
      </c>
      <c r="E261" t="inlineStr">
        <is>
          <t>HAGFORS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27229-2025</t>
        </is>
      </c>
      <c r="B262" s="1" t="n">
        <v>45812</v>
      </c>
      <c r="C262" s="1" t="n">
        <v>46203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27119-2025</t>
        </is>
      </c>
      <c r="B263" s="1" t="n">
        <v>45811</v>
      </c>
      <c r="C263" s="1" t="n">
        <v>46203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45641-2025</t>
        </is>
      </c>
      <c r="B264" s="1" t="n">
        <v>45922</v>
      </c>
      <c r="C264" s="1" t="n">
        <v>46203</v>
      </c>
      <c r="D264" t="inlineStr">
        <is>
          <t>VÄRMLANDS LÄN</t>
        </is>
      </c>
      <c r="E264" t="inlineStr">
        <is>
          <t>HAGFORS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57460-2025</t>
        </is>
      </c>
      <c r="B265" s="1" t="n">
        <v>45980</v>
      </c>
      <c r="C265" s="1" t="n">
        <v>46203</v>
      </c>
      <c r="D265" t="inlineStr">
        <is>
          <t>VÄRMLANDS LÄN</t>
        </is>
      </c>
      <c r="E265" t="inlineStr">
        <is>
          <t>HAGFORS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27181-2025</t>
        </is>
      </c>
      <c r="B266" s="1" t="n">
        <v>45812</v>
      </c>
      <c r="C266" s="1" t="n">
        <v>46203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27195-2025</t>
        </is>
      </c>
      <c r="B267" s="1" t="n">
        <v>45812</v>
      </c>
      <c r="C267" s="1" t="n">
        <v>46203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27263-2025</t>
        </is>
      </c>
      <c r="B268" s="1" t="n">
        <v>45812</v>
      </c>
      <c r="C268" s="1" t="n">
        <v>46203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57198-2025</t>
        </is>
      </c>
      <c r="B269" s="1" t="n">
        <v>45979</v>
      </c>
      <c r="C269" s="1" t="n">
        <v>46203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52830-2023</t>
        </is>
      </c>
      <c r="B270" s="1" t="n">
        <v>45226</v>
      </c>
      <c r="C270" s="1" t="n">
        <v>46203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50922-2023</t>
        </is>
      </c>
      <c r="B271" s="1" t="n">
        <v>45211</v>
      </c>
      <c r="C271" s="1" t="n">
        <v>46203</v>
      </c>
      <c r="D271" t="inlineStr">
        <is>
          <t>VÄRMLANDS LÄN</t>
        </is>
      </c>
      <c r="E271" t="inlineStr">
        <is>
          <t>HAGFORS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46560-2025</t>
        </is>
      </c>
      <c r="B272" s="1" t="n">
        <v>45926</v>
      </c>
      <c r="C272" s="1" t="n">
        <v>46203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46371-2025</t>
        </is>
      </c>
      <c r="B273" s="1" t="n">
        <v>45925</v>
      </c>
      <c r="C273" s="1" t="n">
        <v>46203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57814-2025</t>
        </is>
      </c>
      <c r="B274" s="1" t="n">
        <v>45981</v>
      </c>
      <c r="C274" s="1" t="n">
        <v>46203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46280-2025</t>
        </is>
      </c>
      <c r="B275" s="1" t="n">
        <v>45925</v>
      </c>
      <c r="C275" s="1" t="n">
        <v>46203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46581-2025</t>
        </is>
      </c>
      <c r="B276" s="1" t="n">
        <v>45926</v>
      </c>
      <c r="C276" s="1" t="n">
        <v>46203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46832-2025</t>
        </is>
      </c>
      <c r="B277" s="1" t="n">
        <v>45927</v>
      </c>
      <c r="C277" s="1" t="n">
        <v>46203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28309-2025</t>
        </is>
      </c>
      <c r="B278" s="1" t="n">
        <v>45818</v>
      </c>
      <c r="C278" s="1" t="n">
        <v>46203</v>
      </c>
      <c r="D278" t="inlineStr">
        <is>
          <t>VÄRMLANDS LÄN</t>
        </is>
      </c>
      <c r="E278" t="inlineStr">
        <is>
          <t>HAGFORS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47333-2025</t>
        </is>
      </c>
      <c r="B279" s="1" t="n">
        <v>45930</v>
      </c>
      <c r="C279" s="1" t="n">
        <v>46203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46831-2025</t>
        </is>
      </c>
      <c r="B280" s="1" t="n">
        <v>45927</v>
      </c>
      <c r="C280" s="1" t="n">
        <v>46203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46838-2025</t>
        </is>
      </c>
      <c r="B281" s="1" t="n">
        <v>45928</v>
      </c>
      <c r="C281" s="1" t="n">
        <v>46203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28437-2025</t>
        </is>
      </c>
      <c r="B282" s="1" t="n">
        <v>45819</v>
      </c>
      <c r="C282" s="1" t="n">
        <v>46203</v>
      </c>
      <c r="D282" t="inlineStr">
        <is>
          <t>VÄRMLANDS LÄN</t>
        </is>
      </c>
      <c r="E282" t="inlineStr">
        <is>
          <t>HAGFORS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58278-2025</t>
        </is>
      </c>
      <c r="B283" s="1" t="n">
        <v>45985</v>
      </c>
      <c r="C283" s="1" t="n">
        <v>46203</v>
      </c>
      <c r="D283" t="inlineStr">
        <is>
          <t>VÄRMLANDS LÄN</t>
        </is>
      </c>
      <c r="E283" t="inlineStr">
        <is>
          <t>HAGFORS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58216-2025</t>
        </is>
      </c>
      <c r="B284" s="1" t="n">
        <v>45985</v>
      </c>
      <c r="C284" s="1" t="n">
        <v>46203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46203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46203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59047-2025</t>
        </is>
      </c>
      <c r="B287" s="1" t="n">
        <v>45988</v>
      </c>
      <c r="C287" s="1" t="n">
        <v>46203</v>
      </c>
      <c r="D287" t="inlineStr">
        <is>
          <t>VÄRMLANDS LÄN</t>
        </is>
      </c>
      <c r="E287" t="inlineStr">
        <is>
          <t>HAGFORS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58961-2025</t>
        </is>
      </c>
      <c r="B288" s="1" t="n">
        <v>45987</v>
      </c>
      <c r="C288" s="1" t="n">
        <v>46203</v>
      </c>
      <c r="D288" t="inlineStr">
        <is>
          <t>VÄRMLANDS LÄN</t>
        </is>
      </c>
      <c r="E288" t="inlineStr">
        <is>
          <t>HAGFORS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11126-2024</t>
        </is>
      </c>
      <c r="B289" s="1" t="n">
        <v>45371</v>
      </c>
      <c r="C289" s="1" t="n">
        <v>46203</v>
      </c>
      <c r="D289" t="inlineStr">
        <is>
          <t>VÄRMLANDS LÄN</t>
        </is>
      </c>
      <c r="E289" t="inlineStr">
        <is>
          <t>HAGFORS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29949-2025</t>
        </is>
      </c>
      <c r="B290" s="1" t="n">
        <v>45826</v>
      </c>
      <c r="C290" s="1" t="n">
        <v>46203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29958-2025</t>
        </is>
      </c>
      <c r="B291" s="1" t="n">
        <v>45826</v>
      </c>
      <c r="C291" s="1" t="n">
        <v>46203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59642-2025</t>
        </is>
      </c>
      <c r="B292" s="1" t="n">
        <v>45992</v>
      </c>
      <c r="C292" s="1" t="n">
        <v>46203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30124-2025</t>
        </is>
      </c>
      <c r="B293" s="1" t="n">
        <v>45826</v>
      </c>
      <c r="C293" s="1" t="n">
        <v>46203</v>
      </c>
      <c r="D293" t="inlineStr">
        <is>
          <t>VÄRMLANDS LÄN</t>
        </is>
      </c>
      <c r="E293" t="inlineStr">
        <is>
          <t>HAGFORS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35994-2024</t>
        </is>
      </c>
      <c r="B294" s="1" t="n">
        <v>45533</v>
      </c>
      <c r="C294" s="1" t="n">
        <v>46203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30778-2025</t>
        </is>
      </c>
      <c r="B295" s="1" t="n">
        <v>45831</v>
      </c>
      <c r="C295" s="1" t="n">
        <v>46203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30635-2025</t>
        </is>
      </c>
      <c r="B296" s="1" t="n">
        <v>45831</v>
      </c>
      <c r="C296" s="1" t="n">
        <v>46203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30642-2025</t>
        </is>
      </c>
      <c r="B297" s="1" t="n">
        <v>45831</v>
      </c>
      <c r="C297" s="1" t="n">
        <v>46203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30637-2025</t>
        </is>
      </c>
      <c r="B298" s="1" t="n">
        <v>45831</v>
      </c>
      <c r="C298" s="1" t="n">
        <v>46203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60167-2023</t>
        </is>
      </c>
      <c r="B299" s="1" t="n">
        <v>45258</v>
      </c>
      <c r="C299" s="1" t="n">
        <v>46203</v>
      </c>
      <c r="D299" t="inlineStr">
        <is>
          <t>VÄRMLANDS LÄN</t>
        </is>
      </c>
      <c r="E299" t="inlineStr">
        <is>
          <t>HAGFORS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36293-2023</t>
        </is>
      </c>
      <c r="B300" s="1" t="n">
        <v>45152</v>
      </c>
      <c r="C300" s="1" t="n">
        <v>46203</v>
      </c>
      <c r="D300" t="inlineStr">
        <is>
          <t>VÄRMLANDS LÄN</t>
        </is>
      </c>
      <c r="E300" t="inlineStr">
        <is>
          <t>HAGFORS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9795-2023</t>
        </is>
      </c>
      <c r="B301" s="1" t="n">
        <v>44984</v>
      </c>
      <c r="C301" s="1" t="n">
        <v>46203</v>
      </c>
      <c r="D301" t="inlineStr">
        <is>
          <t>VÄRMLANDS LÄN</t>
        </is>
      </c>
      <c r="E301" t="inlineStr">
        <is>
          <t>HAGFORS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60606-2025</t>
        </is>
      </c>
      <c r="B302" s="1" t="n">
        <v>45996</v>
      </c>
      <c r="C302" s="1" t="n">
        <v>46203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20444-2024</t>
        </is>
      </c>
      <c r="B303" s="1" t="n">
        <v>45435</v>
      </c>
      <c r="C303" s="1" t="n">
        <v>46203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20447-2024</t>
        </is>
      </c>
      <c r="B304" s="1" t="n">
        <v>45435</v>
      </c>
      <c r="C304" s="1" t="n">
        <v>46203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60648-2025</t>
        </is>
      </c>
      <c r="B305" s="1" t="n">
        <v>45996</v>
      </c>
      <c r="C305" s="1" t="n">
        <v>46203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50199-2022</t>
        </is>
      </c>
      <c r="B306" s="1" t="n">
        <v>44865</v>
      </c>
      <c r="C306" s="1" t="n">
        <v>46203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32235-2025</t>
        </is>
      </c>
      <c r="B307" s="1" t="n">
        <v>45835</v>
      </c>
      <c r="C307" s="1" t="n">
        <v>46203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32174-2025</t>
        </is>
      </c>
      <c r="B308" s="1" t="n">
        <v>45835</v>
      </c>
      <c r="C308" s="1" t="n">
        <v>46203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60841-2025</t>
        </is>
      </c>
      <c r="B309" s="1" t="n">
        <v>45999</v>
      </c>
      <c r="C309" s="1" t="n">
        <v>46203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31974-2025</t>
        </is>
      </c>
      <c r="B310" s="1" t="n">
        <v>45835</v>
      </c>
      <c r="C310" s="1" t="n">
        <v>46203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34529-2023</t>
        </is>
      </c>
      <c r="B311" s="1" t="n">
        <v>45140</v>
      </c>
      <c r="C311" s="1" t="n">
        <v>46203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61787-2025</t>
        </is>
      </c>
      <c r="B312" s="1" t="n">
        <v>46002</v>
      </c>
      <c r="C312" s="1" t="n">
        <v>46203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61718-2025</t>
        </is>
      </c>
      <c r="B313" s="1" t="n">
        <v>46002</v>
      </c>
      <c r="C313" s="1" t="n">
        <v>46203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61910-2025</t>
        </is>
      </c>
      <c r="B314" s="1" t="n">
        <v>46003</v>
      </c>
      <c r="C314" s="1" t="n">
        <v>46203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62125-2025</t>
        </is>
      </c>
      <c r="B315" s="1" t="n">
        <v>46006</v>
      </c>
      <c r="C315" s="1" t="n">
        <v>46203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61850-2025</t>
        </is>
      </c>
      <c r="B316" s="1" t="n">
        <v>46003</v>
      </c>
      <c r="C316" s="1" t="n">
        <v>46203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61998-2025</t>
        </is>
      </c>
      <c r="B317" s="1" t="n">
        <v>46003</v>
      </c>
      <c r="C317" s="1" t="n">
        <v>46203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62168-2025</t>
        </is>
      </c>
      <c r="B318" s="1" t="n">
        <v>46006</v>
      </c>
      <c r="C318" s="1" t="n">
        <v>46203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62240-2025</t>
        </is>
      </c>
      <c r="B319" s="1" t="n">
        <v>46006</v>
      </c>
      <c r="C319" s="1" t="n">
        <v>46203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61843-2025</t>
        </is>
      </c>
      <c r="B320" s="1" t="n">
        <v>46003</v>
      </c>
      <c r="C320" s="1" t="n">
        <v>46203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62099-2025</t>
        </is>
      </c>
      <c r="B321" s="1" t="n">
        <v>46006</v>
      </c>
      <c r="C321" s="1" t="n">
        <v>46203</v>
      </c>
      <c r="D321" t="inlineStr">
        <is>
          <t>VÄRMLANDS LÄN</t>
        </is>
      </c>
      <c r="E321" t="inlineStr">
        <is>
          <t>HAGFORS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62749-2025</t>
        </is>
      </c>
      <c r="B322" s="1" t="n">
        <v>46008</v>
      </c>
      <c r="C322" s="1" t="n">
        <v>46203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33364-2025</t>
        </is>
      </c>
      <c r="B323" s="1" t="n">
        <v>45841</v>
      </c>
      <c r="C323" s="1" t="n">
        <v>46203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33440-2025</t>
        </is>
      </c>
      <c r="B324" s="1" t="n">
        <v>45841</v>
      </c>
      <c r="C324" s="1" t="n">
        <v>46203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62542-2025</t>
        </is>
      </c>
      <c r="B325" s="1" t="n">
        <v>46007</v>
      </c>
      <c r="C325" s="1" t="n">
        <v>46203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33611-2025</t>
        </is>
      </c>
      <c r="B326" s="1" t="n">
        <v>45841</v>
      </c>
      <c r="C326" s="1" t="n">
        <v>46203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62632-2025</t>
        </is>
      </c>
      <c r="B327" s="1" t="n">
        <v>46008</v>
      </c>
      <c r="C327" s="1" t="n">
        <v>46203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55049-2024</t>
        </is>
      </c>
      <c r="B328" s="1" t="n">
        <v>45621</v>
      </c>
      <c r="C328" s="1" t="n">
        <v>46203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59449-2024</t>
        </is>
      </c>
      <c r="B329" s="1" t="n">
        <v>45638</v>
      </c>
      <c r="C329" s="1" t="n">
        <v>46203</v>
      </c>
      <c r="D329" t="inlineStr">
        <is>
          <t>VÄRMLANDS LÄN</t>
        </is>
      </c>
      <c r="E329" t="inlineStr">
        <is>
          <t>HAGFORS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63301-2025</t>
        </is>
      </c>
      <c r="B330" s="1" t="n">
        <v>46010</v>
      </c>
      <c r="C330" s="1" t="n">
        <v>46203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33454-2025</t>
        </is>
      </c>
      <c r="B331" s="1" t="n">
        <v>45841</v>
      </c>
      <c r="C331" s="1" t="n">
        <v>46203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34107-2025</t>
        </is>
      </c>
      <c r="B332" s="1" t="n">
        <v>45845</v>
      </c>
      <c r="C332" s="1" t="n">
        <v>46203</v>
      </c>
      <c r="D332" t="inlineStr">
        <is>
          <t>VÄRMLANDS LÄN</t>
        </is>
      </c>
      <c r="E332" t="inlineStr">
        <is>
          <t>HAGFORS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34133-2025</t>
        </is>
      </c>
      <c r="B333" s="1" t="n">
        <v>45845</v>
      </c>
      <c r="C333" s="1" t="n">
        <v>46203</v>
      </c>
      <c r="D333" t="inlineStr">
        <is>
          <t>VÄRMLANDS LÄN</t>
        </is>
      </c>
      <c r="E333" t="inlineStr">
        <is>
          <t>HAGFORS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34149-2025</t>
        </is>
      </c>
      <c r="B334" s="1" t="n">
        <v>45845</v>
      </c>
      <c r="C334" s="1" t="n">
        <v>46203</v>
      </c>
      <c r="D334" t="inlineStr">
        <is>
          <t>VÄRMLANDS LÄN</t>
        </is>
      </c>
      <c r="E334" t="inlineStr">
        <is>
          <t>HAGFORS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58808-2022</t>
        </is>
      </c>
      <c r="B335" s="1" t="n">
        <v>44903</v>
      </c>
      <c r="C335" s="1" t="n">
        <v>46203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21954-2025</t>
        </is>
      </c>
      <c r="B336" s="1" t="n">
        <v>45784</v>
      </c>
      <c r="C336" s="1" t="n">
        <v>46203</v>
      </c>
      <c r="D336" t="inlineStr">
        <is>
          <t>VÄRMLANDS LÄN</t>
        </is>
      </c>
      <c r="E336" t="inlineStr">
        <is>
          <t>HAGFORS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19515-2025</t>
        </is>
      </c>
      <c r="B337" s="1" t="n">
        <v>45770</v>
      </c>
      <c r="C337" s="1" t="n">
        <v>46203</v>
      </c>
      <c r="D337" t="inlineStr">
        <is>
          <t>VÄRMLANDS LÄN</t>
        </is>
      </c>
      <c r="E337" t="inlineStr">
        <is>
          <t>HAGFORS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42801-2024</t>
        </is>
      </c>
      <c r="B338" s="1" t="n">
        <v>45565</v>
      </c>
      <c r="C338" s="1" t="n">
        <v>46203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63361-2025</t>
        </is>
      </c>
      <c r="B339" s="1" t="n">
        <v>46010</v>
      </c>
      <c r="C339" s="1" t="n">
        <v>46203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63285-2025</t>
        </is>
      </c>
      <c r="B340" s="1" t="n">
        <v>46010</v>
      </c>
      <c r="C340" s="1" t="n">
        <v>46203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4745-2024</t>
        </is>
      </c>
      <c r="B341" s="1" t="n">
        <v>45328</v>
      </c>
      <c r="C341" s="1" t="n">
        <v>46203</v>
      </c>
      <c r="D341" t="inlineStr">
        <is>
          <t>VÄRMLANDS LÄN</t>
        </is>
      </c>
      <c r="E341" t="inlineStr">
        <is>
          <t>HAGFORS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21457-2024</t>
        </is>
      </c>
      <c r="B342" s="1" t="n">
        <v>45441</v>
      </c>
      <c r="C342" s="1" t="n">
        <v>46203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61169-2024</t>
        </is>
      </c>
      <c r="B343" s="1" t="n">
        <v>45645</v>
      </c>
      <c r="C343" s="1" t="n">
        <v>46203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35289-2025</t>
        </is>
      </c>
      <c r="B344" s="1" t="n">
        <v>45854</v>
      </c>
      <c r="C344" s="1" t="n">
        <v>46203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35312-2025</t>
        </is>
      </c>
      <c r="B345" s="1" t="n">
        <v>45854</v>
      </c>
      <c r="C345" s="1" t="n">
        <v>46203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35212-2025</t>
        </is>
      </c>
      <c r="B346" s="1" t="n">
        <v>45853</v>
      </c>
      <c r="C346" s="1" t="n">
        <v>46203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63831-2025</t>
        </is>
      </c>
      <c r="B347" s="1" t="n">
        <v>46020</v>
      </c>
      <c r="C347" s="1" t="n">
        <v>46203</v>
      </c>
      <c r="D347" t="inlineStr">
        <is>
          <t>VÄRMLANDS LÄN</t>
        </is>
      </c>
      <c r="E347" t="inlineStr">
        <is>
          <t>HAGFORS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63764-2025</t>
        </is>
      </c>
      <c r="B348" s="1" t="n">
        <v>46018</v>
      </c>
      <c r="C348" s="1" t="n">
        <v>46203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63765-2025</t>
        </is>
      </c>
      <c r="B349" s="1" t="n">
        <v>46018</v>
      </c>
      <c r="C349" s="1" t="n">
        <v>46203</v>
      </c>
      <c r="D349" t="inlineStr">
        <is>
          <t>VÄRMLANDS LÄN</t>
        </is>
      </c>
      <c r="E349" t="inlineStr">
        <is>
          <t>HAGFORS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63875-2025</t>
        </is>
      </c>
      <c r="B350" s="1" t="n">
        <v>46020</v>
      </c>
      <c r="C350" s="1" t="n">
        <v>46203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63834-2025</t>
        </is>
      </c>
      <c r="B351" s="1" t="n">
        <v>46020</v>
      </c>
      <c r="C351" s="1" t="n">
        <v>46203</v>
      </c>
      <c r="D351" t="inlineStr">
        <is>
          <t>VÄRMLANDS LÄN</t>
        </is>
      </c>
      <c r="E351" t="inlineStr">
        <is>
          <t>HAGFORS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23813-2025</t>
        </is>
      </c>
      <c r="B352" s="1" t="n">
        <v>45793</v>
      </c>
      <c r="C352" s="1" t="n">
        <v>46203</v>
      </c>
      <c r="D352" t="inlineStr">
        <is>
          <t>VÄRMLANDS LÄN</t>
        </is>
      </c>
      <c r="E352" t="inlineStr">
        <is>
          <t>HAGFORS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60390-2025</t>
        </is>
      </c>
      <c r="B353" s="1" t="n">
        <v>45995</v>
      </c>
      <c r="C353" s="1" t="n">
        <v>46203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71447-2021</t>
        </is>
      </c>
      <c r="B354" s="1" t="n">
        <v>44540</v>
      </c>
      <c r="C354" s="1" t="n">
        <v>46203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426-2026</t>
        </is>
      </c>
      <c r="B355" s="1" t="n">
        <v>46029</v>
      </c>
      <c r="C355" s="1" t="n">
        <v>46203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20119-2025</t>
        </is>
      </c>
      <c r="B356" s="1" t="n">
        <v>45772</v>
      </c>
      <c r="C356" s="1" t="n">
        <v>46203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62497-2022</t>
        </is>
      </c>
      <c r="B357" s="1" t="n">
        <v>44924</v>
      </c>
      <c r="C357" s="1" t="n">
        <v>46203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48807-2025</t>
        </is>
      </c>
      <c r="B358" s="1" t="n">
        <v>45937</v>
      </c>
      <c r="C358" s="1" t="n">
        <v>46203</v>
      </c>
      <c r="D358" t="inlineStr">
        <is>
          <t>VÄRMLANDS LÄN</t>
        </is>
      </c>
      <c r="E358" t="inlineStr">
        <is>
          <t>HAGFORS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58084-2024</t>
        </is>
      </c>
      <c r="B359" s="1" t="n">
        <v>45632</v>
      </c>
      <c r="C359" s="1" t="n">
        <v>46203</v>
      </c>
      <c r="D359" t="inlineStr">
        <is>
          <t>VÄRMLANDS LÄN</t>
        </is>
      </c>
      <c r="E359" t="inlineStr">
        <is>
          <t>HAGFORS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58132-2024</t>
        </is>
      </c>
      <c r="B360" s="1" t="n">
        <v>45632</v>
      </c>
      <c r="C360" s="1" t="n">
        <v>46203</v>
      </c>
      <c r="D360" t="inlineStr">
        <is>
          <t>VÄRMLANDS LÄN</t>
        </is>
      </c>
      <c r="E360" t="inlineStr">
        <is>
          <t>HAGFORS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975-2026</t>
        </is>
      </c>
      <c r="B361" s="1" t="n">
        <v>46030</v>
      </c>
      <c r="C361" s="1" t="n">
        <v>46203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36039-2025</t>
        </is>
      </c>
      <c r="B362" s="1" t="n">
        <v>45865</v>
      </c>
      <c r="C362" s="1" t="n">
        <v>46203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492-2026</t>
        </is>
      </c>
      <c r="B363" s="1" t="n">
        <v>46029</v>
      </c>
      <c r="C363" s="1" t="n">
        <v>46203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32604-2025</t>
        </is>
      </c>
      <c r="B364" s="1" t="n">
        <v>45838</v>
      </c>
      <c r="C364" s="1" t="n">
        <v>46203</v>
      </c>
      <c r="D364" t="inlineStr">
        <is>
          <t>VÄRMLANDS LÄN</t>
        </is>
      </c>
      <c r="E364" t="inlineStr">
        <is>
          <t>HAGFORS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36494-2025</t>
        </is>
      </c>
      <c r="B365" s="1" t="n">
        <v>45869</v>
      </c>
      <c r="C365" s="1" t="n">
        <v>46203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1745-2026</t>
        </is>
      </c>
      <c r="B366" s="1" t="n">
        <v>46030</v>
      </c>
      <c r="C366" s="1" t="n">
        <v>46203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1570-2026</t>
        </is>
      </c>
      <c r="B367" s="1" t="n">
        <v>46034</v>
      </c>
      <c r="C367" s="1" t="n">
        <v>46203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35888-2023</t>
        </is>
      </c>
      <c r="B368" s="1" t="n">
        <v>45148</v>
      </c>
      <c r="C368" s="1" t="n">
        <v>46203</v>
      </c>
      <c r="D368" t="inlineStr">
        <is>
          <t>VÄRMLANDS LÄN</t>
        </is>
      </c>
      <c r="E368" t="inlineStr">
        <is>
          <t>HAGFORS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27739-2024</t>
        </is>
      </c>
      <c r="B369" s="1" t="n">
        <v>45475</v>
      </c>
      <c r="C369" s="1" t="n">
        <v>46203</v>
      </c>
      <c r="D369" t="inlineStr">
        <is>
          <t>VÄRMLANDS LÄN</t>
        </is>
      </c>
      <c r="E369" t="inlineStr">
        <is>
          <t>HAGFORS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29269-2025</t>
        </is>
      </c>
      <c r="B370" s="1" t="n">
        <v>45824</v>
      </c>
      <c r="C370" s="1" t="n">
        <v>46203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3149-2022</t>
        </is>
      </c>
      <c r="B371" s="1" t="n">
        <v>44582</v>
      </c>
      <c r="C371" s="1" t="n">
        <v>46203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37027-2025</t>
        </is>
      </c>
      <c r="B372" s="1" t="n">
        <v>45874</v>
      </c>
      <c r="C372" s="1" t="n">
        <v>46203</v>
      </c>
      <c r="D372" t="inlineStr">
        <is>
          <t>VÄRMLANDS LÄN</t>
        </is>
      </c>
      <c r="E372" t="inlineStr">
        <is>
          <t>HAGFORS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8830-2024</t>
        </is>
      </c>
      <c r="B373" s="1" t="n">
        <v>45356</v>
      </c>
      <c r="C373" s="1" t="n">
        <v>46203</v>
      </c>
      <c r="D373" t="inlineStr">
        <is>
          <t>VÄRMLANDS LÄN</t>
        </is>
      </c>
      <c r="E373" t="inlineStr">
        <is>
          <t>HAGFORS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43558-2024</t>
        </is>
      </c>
      <c r="B374" s="1" t="n">
        <v>45569</v>
      </c>
      <c r="C374" s="1" t="n">
        <v>46203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16153-2025</t>
        </is>
      </c>
      <c r="B375" s="1" t="n">
        <v>45750</v>
      </c>
      <c r="C375" s="1" t="n">
        <v>46203</v>
      </c>
      <c r="D375" t="inlineStr">
        <is>
          <t>VÄRMLANDS LÄN</t>
        </is>
      </c>
      <c r="E375" t="inlineStr">
        <is>
          <t>HAGFORS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19583-2023</t>
        </is>
      </c>
      <c r="B376" s="1" t="n">
        <v>45050</v>
      </c>
      <c r="C376" s="1" t="n">
        <v>46203</v>
      </c>
      <c r="D376" t="inlineStr">
        <is>
          <t>VÄRMLANDS LÄN</t>
        </is>
      </c>
      <c r="E376" t="inlineStr">
        <is>
          <t>HAGFORS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44906-2024</t>
        </is>
      </c>
      <c r="B377" s="1" t="n">
        <v>45575</v>
      </c>
      <c r="C377" s="1" t="n">
        <v>46203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40843-2021</t>
        </is>
      </c>
      <c r="B378" s="1" t="n">
        <v>44421</v>
      </c>
      <c r="C378" s="1" t="n">
        <v>46203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4618-2026</t>
        </is>
      </c>
      <c r="B379" s="1" t="n">
        <v>46048</v>
      </c>
      <c r="C379" s="1" t="n">
        <v>46203</v>
      </c>
      <c r="D379" t="inlineStr">
        <is>
          <t>VÄRMLANDS LÄN</t>
        </is>
      </c>
      <c r="E379" t="inlineStr">
        <is>
          <t>HAGFORS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4625-2026</t>
        </is>
      </c>
      <c r="B380" s="1" t="n">
        <v>46048</v>
      </c>
      <c r="C380" s="1" t="n">
        <v>46203</v>
      </c>
      <c r="D380" t="inlineStr">
        <is>
          <t>VÄRMLANDS LÄN</t>
        </is>
      </c>
      <c r="E380" t="inlineStr">
        <is>
          <t>HAGFORS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27185-2025</t>
        </is>
      </c>
      <c r="B381" s="1" t="n">
        <v>45812</v>
      </c>
      <c r="C381" s="1" t="n">
        <v>46203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5371-2026</t>
        </is>
      </c>
      <c r="B382" s="1" t="n">
        <v>46050</v>
      </c>
      <c r="C382" s="1" t="n">
        <v>46203</v>
      </c>
      <c r="D382" t="inlineStr">
        <is>
          <t>VÄRMLANDS LÄN</t>
        </is>
      </c>
      <c r="E382" t="inlineStr">
        <is>
          <t>HAGFORS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5030-2026</t>
        </is>
      </c>
      <c r="B383" s="1" t="n">
        <v>46049</v>
      </c>
      <c r="C383" s="1" t="n">
        <v>46203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1734-2023</t>
        </is>
      </c>
      <c r="B384" s="1" t="n">
        <v>44938</v>
      </c>
      <c r="C384" s="1" t="n">
        <v>46203</v>
      </c>
      <c r="D384" t="inlineStr">
        <is>
          <t>VÄRMLANDS LÄN</t>
        </is>
      </c>
      <c r="E384" t="inlineStr">
        <is>
          <t>HAGFORS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5455-2026</t>
        </is>
      </c>
      <c r="B385" s="1" t="n">
        <v>46050</v>
      </c>
      <c r="C385" s="1" t="n">
        <v>46203</v>
      </c>
      <c r="D385" t="inlineStr">
        <is>
          <t>VÄRMLANDS LÄN</t>
        </is>
      </c>
      <c r="E385" t="inlineStr">
        <is>
          <t>HAGFORS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5468-2026</t>
        </is>
      </c>
      <c r="B386" s="1" t="n">
        <v>46050</v>
      </c>
      <c r="C386" s="1" t="n">
        <v>46203</v>
      </c>
      <c r="D386" t="inlineStr">
        <is>
          <t>VÄRMLANDS LÄN</t>
        </is>
      </c>
      <c r="E386" t="inlineStr">
        <is>
          <t>HAGFORS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5298-2026</t>
        </is>
      </c>
      <c r="B387" s="1" t="n">
        <v>46050</v>
      </c>
      <c r="C387" s="1" t="n">
        <v>46203</v>
      </c>
      <c r="D387" t="inlineStr">
        <is>
          <t>VÄRMLANDS LÄN</t>
        </is>
      </c>
      <c r="E387" t="inlineStr">
        <is>
          <t>HAGFORS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49766-2023</t>
        </is>
      </c>
      <c r="B388" s="1" t="n">
        <v>45212</v>
      </c>
      <c r="C388" s="1" t="n">
        <v>46203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5263-2026</t>
        </is>
      </c>
      <c r="B389" s="1" t="n">
        <v>46050</v>
      </c>
      <c r="C389" s="1" t="n">
        <v>46203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42170-2024</t>
        </is>
      </c>
      <c r="B390" s="1" t="n">
        <v>45562</v>
      </c>
      <c r="C390" s="1" t="n">
        <v>46203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42171-2024</t>
        </is>
      </c>
      <c r="B391" s="1" t="n">
        <v>45562</v>
      </c>
      <c r="C391" s="1" t="n">
        <v>46203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42243-2024</t>
        </is>
      </c>
      <c r="B392" s="1" t="n">
        <v>45562</v>
      </c>
      <c r="C392" s="1" t="n">
        <v>46203</v>
      </c>
      <c r="D392" t="inlineStr">
        <is>
          <t>VÄRMLANDS LÄN</t>
        </is>
      </c>
      <c r="E392" t="inlineStr">
        <is>
          <t>HAGFORS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5383-2026</t>
        </is>
      </c>
      <c r="B393" s="1" t="n">
        <v>46050</v>
      </c>
      <c r="C393" s="1" t="n">
        <v>46203</v>
      </c>
      <c r="D393" t="inlineStr">
        <is>
          <t>VÄRMLANDS LÄN</t>
        </is>
      </c>
      <c r="E393" t="inlineStr">
        <is>
          <t>HAGFORS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30520-2024</t>
        </is>
      </c>
      <c r="B394" s="1" t="n">
        <v>45492</v>
      </c>
      <c r="C394" s="1" t="n">
        <v>46203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5993-2026</t>
        </is>
      </c>
      <c r="B395" s="1" t="n">
        <v>46052</v>
      </c>
      <c r="C395" s="1" t="n">
        <v>46203</v>
      </c>
      <c r="D395" t="inlineStr">
        <is>
          <t>VÄRMLANDS LÄN</t>
        </is>
      </c>
      <c r="E395" t="inlineStr">
        <is>
          <t>HAGFORS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28594-2023</t>
        </is>
      </c>
      <c r="B396" s="1" t="n">
        <v>45103</v>
      </c>
      <c r="C396" s="1" t="n">
        <v>46203</v>
      </c>
      <c r="D396" t="inlineStr">
        <is>
          <t>VÄRMLANDS LÄN</t>
        </is>
      </c>
      <c r="E396" t="inlineStr">
        <is>
          <t>HAGFORS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53443-2024</t>
        </is>
      </c>
      <c r="B397" s="1" t="n">
        <v>45614</v>
      </c>
      <c r="C397" s="1" t="n">
        <v>46203</v>
      </c>
      <c r="D397" t="inlineStr">
        <is>
          <t>VÄRMLANDS LÄN</t>
        </is>
      </c>
      <c r="E397" t="inlineStr">
        <is>
          <t>HAGFORS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16824-2023</t>
        </is>
      </c>
      <c r="B398" s="1" t="n">
        <v>45033</v>
      </c>
      <c r="C398" s="1" t="n">
        <v>46203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7000-2026</t>
        </is>
      </c>
      <c r="B399" s="1" t="n">
        <v>46057</v>
      </c>
      <c r="C399" s="1" t="n">
        <v>46203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54757-2022</t>
        </is>
      </c>
      <c r="B400" s="1" t="n">
        <v>44883</v>
      </c>
      <c r="C400" s="1" t="n">
        <v>46203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18170-2024</t>
        </is>
      </c>
      <c r="B401" s="1" t="n">
        <v>45420</v>
      </c>
      <c r="C401" s="1" t="n">
        <v>46203</v>
      </c>
      <c r="D401" t="inlineStr">
        <is>
          <t>VÄRMLANDS LÄN</t>
        </is>
      </c>
      <c r="E401" t="inlineStr">
        <is>
          <t>HAGFORS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47021-2023</t>
        </is>
      </c>
      <c r="B402" s="1" t="n">
        <v>45201</v>
      </c>
      <c r="C402" s="1" t="n">
        <v>46203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47027-2023</t>
        </is>
      </c>
      <c r="B403" s="1" t="n">
        <v>45201</v>
      </c>
      <c r="C403" s="1" t="n">
        <v>46203</v>
      </c>
      <c r="D403" t="inlineStr">
        <is>
          <t>VÄRMLANDS LÄN</t>
        </is>
      </c>
      <c r="E403" t="inlineStr">
        <is>
          <t>HAGFORS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47033-2023</t>
        </is>
      </c>
      <c r="B404" s="1" t="n">
        <v>45201</v>
      </c>
      <c r="C404" s="1" t="n">
        <v>46203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12426-2024</t>
        </is>
      </c>
      <c r="B405" s="1" t="n">
        <v>45379</v>
      </c>
      <c r="C405" s="1" t="n">
        <v>46203</v>
      </c>
      <c r="D405" t="inlineStr">
        <is>
          <t>VÄRMLANDS LÄN</t>
        </is>
      </c>
      <c r="E405" t="inlineStr">
        <is>
          <t>HAGFORS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8555-2026</t>
        </is>
      </c>
      <c r="B406" s="1" t="n">
        <v>46065</v>
      </c>
      <c r="C406" s="1" t="n">
        <v>46203</v>
      </c>
      <c r="D406" t="inlineStr">
        <is>
          <t>VÄRMLANDS LÄN</t>
        </is>
      </c>
      <c r="E406" t="inlineStr">
        <is>
          <t>HAGFORS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22332-2024</t>
        </is>
      </c>
      <c r="B407" s="1" t="n">
        <v>45446</v>
      </c>
      <c r="C407" s="1" t="n">
        <v>46203</v>
      </c>
      <c r="D407" t="inlineStr">
        <is>
          <t>VÄRMLANDS LÄN</t>
        </is>
      </c>
      <c r="E407" t="inlineStr">
        <is>
          <t>HAGFORS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64936-2023</t>
        </is>
      </c>
      <c r="B408" s="1" t="n">
        <v>45282</v>
      </c>
      <c r="C408" s="1" t="n">
        <v>46203</v>
      </c>
      <c r="D408" t="inlineStr">
        <is>
          <t>VÄRMLANDS LÄN</t>
        </is>
      </c>
      <c r="E408" t="inlineStr">
        <is>
          <t>HAGFORS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17750-2023</t>
        </is>
      </c>
      <c r="B409" s="1" t="n">
        <v>45037</v>
      </c>
      <c r="C409" s="1" t="n">
        <v>46203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9670-2026</t>
        </is>
      </c>
      <c r="B410" s="1" t="n">
        <v>46072</v>
      </c>
      <c r="C410" s="1" t="n">
        <v>46203</v>
      </c>
      <c r="D410" t="inlineStr">
        <is>
          <t>VÄRMLANDS LÄN</t>
        </is>
      </c>
      <c r="E410" t="inlineStr">
        <is>
          <t>HAGFORS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9769-2026</t>
        </is>
      </c>
      <c r="B411" s="1" t="n">
        <v>46072</v>
      </c>
      <c r="C411" s="1" t="n">
        <v>46203</v>
      </c>
      <c r="D411" t="inlineStr">
        <is>
          <t>VÄRMLANDS LÄN</t>
        </is>
      </c>
      <c r="E411" t="inlineStr">
        <is>
          <t>HAGFORS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10271-2026</t>
        </is>
      </c>
      <c r="B412" s="1" t="n">
        <v>46076</v>
      </c>
      <c r="C412" s="1" t="n">
        <v>46203</v>
      </c>
      <c r="D412" t="inlineStr">
        <is>
          <t>VÄRMLANDS LÄN</t>
        </is>
      </c>
      <c r="E412" t="inlineStr">
        <is>
          <t>HAGFORS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13635-2024</t>
        </is>
      </c>
      <c r="B413" s="1" t="n">
        <v>45390</v>
      </c>
      <c r="C413" s="1" t="n">
        <v>46203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19072-2025</t>
        </is>
      </c>
      <c r="B414" s="1" t="n">
        <v>45765</v>
      </c>
      <c r="C414" s="1" t="n">
        <v>46203</v>
      </c>
      <c r="D414" t="inlineStr">
        <is>
          <t>VÄRMLANDS LÄN</t>
        </is>
      </c>
      <c r="E414" t="inlineStr">
        <is>
          <t>HAGFORS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8922-2025</t>
        </is>
      </c>
      <c r="B415" s="1" t="n">
        <v>45713</v>
      </c>
      <c r="C415" s="1" t="n">
        <v>46203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12295-2026</t>
        </is>
      </c>
      <c r="B416" s="1" t="n">
        <v>46087</v>
      </c>
      <c r="C416" s="1" t="n">
        <v>46203</v>
      </c>
      <c r="D416" t="inlineStr">
        <is>
          <t>VÄRMLANDS LÄN</t>
        </is>
      </c>
      <c r="E416" t="inlineStr">
        <is>
          <t>HAGFORS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12611-2026</t>
        </is>
      </c>
      <c r="B417" s="1" t="n">
        <v>46091</v>
      </c>
      <c r="C417" s="1" t="n">
        <v>46203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12534-2026</t>
        </is>
      </c>
      <c r="B418" s="1" t="n">
        <v>46090</v>
      </c>
      <c r="C418" s="1" t="n">
        <v>46203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42175-2024</t>
        </is>
      </c>
      <c r="B419" s="1" t="n">
        <v>45562</v>
      </c>
      <c r="C419" s="1" t="n">
        <v>46203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13419-2026</t>
        </is>
      </c>
      <c r="B420" s="1" t="n">
        <v>46094</v>
      </c>
      <c r="C420" s="1" t="n">
        <v>46203</v>
      </c>
      <c r="D420" t="inlineStr">
        <is>
          <t>VÄRMLANDS LÄN</t>
        </is>
      </c>
      <c r="E420" t="inlineStr">
        <is>
          <t>HAGFORS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13338-2026</t>
        </is>
      </c>
      <c r="B421" s="1" t="n">
        <v>46094</v>
      </c>
      <c r="C421" s="1" t="n">
        <v>46203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13411-2026</t>
        </is>
      </c>
      <c r="B422" s="1" t="n">
        <v>46094</v>
      </c>
      <c r="C422" s="1" t="n">
        <v>46203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13360-2026</t>
        </is>
      </c>
      <c r="B423" s="1" t="n">
        <v>46094</v>
      </c>
      <c r="C423" s="1" t="n">
        <v>46203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13466-2026</t>
        </is>
      </c>
      <c r="B424" s="1" t="n">
        <v>46094</v>
      </c>
      <c r="C424" s="1" t="n">
        <v>46203</v>
      </c>
      <c r="D424" t="inlineStr">
        <is>
          <t>VÄRMLANDS LÄN</t>
        </is>
      </c>
      <c r="E424" t="inlineStr">
        <is>
          <t>HAGFORS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13300-2023</t>
        </is>
      </c>
      <c r="B425" s="1" t="n">
        <v>45005</v>
      </c>
      <c r="C425" s="1" t="n">
        <v>46203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44125-2021</t>
        </is>
      </c>
      <c r="B426" s="1" t="n">
        <v>44434</v>
      </c>
      <c r="C426" s="1" t="n">
        <v>46203</v>
      </c>
      <c r="D426" t="inlineStr">
        <is>
          <t>VÄRMLANDS LÄN</t>
        </is>
      </c>
      <c r="E426" t="inlineStr">
        <is>
          <t>HAGFORS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14284-2026</t>
        </is>
      </c>
      <c r="B427" s="1" t="n">
        <v>46099</v>
      </c>
      <c r="C427" s="1" t="n">
        <v>46203</v>
      </c>
      <c r="D427" t="inlineStr">
        <is>
          <t>VÄRMLANDS LÄN</t>
        </is>
      </c>
      <c r="E427" t="inlineStr">
        <is>
          <t>HAGFORS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1710-2025</t>
        </is>
      </c>
      <c r="B428" s="1" t="n">
        <v>45671</v>
      </c>
      <c r="C428" s="1" t="n">
        <v>46203</v>
      </c>
      <c r="D428" t="inlineStr">
        <is>
          <t>VÄRMLANDS LÄN</t>
        </is>
      </c>
      <c r="E428" t="inlineStr">
        <is>
          <t>HAGFORS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13926-2026</t>
        </is>
      </c>
      <c r="B429" s="1" t="n">
        <v>46098</v>
      </c>
      <c r="C429" s="1" t="n">
        <v>46203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52494-2024</t>
        </is>
      </c>
      <c r="B430" s="1" t="n">
        <v>45609</v>
      </c>
      <c r="C430" s="1" t="n">
        <v>46203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13987-2026</t>
        </is>
      </c>
      <c r="B431" s="1" t="n">
        <v>46098</v>
      </c>
      <c r="C431" s="1" t="n">
        <v>46203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14288-2026</t>
        </is>
      </c>
      <c r="B432" s="1" t="n">
        <v>46099</v>
      </c>
      <c r="C432" s="1" t="n">
        <v>46203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13809-2026</t>
        </is>
      </c>
      <c r="B433" s="1" t="n">
        <v>46098</v>
      </c>
      <c r="C433" s="1" t="n">
        <v>46203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55758-2024</t>
        </is>
      </c>
      <c r="B434" s="1" t="n">
        <v>45623</v>
      </c>
      <c r="C434" s="1" t="n">
        <v>46203</v>
      </c>
      <c r="D434" t="inlineStr">
        <is>
          <t>VÄRMLANDS LÄN</t>
        </is>
      </c>
      <c r="E434" t="inlineStr">
        <is>
          <t>HAGFORS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14667-2026</t>
        </is>
      </c>
      <c r="B435" s="1" t="n">
        <v>46101</v>
      </c>
      <c r="C435" s="1" t="n">
        <v>46203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14574-2026</t>
        </is>
      </c>
      <c r="B436" s="1" t="n">
        <v>46101</v>
      </c>
      <c r="C436" s="1" t="n">
        <v>46203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14832-2026</t>
        </is>
      </c>
      <c r="B437" s="1" t="n">
        <v>46104</v>
      </c>
      <c r="C437" s="1" t="n">
        <v>46203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15213-2026</t>
        </is>
      </c>
      <c r="B438" s="1" t="n">
        <v>46105</v>
      </c>
      <c r="C438" s="1" t="n">
        <v>46203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15031-2026</t>
        </is>
      </c>
      <c r="B439" s="1" t="n">
        <v>46104</v>
      </c>
      <c r="C439" s="1" t="n">
        <v>46203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15656-2026</t>
        </is>
      </c>
      <c r="B440" s="1" t="n">
        <v>46106</v>
      </c>
      <c r="C440" s="1" t="n">
        <v>46203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15666-2026</t>
        </is>
      </c>
      <c r="B441" s="1" t="n">
        <v>46106</v>
      </c>
      <c r="C441" s="1" t="n">
        <v>46203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15554-2026</t>
        </is>
      </c>
      <c r="B442" s="1" t="n">
        <v>46106</v>
      </c>
      <c r="C442" s="1" t="n">
        <v>46203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15577-2026</t>
        </is>
      </c>
      <c r="B443" s="1" t="n">
        <v>46106</v>
      </c>
      <c r="C443" s="1" t="n">
        <v>46203</v>
      </c>
      <c r="D443" t="inlineStr">
        <is>
          <t>VÄRMLANDS LÄN</t>
        </is>
      </c>
      <c r="E443" t="inlineStr">
        <is>
          <t>HAGFORS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15504-2026</t>
        </is>
      </c>
      <c r="B444" s="1" t="n">
        <v>46106</v>
      </c>
      <c r="C444" s="1" t="n">
        <v>46203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34404-2023</t>
        </is>
      </c>
      <c r="B445" s="1" t="n">
        <v>45132</v>
      </c>
      <c r="C445" s="1" t="n">
        <v>46203</v>
      </c>
      <c r="D445" t="inlineStr">
        <is>
          <t>VÄRMLANDS LÄN</t>
        </is>
      </c>
      <c r="E445" t="inlineStr">
        <is>
          <t>HAGFORS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15639-2026</t>
        </is>
      </c>
      <c r="B446" s="1" t="n">
        <v>46106</v>
      </c>
      <c r="C446" s="1" t="n">
        <v>46203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15491-2026</t>
        </is>
      </c>
      <c r="B447" s="1" t="n">
        <v>46106</v>
      </c>
      <c r="C447" s="1" t="n">
        <v>46203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16284-2026</t>
        </is>
      </c>
      <c r="B448" s="1" t="n">
        <v>46111</v>
      </c>
      <c r="C448" s="1" t="n">
        <v>46203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16157-2026</t>
        </is>
      </c>
      <c r="B449" s="1" t="n">
        <v>46108</v>
      </c>
      <c r="C449" s="1" t="n">
        <v>46203</v>
      </c>
      <c r="D449" t="inlineStr">
        <is>
          <t>VÄRMLANDS LÄN</t>
        </is>
      </c>
      <c r="E449" t="inlineStr">
        <is>
          <t>HAGFORS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16146-2026</t>
        </is>
      </c>
      <c r="B450" s="1" t="n">
        <v>46108</v>
      </c>
      <c r="C450" s="1" t="n">
        <v>46203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</v>
      </c>
      <c r="C451" s="1" t="n">
        <v>46203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16003-2026</t>
        </is>
      </c>
      <c r="B452" s="1" t="n">
        <v>46108</v>
      </c>
      <c r="C452" s="1" t="n">
        <v>46203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19783-2023</t>
        </is>
      </c>
      <c r="B453" s="1" t="n">
        <v>45051</v>
      </c>
      <c r="C453" s="1" t="n">
        <v>46203</v>
      </c>
      <c r="D453" t="inlineStr">
        <is>
          <t>VÄRMLANDS LÄN</t>
        </is>
      </c>
      <c r="E453" t="inlineStr">
        <is>
          <t>HAGFORS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24947-2024</t>
        </is>
      </c>
      <c r="B454" s="1" t="n">
        <v>45461</v>
      </c>
      <c r="C454" s="1" t="n">
        <v>46203</v>
      </c>
      <c r="D454" t="inlineStr">
        <is>
          <t>VÄRMLANDS LÄN</t>
        </is>
      </c>
      <c r="E454" t="inlineStr">
        <is>
          <t>HAGFORS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15587-2026</t>
        </is>
      </c>
      <c r="B455" s="1" t="n">
        <v>46106</v>
      </c>
      <c r="C455" s="1" t="n">
        <v>46203</v>
      </c>
      <c r="D455" t="inlineStr">
        <is>
          <t>VÄRMLANDS LÄN</t>
        </is>
      </c>
      <c r="E455" t="inlineStr">
        <is>
          <t>HAGFORS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47028-2023</t>
        </is>
      </c>
      <c r="B456" s="1" t="n">
        <v>45201</v>
      </c>
      <c r="C456" s="1" t="n">
        <v>46203</v>
      </c>
      <c r="D456" t="inlineStr">
        <is>
          <t>VÄRMLANDS LÄN</t>
        </is>
      </c>
      <c r="E456" t="inlineStr">
        <is>
          <t>HAGFORS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16977-2026</t>
        </is>
      </c>
      <c r="B457" s="1" t="n">
        <v>46114</v>
      </c>
      <c r="C457" s="1" t="n">
        <v>46203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38555-2023</t>
        </is>
      </c>
      <c r="B458" s="1" t="n">
        <v>45162</v>
      </c>
      <c r="C458" s="1" t="n">
        <v>46203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20682-2024</t>
        </is>
      </c>
      <c r="B459" s="1" t="n">
        <v>45436</v>
      </c>
      <c r="C459" s="1" t="n">
        <v>46203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23129-2026</t>
        </is>
      </c>
      <c r="B460" s="1" t="n">
        <v>46161</v>
      </c>
      <c r="C460" s="1" t="n">
        <v>46203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17884-2025</t>
        </is>
      </c>
      <c r="B461" s="1" t="n">
        <v>45758</v>
      </c>
      <c r="C461" s="1" t="n">
        <v>46203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23016-2026</t>
        </is>
      </c>
      <c r="B462" s="1" t="n">
        <v>46161</v>
      </c>
      <c r="C462" s="1" t="n">
        <v>46203</v>
      </c>
      <c r="D462" t="inlineStr">
        <is>
          <t>VÄRMLANDS LÄN</t>
        </is>
      </c>
      <c r="E462" t="inlineStr">
        <is>
          <t>HAGFORS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5975-2025</t>
        </is>
      </c>
      <c r="B463" s="1" t="n">
        <v>45695</v>
      </c>
      <c r="C463" s="1" t="n">
        <v>46203</v>
      </c>
      <c r="D463" t="inlineStr">
        <is>
          <t>VÄRMLANDS LÄN</t>
        </is>
      </c>
      <c r="E463" t="inlineStr">
        <is>
          <t>HAGFORS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23525-2026</t>
        </is>
      </c>
      <c r="B464" s="1" t="n">
        <v>46163</v>
      </c>
      <c r="C464" s="1" t="n">
        <v>46203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23269-2026</t>
        </is>
      </c>
      <c r="B465" s="1" t="n">
        <v>46162</v>
      </c>
      <c r="C465" s="1" t="n">
        <v>46203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23549-2026</t>
        </is>
      </c>
      <c r="B466" s="1" t="n">
        <v>46163</v>
      </c>
      <c r="C466" s="1" t="n">
        <v>46203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23728-2026</t>
        </is>
      </c>
      <c r="B467" s="1" t="n">
        <v>46164</v>
      </c>
      <c r="C467" s="1" t="n">
        <v>46203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17815-2026</t>
        </is>
      </c>
      <c r="B468" s="1" t="n">
        <v>46122</v>
      </c>
      <c r="C468" s="1" t="n">
        <v>46203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17843-2026</t>
        </is>
      </c>
      <c r="B469" s="1" t="n">
        <v>46122</v>
      </c>
      <c r="C469" s="1" t="n">
        <v>46203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23678-2026</t>
        </is>
      </c>
      <c r="B470" s="1" t="n">
        <v>46164</v>
      </c>
      <c r="C470" s="1" t="n">
        <v>46203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17778-2026</t>
        </is>
      </c>
      <c r="B471" s="1" t="n">
        <v>46122</v>
      </c>
      <c r="C471" s="1" t="n">
        <v>46203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53813-2024</t>
        </is>
      </c>
      <c r="B472" s="1" t="n">
        <v>45615</v>
      </c>
      <c r="C472" s="1" t="n">
        <v>46203</v>
      </c>
      <c r="D472" t="inlineStr">
        <is>
          <t>VÄRMLANDS LÄN</t>
        </is>
      </c>
      <c r="E472" t="inlineStr">
        <is>
          <t>HAGFORS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24240-2026</t>
        </is>
      </c>
      <c r="B473" s="1" t="n">
        <v>46168</v>
      </c>
      <c r="C473" s="1" t="n">
        <v>46203</v>
      </c>
      <c r="D473" t="inlineStr">
        <is>
          <t>VÄRMLANDS LÄN</t>
        </is>
      </c>
      <c r="E473" t="inlineStr">
        <is>
          <t>HAGFORS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18217-2026</t>
        </is>
      </c>
      <c r="B474" s="1" t="n">
        <v>46126</v>
      </c>
      <c r="C474" s="1" t="n">
        <v>46203</v>
      </c>
      <c r="D474" t="inlineStr">
        <is>
          <t>VÄRMLANDS LÄN</t>
        </is>
      </c>
      <c r="E474" t="inlineStr">
        <is>
          <t>HAGFORS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24238-2026</t>
        </is>
      </c>
      <c r="B475" s="1" t="n">
        <v>46168</v>
      </c>
      <c r="C475" s="1" t="n">
        <v>46203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18528-2026</t>
        </is>
      </c>
      <c r="B476" s="1" t="n">
        <v>46127</v>
      </c>
      <c r="C476" s="1" t="n">
        <v>46203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30180-2022</t>
        </is>
      </c>
      <c r="B477" s="1" t="n">
        <v>44757</v>
      </c>
      <c r="C477" s="1" t="n">
        <v>46203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24625-2026</t>
        </is>
      </c>
      <c r="B478" s="1" t="n">
        <v>46171</v>
      </c>
      <c r="C478" s="1" t="n">
        <v>46203</v>
      </c>
      <c r="D478" t="inlineStr">
        <is>
          <t>VÄRMLANDS LÄN</t>
        </is>
      </c>
      <c r="E478" t="inlineStr">
        <is>
          <t>HAGFORS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24628-2026</t>
        </is>
      </c>
      <c r="B479" s="1" t="n">
        <v>46171</v>
      </c>
      <c r="C479" s="1" t="n">
        <v>46203</v>
      </c>
      <c r="D479" t="inlineStr">
        <is>
          <t>VÄRMLANDS LÄN</t>
        </is>
      </c>
      <c r="E479" t="inlineStr">
        <is>
          <t>HAGFORS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18797-2026</t>
        </is>
      </c>
      <c r="B480" s="1" t="n">
        <v>46128</v>
      </c>
      <c r="C480" s="1" t="n">
        <v>46203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19702-2022</t>
        </is>
      </c>
      <c r="B481" s="1" t="n">
        <v>44694</v>
      </c>
      <c r="C481" s="1" t="n">
        <v>46203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19056-2026</t>
        </is>
      </c>
      <c r="B482" s="1" t="n">
        <v>46132</v>
      </c>
      <c r="C482" s="1" t="n">
        <v>46203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24677-2026</t>
        </is>
      </c>
      <c r="B483" s="1" t="n">
        <v>46171</v>
      </c>
      <c r="C483" s="1" t="n">
        <v>46203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24761-2026</t>
        </is>
      </c>
      <c r="B484" s="1" t="n">
        <v>46171</v>
      </c>
      <c r="C484" s="1" t="n">
        <v>46203</v>
      </c>
      <c r="D484" t="inlineStr">
        <is>
          <t>VÄRMLANDS LÄN</t>
        </is>
      </c>
      <c r="E484" t="inlineStr">
        <is>
          <t>HAGFORS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36360-2023</t>
        </is>
      </c>
      <c r="B485" s="1" t="n">
        <v>45152</v>
      </c>
      <c r="C485" s="1" t="n">
        <v>46203</v>
      </c>
      <c r="D485" t="inlineStr">
        <is>
          <t>VÄRMLANDS LÄN</t>
        </is>
      </c>
      <c r="E485" t="inlineStr">
        <is>
          <t>HAGFORS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31166-2022</t>
        </is>
      </c>
      <c r="B486" s="1" t="n">
        <v>44770</v>
      </c>
      <c r="C486" s="1" t="n">
        <v>46203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18901-2026</t>
        </is>
      </c>
      <c r="B487" s="1" t="n">
        <v>46129</v>
      </c>
      <c r="C487" s="1" t="n">
        <v>46203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18854-2026</t>
        </is>
      </c>
      <c r="B488" s="1" t="n">
        <v>46129</v>
      </c>
      <c r="C488" s="1" t="n">
        <v>46203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24626-2026</t>
        </is>
      </c>
      <c r="B489" s="1" t="n">
        <v>46171</v>
      </c>
      <c r="C489" s="1" t="n">
        <v>46203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24862-2026</t>
        </is>
      </c>
      <c r="B490" s="1" t="n">
        <v>46174</v>
      </c>
      <c r="C490" s="1" t="n">
        <v>46203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24713-2026</t>
        </is>
      </c>
      <c r="B491" s="1" t="n">
        <v>46171</v>
      </c>
      <c r="C491" s="1" t="n">
        <v>46203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18895-2026</t>
        </is>
      </c>
      <c r="B492" s="1" t="n">
        <v>46129</v>
      </c>
      <c r="C492" s="1" t="n">
        <v>46203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24778-2026</t>
        </is>
      </c>
      <c r="B493" s="1" t="n">
        <v>46171</v>
      </c>
      <c r="C493" s="1" t="n">
        <v>46203</v>
      </c>
      <c r="D493" t="inlineStr">
        <is>
          <t>VÄRMLANDS LÄN</t>
        </is>
      </c>
      <c r="E493" t="inlineStr">
        <is>
          <t>HAGFORS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18951-2026</t>
        </is>
      </c>
      <c r="B494" s="1" t="n">
        <v>46129</v>
      </c>
      <c r="C494" s="1" t="n">
        <v>46203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19339-2026</t>
        </is>
      </c>
      <c r="B495" s="1" t="n">
        <v>46133</v>
      </c>
      <c r="C495" s="1" t="n">
        <v>46203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19548-2026</t>
        </is>
      </c>
      <c r="B496" s="1" t="n">
        <v>46134</v>
      </c>
      <c r="C496" s="1" t="n">
        <v>46203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19459-2026</t>
        </is>
      </c>
      <c r="B497" s="1" t="n">
        <v>46133</v>
      </c>
      <c r="C497" s="1" t="n">
        <v>46203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19307-2026</t>
        </is>
      </c>
      <c r="B498" s="1" t="n">
        <v>46133</v>
      </c>
      <c r="C498" s="1" t="n">
        <v>46203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25276-2026</t>
        </is>
      </c>
      <c r="B499" s="1" t="n">
        <v>46176</v>
      </c>
      <c r="C499" s="1" t="n">
        <v>46203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19350-2026</t>
        </is>
      </c>
      <c r="B500" s="1" t="n">
        <v>46133</v>
      </c>
      <c r="C500" s="1" t="n">
        <v>46203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19530-2026</t>
        </is>
      </c>
      <c r="B501" s="1" t="n">
        <v>46134</v>
      </c>
      <c r="C501" s="1" t="n">
        <v>46203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19421-2026</t>
        </is>
      </c>
      <c r="B502" s="1" t="n">
        <v>46133</v>
      </c>
      <c r="C502" s="1" t="n">
        <v>46203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19363-2026</t>
        </is>
      </c>
      <c r="B503" s="1" t="n">
        <v>46133</v>
      </c>
      <c r="C503" s="1" t="n">
        <v>46203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46203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25560-2026</t>
        </is>
      </c>
      <c r="B505" s="1" t="n">
        <v>46177</v>
      </c>
      <c r="C505" s="1" t="n">
        <v>46203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47019-2023</t>
        </is>
      </c>
      <c r="B506" s="1" t="n">
        <v>45201</v>
      </c>
      <c r="C506" s="1" t="n">
        <v>46203</v>
      </c>
      <c r="D506" t="inlineStr">
        <is>
          <t>VÄRMLANDS LÄN</t>
        </is>
      </c>
      <c r="E506" t="inlineStr">
        <is>
          <t>HAGFORS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16525-2023</t>
        </is>
      </c>
      <c r="B507" s="1" t="n">
        <v>45029</v>
      </c>
      <c r="C507" s="1" t="n">
        <v>46203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39029-2022</t>
        </is>
      </c>
      <c r="B508" s="1" t="n">
        <v>44817</v>
      </c>
      <c r="C508" s="1" t="n">
        <v>46203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61981-2024</t>
        </is>
      </c>
      <c r="B509" s="1" t="n">
        <v>45653</v>
      </c>
      <c r="C509" s="1" t="n">
        <v>46203</v>
      </c>
      <c r="D509" t="inlineStr">
        <is>
          <t>VÄRMLANDS LÄN</t>
        </is>
      </c>
      <c r="E509" t="inlineStr">
        <is>
          <t>HAGFORS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21155-2023</t>
        </is>
      </c>
      <c r="B510" s="1" t="n">
        <v>45057</v>
      </c>
      <c r="C510" s="1" t="n">
        <v>46203</v>
      </c>
      <c r="D510" t="inlineStr">
        <is>
          <t>VÄRMLANDS LÄN</t>
        </is>
      </c>
      <c r="E510" t="inlineStr">
        <is>
          <t>HAGFORS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28571-2025</t>
        </is>
      </c>
      <c r="B511" s="1" t="n">
        <v>45819</v>
      </c>
      <c r="C511" s="1" t="n">
        <v>46203</v>
      </c>
      <c r="D511" t="inlineStr">
        <is>
          <t>VÄRMLANDS LÄN</t>
        </is>
      </c>
      <c r="E511" t="inlineStr">
        <is>
          <t>HAGFORS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20652-2022</t>
        </is>
      </c>
      <c r="B512" s="1" t="n">
        <v>44700</v>
      </c>
      <c r="C512" s="1" t="n">
        <v>46203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25890-2026</t>
        </is>
      </c>
      <c r="B513" s="1" t="n">
        <v>46178</v>
      </c>
      <c r="C513" s="1" t="n">
        <v>46203</v>
      </c>
      <c r="D513" t="inlineStr">
        <is>
          <t>VÄRMLANDS LÄN</t>
        </is>
      </c>
      <c r="E513" t="inlineStr">
        <is>
          <t>HAGFORS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25589-2026</t>
        </is>
      </c>
      <c r="B514" s="1" t="n">
        <v>46177</v>
      </c>
      <c r="C514" s="1" t="n">
        <v>46203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10382-2025</t>
        </is>
      </c>
      <c r="B515" s="1" t="n">
        <v>45720</v>
      </c>
      <c r="C515" s="1" t="n">
        <v>46203</v>
      </c>
      <c r="D515" t="inlineStr">
        <is>
          <t>VÄRMLANDS LÄN</t>
        </is>
      </c>
      <c r="E515" t="inlineStr">
        <is>
          <t>HAGFORS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25583-2026</t>
        </is>
      </c>
      <c r="B516" s="1" t="n">
        <v>46177</v>
      </c>
      <c r="C516" s="1" t="n">
        <v>46203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51915-2023</t>
        </is>
      </c>
      <c r="B517" s="1" t="n">
        <v>45223</v>
      </c>
      <c r="C517" s="1" t="n">
        <v>46203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32688-2025</t>
        </is>
      </c>
      <c r="B518" s="1" t="n">
        <v>45838</v>
      </c>
      <c r="C518" s="1" t="n">
        <v>46203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4028-2025</t>
        </is>
      </c>
      <c r="B519" s="1" t="n">
        <v>45684</v>
      </c>
      <c r="C519" s="1" t="n">
        <v>46203</v>
      </c>
      <c r="D519" t="inlineStr">
        <is>
          <t>VÄRMLANDS LÄN</t>
        </is>
      </c>
      <c r="E519" t="inlineStr">
        <is>
          <t>HAGFORS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27410-2023</t>
        </is>
      </c>
      <c r="B520" s="1" t="n">
        <v>45097</v>
      </c>
      <c r="C520" s="1" t="n">
        <v>46203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25069-2024</t>
        </is>
      </c>
      <c r="B521" s="1" t="n">
        <v>45462</v>
      </c>
      <c r="C521" s="1" t="n">
        <v>46203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43667-2025</t>
        </is>
      </c>
      <c r="B522" s="1" t="n">
        <v>45912</v>
      </c>
      <c r="C522" s="1" t="n">
        <v>46203</v>
      </c>
      <c r="D522" t="inlineStr">
        <is>
          <t>VÄRMLANDS LÄN</t>
        </is>
      </c>
      <c r="E522" t="inlineStr">
        <is>
          <t>HAGFORS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31618-2025</t>
        </is>
      </c>
      <c r="B523" s="1" t="n">
        <v>45833</v>
      </c>
      <c r="C523" s="1" t="n">
        <v>46203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20542-2026</t>
        </is>
      </c>
      <c r="B524" s="1" t="n">
        <v>46140</v>
      </c>
      <c r="C524" s="1" t="n">
        <v>46203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21724-2025</t>
        </is>
      </c>
      <c r="B525" s="1" t="n">
        <v>45783</v>
      </c>
      <c r="C525" s="1" t="n">
        <v>46203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19993-2026</t>
        </is>
      </c>
      <c r="B526" s="1" t="n">
        <v>46136</v>
      </c>
      <c r="C526" s="1" t="n">
        <v>46203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26012-2026</t>
        </is>
      </c>
      <c r="B527" s="1" t="n">
        <v>46181</v>
      </c>
      <c r="C527" s="1" t="n">
        <v>46203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34063-2021</t>
        </is>
      </c>
      <c r="B528" s="1" t="n">
        <v>44379</v>
      </c>
      <c r="C528" s="1" t="n">
        <v>46203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22346-2025</t>
        </is>
      </c>
      <c r="B529" s="1" t="n">
        <v>45786</v>
      </c>
      <c r="C529" s="1" t="n">
        <v>46203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33187-2025</t>
        </is>
      </c>
      <c r="B530" s="1" t="n">
        <v>45840</v>
      </c>
      <c r="C530" s="1" t="n">
        <v>46203</v>
      </c>
      <c r="D530" t="inlineStr">
        <is>
          <t>VÄRMLANDS LÄN</t>
        </is>
      </c>
      <c r="E530" t="inlineStr">
        <is>
          <t>HAGFORS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26342-2026</t>
        </is>
      </c>
      <c r="B531" s="1" t="n">
        <v>46182</v>
      </c>
      <c r="C531" s="1" t="n">
        <v>46203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23047-2024</t>
        </is>
      </c>
      <c r="B532" s="1" t="n">
        <v>45450</v>
      </c>
      <c r="C532" s="1" t="n">
        <v>46203</v>
      </c>
      <c r="D532" t="inlineStr">
        <is>
          <t>VÄRMLANDS LÄN</t>
        </is>
      </c>
      <c r="E532" t="inlineStr">
        <is>
          <t>HAGFORS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26350-2026</t>
        </is>
      </c>
      <c r="B533" s="1" t="n">
        <v>46182</v>
      </c>
      <c r="C533" s="1" t="n">
        <v>46203</v>
      </c>
      <c r="D533" t="inlineStr">
        <is>
          <t>VÄRMLANDS LÄN</t>
        </is>
      </c>
      <c r="E533" t="inlineStr">
        <is>
          <t>HAGFORS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26019-2026</t>
        </is>
      </c>
      <c r="B534" s="1" t="n">
        <v>46181</v>
      </c>
      <c r="C534" s="1" t="n">
        <v>46203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20442-2026</t>
        </is>
      </c>
      <c r="B535" s="1" t="n">
        <v>46140</v>
      </c>
      <c r="C535" s="1" t="n">
        <v>46203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34572-2025</t>
        </is>
      </c>
      <c r="B536" s="1" t="n">
        <v>45847</v>
      </c>
      <c r="C536" s="1" t="n">
        <v>46203</v>
      </c>
      <c r="D536" t="inlineStr">
        <is>
          <t>VÄRMLANDS LÄN</t>
        </is>
      </c>
      <c r="E536" t="inlineStr">
        <is>
          <t>HAGFORS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1464-2023</t>
        </is>
      </c>
      <c r="B537" s="1" t="n">
        <v>44937</v>
      </c>
      <c r="C537" s="1" t="n">
        <v>46203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63868-2025</t>
        </is>
      </c>
      <c r="B538" s="1" t="n">
        <v>46020</v>
      </c>
      <c r="C538" s="1" t="n">
        <v>46203</v>
      </c>
      <c r="D538" t="inlineStr">
        <is>
          <t>VÄRMLANDS LÄN</t>
        </is>
      </c>
      <c r="E538" t="inlineStr">
        <is>
          <t>HAGFORS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26265-2026</t>
        </is>
      </c>
      <c r="B539" s="1" t="n">
        <v>46182</v>
      </c>
      <c r="C539" s="1" t="n">
        <v>46203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29492-2024</t>
        </is>
      </c>
      <c r="B540" s="1" t="n">
        <v>45484</v>
      </c>
      <c r="C540" s="1" t="n">
        <v>46203</v>
      </c>
      <c r="D540" t="inlineStr">
        <is>
          <t>VÄRMLANDS LÄN</t>
        </is>
      </c>
      <c r="E540" t="inlineStr">
        <is>
          <t>HAGFORS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20260-2026</t>
        </is>
      </c>
      <c r="B541" s="1" t="n">
        <v>46139</v>
      </c>
      <c r="C541" s="1" t="n">
        <v>46203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32690-2025</t>
        </is>
      </c>
      <c r="B542" s="1" t="n">
        <v>45839</v>
      </c>
      <c r="C542" s="1" t="n">
        <v>46203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23179-2025</t>
        </is>
      </c>
      <c r="B543" s="1" t="n">
        <v>45791</v>
      </c>
      <c r="C543" s="1" t="n">
        <v>46203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36764-2025</t>
        </is>
      </c>
      <c r="B544" s="1" t="n">
        <v>45873</v>
      </c>
      <c r="C544" s="1" t="n">
        <v>46203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20564-2026</t>
        </is>
      </c>
      <c r="B545" s="1" t="n">
        <v>46140</v>
      </c>
      <c r="C545" s="1" t="n">
        <v>46203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20594-2026</t>
        </is>
      </c>
      <c r="B546" s="1" t="n">
        <v>46140</v>
      </c>
      <c r="C546" s="1" t="n">
        <v>46203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24000-2025</t>
        </is>
      </c>
      <c r="B547" s="1" t="n">
        <v>45796</v>
      </c>
      <c r="C547" s="1" t="n">
        <v>46203</v>
      </c>
      <c r="D547" t="inlineStr">
        <is>
          <t>VÄRMLANDS LÄN</t>
        </is>
      </c>
      <c r="E547" t="inlineStr">
        <is>
          <t>HAGFORS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20494-2026</t>
        </is>
      </c>
      <c r="B548" s="1" t="n">
        <v>46140</v>
      </c>
      <c r="C548" s="1" t="n">
        <v>46203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26357-2026</t>
        </is>
      </c>
      <c r="B549" s="1" t="n">
        <v>46182</v>
      </c>
      <c r="C549" s="1" t="n">
        <v>46203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37085-2023</t>
        </is>
      </c>
      <c r="B550" s="1" t="n">
        <v>45155</v>
      </c>
      <c r="C550" s="1" t="n">
        <v>46203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26615-2024</t>
        </is>
      </c>
      <c r="B551" s="1" t="n">
        <v>45469</v>
      </c>
      <c r="C551" s="1" t="n">
        <v>46203</v>
      </c>
      <c r="D551" t="inlineStr">
        <is>
          <t>VÄRMLANDS LÄN</t>
        </is>
      </c>
      <c r="E551" t="inlineStr">
        <is>
          <t>HAGFORS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26628-2024</t>
        </is>
      </c>
      <c r="B552" s="1" t="n">
        <v>45469</v>
      </c>
      <c r="C552" s="1" t="n">
        <v>46203</v>
      </c>
      <c r="D552" t="inlineStr">
        <is>
          <t>VÄRMLANDS LÄN</t>
        </is>
      </c>
      <c r="E552" t="inlineStr">
        <is>
          <t>HAGFORS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24699-2026</t>
        </is>
      </c>
      <c r="B553" s="1" t="n">
        <v>46171</v>
      </c>
      <c r="C553" s="1" t="n">
        <v>46203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12778-2025</t>
        </is>
      </c>
      <c r="B554" s="1" t="n">
        <v>45733</v>
      </c>
      <c r="C554" s="1" t="n">
        <v>46203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34281-2025</t>
        </is>
      </c>
      <c r="B555" s="1" t="n">
        <v>45846</v>
      </c>
      <c r="C555" s="1" t="n">
        <v>46203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20756-2026</t>
        </is>
      </c>
      <c r="B556" s="1" t="n">
        <v>46141</v>
      </c>
      <c r="C556" s="1" t="n">
        <v>46203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20759-2026</t>
        </is>
      </c>
      <c r="B557" s="1" t="n">
        <v>46141</v>
      </c>
      <c r="C557" s="1" t="n">
        <v>46203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61265-2022</t>
        </is>
      </c>
      <c r="B558" s="1" t="n">
        <v>44915</v>
      </c>
      <c r="C558" s="1" t="n">
        <v>46203</v>
      </c>
      <c r="D558" t="inlineStr">
        <is>
          <t>VÄRMLANDS LÄN</t>
        </is>
      </c>
      <c r="E558" t="inlineStr">
        <is>
          <t>HAGFORS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68252-2021</t>
        </is>
      </c>
      <c r="B559" s="1" t="n">
        <v>44526</v>
      </c>
      <c r="C559" s="1" t="n">
        <v>46203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745-2026</t>
        </is>
      </c>
      <c r="B560" s="1" t="n">
        <v>46029</v>
      </c>
      <c r="C560" s="1" t="n">
        <v>46203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20752-2026</t>
        </is>
      </c>
      <c r="B561" s="1" t="n">
        <v>46141</v>
      </c>
      <c r="C561" s="1" t="n">
        <v>46203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37463-2022</t>
        </is>
      </c>
      <c r="B562" s="1" t="n">
        <v>44809</v>
      </c>
      <c r="C562" s="1" t="n">
        <v>46203</v>
      </c>
      <c r="D562" t="inlineStr">
        <is>
          <t>VÄRMLANDS LÄN</t>
        </is>
      </c>
      <c r="E562" t="inlineStr">
        <is>
          <t>HAGFORS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20729-2026</t>
        </is>
      </c>
      <c r="B563" s="1" t="n">
        <v>46141</v>
      </c>
      <c r="C563" s="1" t="n">
        <v>46203</v>
      </c>
      <c r="D563" t="inlineStr">
        <is>
          <t>VÄRMLANDS LÄN</t>
        </is>
      </c>
      <c r="E563" t="inlineStr">
        <is>
          <t>HAGFORS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20880-2026</t>
        </is>
      </c>
      <c r="B564" s="1" t="n">
        <v>46142</v>
      </c>
      <c r="C564" s="1" t="n">
        <v>46203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26612-2026</t>
        </is>
      </c>
      <c r="B565" s="1" t="n">
        <v>46184</v>
      </c>
      <c r="C565" s="1" t="n">
        <v>46203</v>
      </c>
      <c r="D565" t="inlineStr">
        <is>
          <t>VÄRMLANDS LÄN</t>
        </is>
      </c>
      <c r="E565" t="inlineStr">
        <is>
          <t>HAGFORS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20798-2026</t>
        </is>
      </c>
      <c r="B566" s="1" t="n">
        <v>46141</v>
      </c>
      <c r="C566" s="1" t="n">
        <v>46203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19391-2025</t>
        </is>
      </c>
      <c r="B567" s="1" t="n">
        <v>45769</v>
      </c>
      <c r="C567" s="1" t="n">
        <v>46203</v>
      </c>
      <c r="D567" t="inlineStr">
        <is>
          <t>VÄRMLANDS LÄN</t>
        </is>
      </c>
      <c r="E567" t="inlineStr">
        <is>
          <t>HAGFORS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7087-2026</t>
        </is>
      </c>
      <c r="B568" s="1" t="n">
        <v>46058</v>
      </c>
      <c r="C568" s="1" t="n">
        <v>46203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26660-2026</t>
        </is>
      </c>
      <c r="B569" s="1" t="n">
        <v>46184</v>
      </c>
      <c r="C569" s="1" t="n">
        <v>46203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46792-2022</t>
        </is>
      </c>
      <c r="B570" s="1" t="n">
        <v>44851</v>
      </c>
      <c r="C570" s="1" t="n">
        <v>46203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34540-2024</t>
        </is>
      </c>
      <c r="B571" s="1" t="n">
        <v>45525</v>
      </c>
      <c r="C571" s="1" t="n">
        <v>46203</v>
      </c>
      <c r="D571" t="inlineStr">
        <is>
          <t>VÄRMLANDS LÄN</t>
        </is>
      </c>
      <c r="E571" t="inlineStr">
        <is>
          <t>HAGFORS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40601-2021</t>
        </is>
      </c>
      <c r="B572" s="1" t="n">
        <v>44420</v>
      </c>
      <c r="C572" s="1" t="n">
        <v>46203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20911-2026</t>
        </is>
      </c>
      <c r="B573" s="1" t="n">
        <v>46142</v>
      </c>
      <c r="C573" s="1" t="n">
        <v>46203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20870-2026</t>
        </is>
      </c>
      <c r="B574" s="1" t="n">
        <v>46142</v>
      </c>
      <c r="C574" s="1" t="n">
        <v>46203</v>
      </c>
      <c r="D574" t="inlineStr">
        <is>
          <t>VÄRMLANDS LÄN</t>
        </is>
      </c>
      <c r="E574" t="inlineStr">
        <is>
          <t>HAGFORS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20706-2026</t>
        </is>
      </c>
      <c r="B575" s="1" t="n">
        <v>46141</v>
      </c>
      <c r="C575" s="1" t="n">
        <v>46203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26846-2026</t>
        </is>
      </c>
      <c r="B576" s="1" t="n">
        <v>46185</v>
      </c>
      <c r="C576" s="1" t="n">
        <v>46203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27306-2026</t>
        </is>
      </c>
      <c r="B577" s="1" t="n">
        <v>46188</v>
      </c>
      <c r="C577" s="1" t="n">
        <v>46203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21203-2026</t>
        </is>
      </c>
      <c r="B578" s="1" t="n">
        <v>46146</v>
      </c>
      <c r="C578" s="1" t="n">
        <v>46203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33969-2022</t>
        </is>
      </c>
      <c r="B579" s="1" t="n">
        <v>44790</v>
      </c>
      <c r="C579" s="1" t="n">
        <v>46203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27280-2026</t>
        </is>
      </c>
      <c r="B580" s="1" t="n">
        <v>46188</v>
      </c>
      <c r="C580" s="1" t="n">
        <v>46203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26864-2026</t>
        </is>
      </c>
      <c r="B581" s="1" t="n">
        <v>46185</v>
      </c>
      <c r="C581" s="1" t="n">
        <v>46203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24814-2024</t>
        </is>
      </c>
      <c r="B582" s="1" t="n">
        <v>45461</v>
      </c>
      <c r="C582" s="1" t="n">
        <v>46203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27210-2026</t>
        </is>
      </c>
      <c r="B583" s="1" t="n">
        <v>46188</v>
      </c>
      <c r="C583" s="1" t="n">
        <v>46203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26858-2026</t>
        </is>
      </c>
      <c r="B584" s="1" t="n">
        <v>46185</v>
      </c>
      <c r="C584" s="1" t="n">
        <v>46203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26859-2026</t>
        </is>
      </c>
      <c r="B585" s="1" t="n">
        <v>46185</v>
      </c>
      <c r="C585" s="1" t="n">
        <v>46203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27268-2026</t>
        </is>
      </c>
      <c r="B586" s="1" t="n">
        <v>46188</v>
      </c>
      <c r="C586" s="1" t="n">
        <v>46203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27394-2026</t>
        </is>
      </c>
      <c r="B587" s="1" t="n">
        <v>46189</v>
      </c>
      <c r="C587" s="1" t="n">
        <v>46203</v>
      </c>
      <c r="D587" t="inlineStr">
        <is>
          <t>VÄRMLANDS LÄN</t>
        </is>
      </c>
      <c r="E587" t="inlineStr">
        <is>
          <t>HAGFORS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27472-2026</t>
        </is>
      </c>
      <c r="B588" s="1" t="n">
        <v>46189</v>
      </c>
      <c r="C588" s="1" t="n">
        <v>46203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21879-2026</t>
        </is>
      </c>
      <c r="B589" s="1" t="n">
        <v>46150</v>
      </c>
      <c r="C589" s="1" t="n">
        <v>46203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21776-2026</t>
        </is>
      </c>
      <c r="B590" s="1" t="n">
        <v>46150</v>
      </c>
      <c r="C590" s="1" t="n">
        <v>46203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27929-2026</t>
        </is>
      </c>
      <c r="B591" s="1" t="n">
        <v>46191</v>
      </c>
      <c r="C591" s="1" t="n">
        <v>46203</v>
      </c>
      <c r="D591" t="inlineStr">
        <is>
          <t>VÄRMLANDS LÄN</t>
        </is>
      </c>
      <c r="E591" t="inlineStr">
        <is>
          <t>HAGFORS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21728-2026</t>
        </is>
      </c>
      <c r="B592" s="1" t="n">
        <v>46149</v>
      </c>
      <c r="C592" s="1" t="n">
        <v>46203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21762-2026</t>
        </is>
      </c>
      <c r="B593" s="1" t="n">
        <v>46150</v>
      </c>
      <c r="C593" s="1" t="n">
        <v>46203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27799-2026</t>
        </is>
      </c>
      <c r="B594" s="1" t="n">
        <v>46191</v>
      </c>
      <c r="C594" s="1" t="n">
        <v>46203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27855-2026</t>
        </is>
      </c>
      <c r="B595" s="1" t="n">
        <v>46191</v>
      </c>
      <c r="C595" s="1" t="n">
        <v>46203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61311-2023</t>
        </is>
      </c>
      <c r="B596" s="1" t="n">
        <v>45264</v>
      </c>
      <c r="C596" s="1" t="n">
        <v>46203</v>
      </c>
      <c r="D596" t="inlineStr">
        <is>
          <t>VÄRMLANDS LÄN</t>
        </is>
      </c>
      <c r="E596" t="inlineStr">
        <is>
          <t>HAGFORS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61315-2023</t>
        </is>
      </c>
      <c r="B597" s="1" t="n">
        <v>45264</v>
      </c>
      <c r="C597" s="1" t="n">
        <v>46203</v>
      </c>
      <c r="D597" t="inlineStr">
        <is>
          <t>VÄRMLANDS LÄN</t>
        </is>
      </c>
      <c r="E597" t="inlineStr">
        <is>
          <t>HAGFORS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70712-2021</t>
        </is>
      </c>
      <c r="B598" s="1" t="n">
        <v>44537</v>
      </c>
      <c r="C598" s="1" t="n">
        <v>46203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28185-2026</t>
        </is>
      </c>
      <c r="B599" s="1" t="n">
        <v>46195</v>
      </c>
      <c r="C599" s="1" t="n">
        <v>46203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8129-2024</t>
        </is>
      </c>
      <c r="B600" s="1" t="n">
        <v>45351</v>
      </c>
      <c r="C600" s="1" t="n">
        <v>46203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28788-2026</t>
        </is>
      </c>
      <c r="B601" s="1" t="n">
        <v>46198</v>
      </c>
      <c r="C601" s="1" t="n">
        <v>46203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22667-2026</t>
        </is>
      </c>
      <c r="B602" s="1" t="n">
        <v>46155</v>
      </c>
      <c r="C602" s="1" t="n">
        <v>46203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20060-2023</t>
        </is>
      </c>
      <c r="B603" s="1" t="n">
        <v>45054</v>
      </c>
      <c r="C603" s="1" t="n">
        <v>46203</v>
      </c>
      <c r="D603" t="inlineStr">
        <is>
          <t>VÄRMLANDS LÄN</t>
        </is>
      </c>
      <c r="E603" t="inlineStr">
        <is>
          <t>HAGFORS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920-2022</t>
        </is>
      </c>
      <c r="B604" s="1" t="n">
        <v>44571</v>
      </c>
      <c r="C604" s="1" t="n">
        <v>46203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22572-2026</t>
        </is>
      </c>
      <c r="B605" s="1" t="n">
        <v>46155</v>
      </c>
      <c r="C605" s="1" t="n">
        <v>46203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22516-2026</t>
        </is>
      </c>
      <c r="B606" s="1" t="n">
        <v>46155</v>
      </c>
      <c r="C606" s="1" t="n">
        <v>46203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17882-2025</t>
        </is>
      </c>
      <c r="B607" s="1" t="n">
        <v>45758</v>
      </c>
      <c r="C607" s="1" t="n">
        <v>46203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62546-2022</t>
        </is>
      </c>
      <c r="B608" s="1" t="n">
        <v>44924</v>
      </c>
      <c r="C608" s="1" t="n">
        <v>46203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28625-2026</t>
        </is>
      </c>
      <c r="B609" s="1" t="n">
        <v>46198</v>
      </c>
      <c r="C609" s="1" t="n">
        <v>46203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61140-2023</t>
        </is>
      </c>
      <c r="B610" s="1" t="n">
        <v>45261</v>
      </c>
      <c r="C610" s="1" t="n">
        <v>46203</v>
      </c>
      <c r="D610" t="inlineStr">
        <is>
          <t>VÄRMLANDS LÄN</t>
        </is>
      </c>
      <c r="E610" t="inlineStr">
        <is>
          <t>HAGFORS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28748-2026</t>
        </is>
      </c>
      <c r="B611" s="1" t="n">
        <v>46198</v>
      </c>
      <c r="C611" s="1" t="n">
        <v>46203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28720-2026</t>
        </is>
      </c>
      <c r="B612" s="1" t="n">
        <v>46198</v>
      </c>
      <c r="C612" s="1" t="n">
        <v>46203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14435-2025</t>
        </is>
      </c>
      <c r="B613" s="1" t="n">
        <v>45741</v>
      </c>
      <c r="C613" s="1" t="n">
        <v>46203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22588-2026</t>
        </is>
      </c>
      <c r="B614" s="1" t="n">
        <v>46155</v>
      </c>
      <c r="C614" s="1" t="n">
        <v>46203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22648-2026</t>
        </is>
      </c>
      <c r="B615" s="1" t="n">
        <v>46155</v>
      </c>
      <c r="C615" s="1" t="n">
        <v>46203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57359-2022</t>
        </is>
      </c>
      <c r="B616" s="1" t="n">
        <v>44896</v>
      </c>
      <c r="C616" s="1" t="n">
        <v>46203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22556-2026</t>
        </is>
      </c>
      <c r="B617" s="1" t="n">
        <v>46155</v>
      </c>
      <c r="C617" s="1" t="n">
        <v>46203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39640-2022</t>
        </is>
      </c>
      <c r="B618" s="1" t="n">
        <v>44817</v>
      </c>
      <c r="C618" s="1" t="n">
        <v>46203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25759-2023</t>
        </is>
      </c>
      <c r="B619" s="1" t="n">
        <v>45090</v>
      </c>
      <c r="C619" s="1" t="n">
        <v>46203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44246-2022</t>
        </is>
      </c>
      <c r="B620" s="1" t="n">
        <v>44839</v>
      </c>
      <c r="C620" s="1" t="n">
        <v>46203</v>
      </c>
      <c r="D620" t="inlineStr">
        <is>
          <t>VÄRMLANDS LÄN</t>
        </is>
      </c>
      <c r="E620" t="inlineStr">
        <is>
          <t>HAGFORS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22917-2026</t>
        </is>
      </c>
      <c r="B621" s="1" t="n">
        <v>46160</v>
      </c>
      <c r="C621" s="1" t="n">
        <v>46203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29103-2026</t>
        </is>
      </c>
      <c r="B622" s="1" t="n">
        <v>46200</v>
      </c>
      <c r="C622" s="1" t="n">
        <v>46203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29102-2026</t>
        </is>
      </c>
      <c r="B623" s="1" t="n">
        <v>46200</v>
      </c>
      <c r="C623" s="1" t="n">
        <v>46203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45218-2021</t>
        </is>
      </c>
      <c r="B624" s="1" t="n">
        <v>44439</v>
      </c>
      <c r="C624" s="1" t="n">
        <v>46203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61818-2023</t>
        </is>
      </c>
      <c r="B625" s="1" t="n">
        <v>45266</v>
      </c>
      <c r="C625" s="1" t="n">
        <v>46203</v>
      </c>
      <c r="D625" t="inlineStr">
        <is>
          <t>VÄRMLANDS LÄN</t>
        </is>
      </c>
      <c r="E625" t="inlineStr">
        <is>
          <t>HAGFORS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54751-2022</t>
        </is>
      </c>
      <c r="B626" s="1" t="n">
        <v>44883</v>
      </c>
      <c r="C626" s="1" t="n">
        <v>46203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20081-2025</t>
        </is>
      </c>
      <c r="B627" s="1" t="n">
        <v>45772</v>
      </c>
      <c r="C627" s="1" t="n">
        <v>46203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22911-2026</t>
        </is>
      </c>
      <c r="B628" s="1" t="n">
        <v>46160</v>
      </c>
      <c r="C628" s="1" t="n">
        <v>46203</v>
      </c>
      <c r="D628" t="inlineStr">
        <is>
          <t>VÄRMLANDS LÄN</t>
        </is>
      </c>
      <c r="E628" t="inlineStr">
        <is>
          <t>HAGFORS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22925-2026</t>
        </is>
      </c>
      <c r="B629" s="1" t="n">
        <v>46160</v>
      </c>
      <c r="C629" s="1" t="n">
        <v>46203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26740-2026</t>
        </is>
      </c>
      <c r="B630" s="1" t="n">
        <v>46184</v>
      </c>
      <c r="C630" s="1" t="n">
        <v>46203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19554-2024</t>
        </is>
      </c>
      <c r="B631" s="1" t="n">
        <v>45429</v>
      </c>
      <c r="C631" s="1" t="n">
        <v>46203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28654-2023</t>
        </is>
      </c>
      <c r="B632" s="1" t="n">
        <v>45103</v>
      </c>
      <c r="C632" s="1" t="n">
        <v>46203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41502-2024</t>
        </is>
      </c>
      <c r="B633" s="1" t="n">
        <v>45560</v>
      </c>
      <c r="C633" s="1" t="n">
        <v>46203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22503-2024</t>
        </is>
      </c>
      <c r="B634" s="1" t="n">
        <v>45447</v>
      </c>
      <c r="C634" s="1" t="n">
        <v>46203</v>
      </c>
      <c r="D634" t="inlineStr">
        <is>
          <t>VÄRMLANDS LÄN</t>
        </is>
      </c>
      <c r="E634" t="inlineStr">
        <is>
          <t>HAGFORS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42168-2024</t>
        </is>
      </c>
      <c r="B635" s="1" t="n">
        <v>45562</v>
      </c>
      <c r="C635" s="1" t="n">
        <v>46203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3963-2025</t>
        </is>
      </c>
      <c r="B636" s="1" t="n">
        <v>45684</v>
      </c>
      <c r="C636" s="1" t="n">
        <v>46203</v>
      </c>
      <c r="D636" t="inlineStr">
        <is>
          <t>VÄRMLANDS LÄN</t>
        </is>
      </c>
      <c r="E636" t="inlineStr">
        <is>
          <t>HAGFORS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44728-2023</t>
        </is>
      </c>
      <c r="B637" s="1" t="n">
        <v>45190</v>
      </c>
      <c r="C637" s="1" t="n">
        <v>46203</v>
      </c>
      <c r="D637" t="inlineStr">
        <is>
          <t>VÄRMLANDS LÄN</t>
        </is>
      </c>
      <c r="E637" t="inlineStr">
        <is>
          <t>HAGFORS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3557-2023</t>
        </is>
      </c>
      <c r="B638" s="1" t="n">
        <v>44950</v>
      </c>
      <c r="C638" s="1" t="n">
        <v>46203</v>
      </c>
      <c r="D638" t="inlineStr">
        <is>
          <t>VÄRMLANDS LÄN</t>
        </is>
      </c>
      <c r="E638" t="inlineStr">
        <is>
          <t>HAGFORS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3566-2023</t>
        </is>
      </c>
      <c r="B639" s="1" t="n">
        <v>44950</v>
      </c>
      <c r="C639" s="1" t="n">
        <v>46203</v>
      </c>
      <c r="D639" t="inlineStr">
        <is>
          <t>VÄRMLANDS LÄN</t>
        </is>
      </c>
      <c r="E639" t="inlineStr">
        <is>
          <t>HAGFORS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65065-2023</t>
        </is>
      </c>
      <c r="B640" s="1" t="n">
        <v>45287</v>
      </c>
      <c r="C640" s="1" t="n">
        <v>46203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58210-2022</t>
        </is>
      </c>
      <c r="B641" s="1" t="n">
        <v>44901</v>
      </c>
      <c r="C641" s="1" t="n">
        <v>46203</v>
      </c>
      <c r="D641" t="inlineStr">
        <is>
          <t>VÄRMLANDS LÄN</t>
        </is>
      </c>
      <c r="E641" t="inlineStr">
        <is>
          <t>HAGFORS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25258-2023</t>
        </is>
      </c>
      <c r="B642" s="1" t="n">
        <v>45079</v>
      </c>
      <c r="C642" s="1" t="n">
        <v>46203</v>
      </c>
      <c r="D642" t="inlineStr">
        <is>
          <t>VÄRMLANDS LÄN</t>
        </is>
      </c>
      <c r="E642" t="inlineStr">
        <is>
          <t>HAGFORS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33399-2024</t>
        </is>
      </c>
      <c r="B643" s="1" t="n">
        <v>45519</v>
      </c>
      <c r="C643" s="1" t="n">
        <v>46203</v>
      </c>
      <c r="D643" t="inlineStr">
        <is>
          <t>VÄRMLANDS LÄN</t>
        </is>
      </c>
      <c r="E643" t="inlineStr">
        <is>
          <t>HAGFORS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30158-2024</t>
        </is>
      </c>
      <c r="B644" s="1" t="n">
        <v>45489</v>
      </c>
      <c r="C644" s="1" t="n">
        <v>46203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38612-2023</t>
        </is>
      </c>
      <c r="B645" s="1" t="n">
        <v>45162</v>
      </c>
      <c r="C645" s="1" t="n">
        <v>46203</v>
      </c>
      <c r="D645" t="inlineStr">
        <is>
          <t>VÄRMLANDS LÄN</t>
        </is>
      </c>
      <c r="E645" t="inlineStr">
        <is>
          <t>HAGFORS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24638-2023</t>
        </is>
      </c>
      <c r="B646" s="1" t="n">
        <v>45084</v>
      </c>
      <c r="C646" s="1" t="n">
        <v>46203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3724-2023</t>
        </is>
      </c>
      <c r="B647" s="1" t="n">
        <v>44951</v>
      </c>
      <c r="C647" s="1" t="n">
        <v>46203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1735-2023</t>
        </is>
      </c>
      <c r="B648" s="1" t="n">
        <v>44938</v>
      </c>
      <c r="C648" s="1" t="n">
        <v>46203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6910-2024</t>
        </is>
      </c>
      <c r="B649" s="1" t="n">
        <v>45343</v>
      </c>
      <c r="C649" s="1" t="n">
        <v>46203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27826-2024</t>
        </is>
      </c>
      <c r="B650" s="1" t="n">
        <v>45475</v>
      </c>
      <c r="C650" s="1" t="n">
        <v>46203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27827-2024</t>
        </is>
      </c>
      <c r="B651" s="1" t="n">
        <v>45475</v>
      </c>
      <c r="C651" s="1" t="n">
        <v>46203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19125-2024</t>
        </is>
      </c>
      <c r="B652" s="1" t="n">
        <v>45428</v>
      </c>
      <c r="C652" s="1" t="n">
        <v>46203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5790-2024</t>
        </is>
      </c>
      <c r="B653" s="1" t="n">
        <v>45335</v>
      </c>
      <c r="C653" s="1" t="n">
        <v>46203</v>
      </c>
      <c r="D653" t="inlineStr">
        <is>
          <t>VÄRMLANDS LÄN</t>
        </is>
      </c>
      <c r="E653" t="inlineStr">
        <is>
          <t>HAGFORS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17305-2023</t>
        </is>
      </c>
      <c r="B654" s="1" t="n">
        <v>45035</v>
      </c>
      <c r="C654" s="1" t="n">
        <v>46203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594-2022</t>
        </is>
      </c>
      <c r="B655" s="1" t="n">
        <v>44567</v>
      </c>
      <c r="C655" s="1" t="n">
        <v>46203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10236-2022</t>
        </is>
      </c>
      <c r="B656" s="1" t="n">
        <v>44622</v>
      </c>
      <c r="C656" s="1" t="n">
        <v>46203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10297-2025</t>
        </is>
      </c>
      <c r="B657" s="1" t="n">
        <v>45720</v>
      </c>
      <c r="C657" s="1" t="n">
        <v>46203</v>
      </c>
      <c r="D657" t="inlineStr">
        <is>
          <t>VÄRMLANDS LÄN</t>
        </is>
      </c>
      <c r="E657" t="inlineStr">
        <is>
          <t>HAGFORS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41603-2023</t>
        </is>
      </c>
      <c r="B658" s="1" t="n">
        <v>45175</v>
      </c>
      <c r="C658" s="1" t="n">
        <v>46203</v>
      </c>
      <c r="D658" t="inlineStr">
        <is>
          <t>VÄRMLANDS LÄN</t>
        </is>
      </c>
      <c r="E658" t="inlineStr">
        <is>
          <t>HAGFORS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32147-2023</t>
        </is>
      </c>
      <c r="B659" s="1" t="n">
        <v>45107</v>
      </c>
      <c r="C659" s="1" t="n">
        <v>46203</v>
      </c>
      <c r="D659" t="inlineStr">
        <is>
          <t>VÄRMLANDS LÄN</t>
        </is>
      </c>
      <c r="E659" t="inlineStr">
        <is>
          <t>HAGFORS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38887-2024</t>
        </is>
      </c>
      <c r="B660" s="1" t="n">
        <v>45547</v>
      </c>
      <c r="C660" s="1" t="n">
        <v>46203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46203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34636-2024</t>
        </is>
      </c>
      <c r="B662" s="1" t="n">
        <v>45526</v>
      </c>
      <c r="C662" s="1" t="n">
        <v>46203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57162-2024</t>
        </is>
      </c>
      <c r="B663" s="1" t="n">
        <v>45629</v>
      </c>
      <c r="C663" s="1" t="n">
        <v>46203</v>
      </c>
      <c r="D663" t="inlineStr">
        <is>
          <t>VÄRMLANDS LÄN</t>
        </is>
      </c>
      <c r="E663" t="inlineStr">
        <is>
          <t>HAGFORS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40692-2022</t>
        </is>
      </c>
      <c r="B664" s="1" t="n">
        <v>44824</v>
      </c>
      <c r="C664" s="1" t="n">
        <v>46203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52083-2024</t>
        </is>
      </c>
      <c r="B665" s="1" t="n">
        <v>45608</v>
      </c>
      <c r="C665" s="1" t="n">
        <v>46203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46426-2024</t>
        </is>
      </c>
      <c r="B666" s="1" t="n">
        <v>45582</v>
      </c>
      <c r="C666" s="1" t="n">
        <v>46203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43998-2024</t>
        </is>
      </c>
      <c r="B667" s="1" t="n">
        <v>45572</v>
      </c>
      <c r="C667" s="1" t="n">
        <v>46203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59552-2024</t>
        </is>
      </c>
      <c r="B668" s="1" t="n">
        <v>45638</v>
      </c>
      <c r="C668" s="1" t="n">
        <v>46203</v>
      </c>
      <c r="D668" t="inlineStr">
        <is>
          <t>VÄRMLANDS LÄN</t>
        </is>
      </c>
      <c r="E668" t="inlineStr">
        <is>
          <t>HAGFORS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6980-2022</t>
        </is>
      </c>
      <c r="B669" s="1" t="n">
        <v>44603</v>
      </c>
      <c r="C669" s="1" t="n">
        <v>46203</v>
      </c>
      <c r="D669" t="inlineStr">
        <is>
          <t>VÄRMLANDS LÄN</t>
        </is>
      </c>
      <c r="E669" t="inlineStr">
        <is>
          <t>HAGFORS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5749-2022</t>
        </is>
      </c>
      <c r="B670" s="1" t="n">
        <v>44596</v>
      </c>
      <c r="C670" s="1" t="n">
        <v>46203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50929-2023</t>
        </is>
      </c>
      <c r="B671" s="1" t="n">
        <v>45211</v>
      </c>
      <c r="C671" s="1" t="n">
        <v>46203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41092-2024</t>
        </is>
      </c>
      <c r="B672" s="1" t="n">
        <v>45559</v>
      </c>
      <c r="C672" s="1" t="n">
        <v>46203</v>
      </c>
      <c r="D672" t="inlineStr">
        <is>
          <t>VÄRMLANDS LÄN</t>
        </is>
      </c>
      <c r="E672" t="inlineStr">
        <is>
          <t>HAGFORS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54744-2024</t>
        </is>
      </c>
      <c r="B673" s="1" t="n">
        <v>45618</v>
      </c>
      <c r="C673" s="1" t="n">
        <v>46203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22031-2023</t>
        </is>
      </c>
      <c r="B674" s="1" t="n">
        <v>45069</v>
      </c>
      <c r="C674" s="1" t="n">
        <v>46203</v>
      </c>
      <c r="D674" t="inlineStr">
        <is>
          <t>VÄRMLANDS LÄN</t>
        </is>
      </c>
      <c r="E674" t="inlineStr">
        <is>
          <t>HAGFORS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60582-2024</t>
        </is>
      </c>
      <c r="B675" s="1" t="n">
        <v>45644</v>
      </c>
      <c r="C675" s="1" t="n">
        <v>46203</v>
      </c>
      <c r="D675" t="inlineStr">
        <is>
          <t>VÄRMLANDS LÄN</t>
        </is>
      </c>
      <c r="E675" t="inlineStr">
        <is>
          <t>HAGFORS</t>
        </is>
      </c>
      <c r="F675" t="inlineStr">
        <is>
          <t>Kyrkan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31657-2024</t>
        </is>
      </c>
      <c r="B676" s="1" t="n">
        <v>45506</v>
      </c>
      <c r="C676" s="1" t="n">
        <v>46203</v>
      </c>
      <c r="D676" t="inlineStr">
        <is>
          <t>VÄRMLANDS LÄN</t>
        </is>
      </c>
      <c r="E676" t="inlineStr">
        <is>
          <t>HAGFORS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60991-2024</t>
        </is>
      </c>
      <c r="B677" s="1" t="n">
        <v>45645</v>
      </c>
      <c r="C677" s="1" t="n">
        <v>46203</v>
      </c>
      <c r="D677" t="inlineStr">
        <is>
          <t>VÄRMLANDS LÄN</t>
        </is>
      </c>
      <c r="E677" t="inlineStr">
        <is>
          <t>HAGFORS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15886-2022</t>
        </is>
      </c>
      <c r="B678" s="1" t="n">
        <v>44664</v>
      </c>
      <c r="C678" s="1" t="n">
        <v>46203</v>
      </c>
      <c r="D678" t="inlineStr">
        <is>
          <t>VÄRMLANDS LÄN</t>
        </is>
      </c>
      <c r="E678" t="inlineStr">
        <is>
          <t>HAGFORS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57-2025</t>
        </is>
      </c>
      <c r="B679" s="1" t="n">
        <v>45659</v>
      </c>
      <c r="C679" s="1" t="n">
        <v>46203</v>
      </c>
      <c r="D679" t="inlineStr">
        <is>
          <t>VÄRMLANDS LÄN</t>
        </is>
      </c>
      <c r="E679" t="inlineStr">
        <is>
          <t>HAGFORS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20113-2023</t>
        </is>
      </c>
      <c r="B680" s="1" t="n">
        <v>45055</v>
      </c>
      <c r="C680" s="1" t="n">
        <v>46203</v>
      </c>
      <c r="D680" t="inlineStr">
        <is>
          <t>VÄRMLANDS LÄN</t>
        </is>
      </c>
      <c r="E680" t="inlineStr">
        <is>
          <t>HAGFORS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18585-2025</t>
        </is>
      </c>
      <c r="B681" s="1" t="n">
        <v>45763</v>
      </c>
      <c r="C681" s="1" t="n">
        <v>46203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54112-2023</t>
        </is>
      </c>
      <c r="B682" s="1" t="n">
        <v>45232</v>
      </c>
      <c r="C682" s="1" t="n">
        <v>46203</v>
      </c>
      <c r="D682" t="inlineStr">
        <is>
          <t>VÄRMLANDS LÄN</t>
        </is>
      </c>
      <c r="E682" t="inlineStr">
        <is>
          <t>HAGFORS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32627-2023</t>
        </is>
      </c>
      <c r="B683" s="1" t="n">
        <v>45121</v>
      </c>
      <c r="C683" s="1" t="n">
        <v>46203</v>
      </c>
      <c r="D683" t="inlineStr">
        <is>
          <t>VÄRMLANDS LÄN</t>
        </is>
      </c>
      <c r="E683" t="inlineStr">
        <is>
          <t>HAGFORS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9763-2025</t>
        </is>
      </c>
      <c r="B684" s="1" t="n">
        <v>45716</v>
      </c>
      <c r="C684" s="1" t="n">
        <v>46203</v>
      </c>
      <c r="D684" t="inlineStr">
        <is>
          <t>VÄRMLANDS LÄN</t>
        </is>
      </c>
      <c r="E684" t="inlineStr">
        <is>
          <t>HAGFORS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52924-2023</t>
        </is>
      </c>
      <c r="B685" s="1" t="n">
        <v>45226</v>
      </c>
      <c r="C685" s="1" t="n">
        <v>46203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13094-2024</t>
        </is>
      </c>
      <c r="B686" s="1" t="n">
        <v>45385</v>
      </c>
      <c r="C686" s="1" t="n">
        <v>46203</v>
      </c>
      <c r="D686" t="inlineStr">
        <is>
          <t>VÄRMLANDS LÄN</t>
        </is>
      </c>
      <c r="E686" t="inlineStr">
        <is>
          <t>HAGFORS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8496-2022</t>
        </is>
      </c>
      <c r="B687" s="1" t="n">
        <v>44613</v>
      </c>
      <c r="C687" s="1" t="n">
        <v>46203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3162-2025</t>
        </is>
      </c>
      <c r="B688" s="1" t="n">
        <v>45679</v>
      </c>
      <c r="C688" s="1" t="n">
        <v>46203</v>
      </c>
      <c r="D688" t="inlineStr">
        <is>
          <t>VÄRMLANDS LÄN</t>
        </is>
      </c>
      <c r="E688" t="inlineStr">
        <is>
          <t>HAGFORS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5338-2025</t>
        </is>
      </c>
      <c r="B689" s="1" t="n">
        <v>45692</v>
      </c>
      <c r="C689" s="1" t="n">
        <v>46203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12434-2022</t>
        </is>
      </c>
      <c r="B690" s="1" t="n">
        <v>44638</v>
      </c>
      <c r="C690" s="1" t="n">
        <v>46203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36030-2023</t>
        </is>
      </c>
      <c r="B691" s="1" t="n">
        <v>45149</v>
      </c>
      <c r="C691" s="1" t="n">
        <v>46203</v>
      </c>
      <c r="D691" t="inlineStr">
        <is>
          <t>VÄRMLANDS LÄN</t>
        </is>
      </c>
      <c r="E691" t="inlineStr">
        <is>
          <t>HAGFORS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7332-2025</t>
        </is>
      </c>
      <c r="B692" s="1" t="n">
        <v>45703</v>
      </c>
      <c r="C692" s="1" t="n">
        <v>46203</v>
      </c>
      <c r="D692" t="inlineStr">
        <is>
          <t>VÄRMLANDS LÄN</t>
        </is>
      </c>
      <c r="E692" t="inlineStr">
        <is>
          <t>HAGFORS</t>
        </is>
      </c>
      <c r="F692" t="inlineStr">
        <is>
          <t>Kyrkan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35886-2023</t>
        </is>
      </c>
      <c r="B693" s="1" t="n">
        <v>45148</v>
      </c>
      <c r="C693" s="1" t="n">
        <v>46203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46203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18699-2022</t>
        </is>
      </c>
      <c r="B695" s="1" t="n">
        <v>44687</v>
      </c>
      <c r="C695" s="1" t="n">
        <v>46203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56808-2023</t>
        </is>
      </c>
      <c r="B696" s="1" t="n">
        <v>45244</v>
      </c>
      <c r="C696" s="1" t="n">
        <v>46203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3996-2025</t>
        </is>
      </c>
      <c r="B697" s="1" t="n">
        <v>45684</v>
      </c>
      <c r="C697" s="1" t="n">
        <v>46203</v>
      </c>
      <c r="D697" t="inlineStr">
        <is>
          <t>VÄRMLANDS LÄN</t>
        </is>
      </c>
      <c r="E697" t="inlineStr">
        <is>
          <t>HAGFORS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46203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52224-2023</t>
        </is>
      </c>
      <c r="B699" s="1" t="n">
        <v>45224</v>
      </c>
      <c r="C699" s="1" t="n">
        <v>46203</v>
      </c>
      <c r="D699" t="inlineStr">
        <is>
          <t>VÄRMLANDS LÄN</t>
        </is>
      </c>
      <c r="E699" t="inlineStr">
        <is>
          <t>HAGFORS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9474-2025</t>
        </is>
      </c>
      <c r="B700" s="1" t="n">
        <v>45715</v>
      </c>
      <c r="C700" s="1" t="n">
        <v>46203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18907-2025</t>
        </is>
      </c>
      <c r="B701" s="1" t="n">
        <v>45764</v>
      </c>
      <c r="C701" s="1" t="n">
        <v>46203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30180-2023</t>
        </is>
      </c>
      <c r="B702" s="1" t="n">
        <v>45110</v>
      </c>
      <c r="C702" s="1" t="n">
        <v>46203</v>
      </c>
      <c r="D702" t="inlineStr">
        <is>
          <t>VÄRMLANDS LÄN</t>
        </is>
      </c>
      <c r="E702" t="inlineStr">
        <is>
          <t>HAGFORS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61232-2024</t>
        </is>
      </c>
      <c r="B703" s="1" t="n">
        <v>45645</v>
      </c>
      <c r="C703" s="1" t="n">
        <v>46203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64155-2023</t>
        </is>
      </c>
      <c r="B704" s="1" t="n">
        <v>45279</v>
      </c>
      <c r="C704" s="1" t="n">
        <v>46203</v>
      </c>
      <c r="D704" t="inlineStr">
        <is>
          <t>VÄRMLANDS LÄN</t>
        </is>
      </c>
      <c r="E704" t="inlineStr">
        <is>
          <t>HAGFORS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14464-2025</t>
        </is>
      </c>
      <c r="B705" s="1" t="n">
        <v>45741</v>
      </c>
      <c r="C705" s="1" t="n">
        <v>46203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58437-2023</t>
        </is>
      </c>
      <c r="B706" s="1" t="n">
        <v>45250</v>
      </c>
      <c r="C706" s="1" t="n">
        <v>46203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11160-2025</t>
        </is>
      </c>
      <c r="B707" s="1" t="n">
        <v>45723</v>
      </c>
      <c r="C707" s="1" t="n">
        <v>46203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11180-2025</t>
        </is>
      </c>
      <c r="B708" s="1" t="n">
        <v>45725</v>
      </c>
      <c r="C708" s="1" t="n">
        <v>46203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30710-2022</t>
        </is>
      </c>
      <c r="B709" s="1" t="n">
        <v>44763</v>
      </c>
      <c r="C709" s="1" t="n">
        <v>46203</v>
      </c>
      <c r="D709" t="inlineStr">
        <is>
          <t>VÄRMLANDS LÄN</t>
        </is>
      </c>
      <c r="E709" t="inlineStr">
        <is>
          <t>HAGFORS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2315-2024</t>
        </is>
      </c>
      <c r="B710" s="1" t="n">
        <v>45310</v>
      </c>
      <c r="C710" s="1" t="n">
        <v>46203</v>
      </c>
      <c r="D710" t="inlineStr">
        <is>
          <t>VÄRMLANDS LÄN</t>
        </is>
      </c>
      <c r="E710" t="inlineStr">
        <is>
          <t>HAGFORS</t>
        </is>
      </c>
      <c r="F710" t="inlineStr">
        <is>
          <t>Kyrkan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49585-2023</t>
        </is>
      </c>
      <c r="B711" s="1" t="n">
        <v>45211</v>
      </c>
      <c r="C711" s="1" t="n">
        <v>46203</v>
      </c>
      <c r="D711" t="inlineStr">
        <is>
          <t>VÄRMLANDS LÄN</t>
        </is>
      </c>
      <c r="E711" t="inlineStr">
        <is>
          <t>HAGFORS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25349-2023</t>
        </is>
      </c>
      <c r="B712" s="1" t="n">
        <v>45087</v>
      </c>
      <c r="C712" s="1" t="n">
        <v>46203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61304-2023</t>
        </is>
      </c>
      <c r="B713" s="1" t="n">
        <v>45264</v>
      </c>
      <c r="C713" s="1" t="n">
        <v>46203</v>
      </c>
      <c r="D713" t="inlineStr">
        <is>
          <t>VÄRMLANDS LÄN</t>
        </is>
      </c>
      <c r="E713" t="inlineStr">
        <is>
          <t>HAGFORS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5482-2022</t>
        </is>
      </c>
      <c r="B714" s="1" t="n">
        <v>44595</v>
      </c>
      <c r="C714" s="1" t="n">
        <v>46203</v>
      </c>
      <c r="D714" t="inlineStr">
        <is>
          <t>VÄRMLANDS LÄN</t>
        </is>
      </c>
      <c r="E714" t="inlineStr">
        <is>
          <t>HAGFORS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30327-2022</t>
        </is>
      </c>
      <c r="B715" s="1" t="n">
        <v>44760</v>
      </c>
      <c r="C715" s="1" t="n">
        <v>46203</v>
      </c>
      <c r="D715" t="inlineStr">
        <is>
          <t>VÄRMLANDS LÄN</t>
        </is>
      </c>
      <c r="E715" t="inlineStr">
        <is>
          <t>HAGFORS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31087-2024</t>
        </is>
      </c>
      <c r="B716" s="1" t="n">
        <v>45502</v>
      </c>
      <c r="C716" s="1" t="n">
        <v>46203</v>
      </c>
      <c r="D716" t="inlineStr">
        <is>
          <t>VÄRMLANDS LÄN</t>
        </is>
      </c>
      <c r="E716" t="inlineStr">
        <is>
          <t>HAGFORS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54929-2024</t>
        </is>
      </c>
      <c r="B717" s="1" t="n">
        <v>45618</v>
      </c>
      <c r="C717" s="1" t="n">
        <v>46203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49753-2023</t>
        </is>
      </c>
      <c r="B718" s="1" t="n">
        <v>45212</v>
      </c>
      <c r="C718" s="1" t="n">
        <v>46203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31660-2022</t>
        </is>
      </c>
      <c r="B719" s="1" t="n">
        <v>44776</v>
      </c>
      <c r="C719" s="1" t="n">
        <v>46203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56466-2024</t>
        </is>
      </c>
      <c r="B720" s="1" t="n">
        <v>45625</v>
      </c>
      <c r="C720" s="1" t="n">
        <v>46203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2317-2025</t>
        </is>
      </c>
      <c r="B721" s="1" t="n">
        <v>45673</v>
      </c>
      <c r="C721" s="1" t="n">
        <v>46203</v>
      </c>
      <c r="D721" t="inlineStr">
        <is>
          <t>VÄRMLANDS LÄN</t>
        </is>
      </c>
      <c r="E721" t="inlineStr">
        <is>
          <t>HAGFORS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28087-2024</t>
        </is>
      </c>
      <c r="B722" s="1" t="n">
        <v>45476</v>
      </c>
      <c r="C722" s="1" t="n">
        <v>46203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36206-2024</t>
        </is>
      </c>
      <c r="B723" s="1" t="n">
        <v>45534</v>
      </c>
      <c r="C723" s="1" t="n">
        <v>46203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31812-2024</t>
        </is>
      </c>
      <c r="B724" s="1" t="n">
        <v>45509</v>
      </c>
      <c r="C724" s="1" t="n">
        <v>46203</v>
      </c>
      <c r="D724" t="inlineStr">
        <is>
          <t>VÄRMLANDS LÄN</t>
        </is>
      </c>
      <c r="E724" t="inlineStr">
        <is>
          <t>HAGFORS</t>
        </is>
      </c>
      <c r="F724" t="inlineStr">
        <is>
          <t>Kommuner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42150-2024</t>
        </is>
      </c>
      <c r="B725" s="1" t="n">
        <v>45562</v>
      </c>
      <c r="C725" s="1" t="n">
        <v>46203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60178-2023</t>
        </is>
      </c>
      <c r="B726" s="1" t="n">
        <v>45258</v>
      </c>
      <c r="C726" s="1" t="n">
        <v>46203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15270-2024</t>
        </is>
      </c>
      <c r="B727" s="1" t="n">
        <v>45400</v>
      </c>
      <c r="C727" s="1" t="n">
        <v>46203</v>
      </c>
      <c r="D727" t="inlineStr">
        <is>
          <t>VÄRMLANDS LÄN</t>
        </is>
      </c>
      <c r="E727" t="inlineStr">
        <is>
          <t>HAGFORS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14850-2025</t>
        </is>
      </c>
      <c r="B728" s="1" t="n">
        <v>45743</v>
      </c>
      <c r="C728" s="1" t="n">
        <v>46203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8304-2022</t>
        </is>
      </c>
      <c r="B729" s="1" t="n">
        <v>44610</v>
      </c>
      <c r="C729" s="1" t="n">
        <v>46203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55447-2022</t>
        </is>
      </c>
      <c r="B730" s="1" t="n">
        <v>44887</v>
      </c>
      <c r="C730" s="1" t="n">
        <v>46203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4260-2023</t>
        </is>
      </c>
      <c r="B731" s="1" t="n">
        <v>44953</v>
      </c>
      <c r="C731" s="1" t="n">
        <v>46203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3846-2023</t>
        </is>
      </c>
      <c r="B732" s="1" t="n">
        <v>44951</v>
      </c>
      <c r="C732" s="1" t="n">
        <v>46203</v>
      </c>
      <c r="D732" t="inlineStr">
        <is>
          <t>VÄRMLANDS LÄN</t>
        </is>
      </c>
      <c r="E732" t="inlineStr">
        <is>
          <t>HAGFORS</t>
        </is>
      </c>
      <c r="F732" t="inlineStr">
        <is>
          <t>Kommuner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13850-2022</t>
        </is>
      </c>
      <c r="B733" s="1" t="n">
        <v>44649</v>
      </c>
      <c r="C733" s="1" t="n">
        <v>46203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61902-2021</t>
        </is>
      </c>
      <c r="B734" s="1" t="n">
        <v>44502</v>
      </c>
      <c r="C734" s="1" t="n">
        <v>46203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58307-2023</t>
        </is>
      </c>
      <c r="B735" s="1" t="n">
        <v>45250</v>
      </c>
      <c r="C735" s="1" t="n">
        <v>46203</v>
      </c>
      <c r="D735" t="inlineStr">
        <is>
          <t>VÄRMLANDS LÄN</t>
        </is>
      </c>
      <c r="E735" t="inlineStr">
        <is>
          <t>HAGFORS</t>
        </is>
      </c>
      <c r="F735" t="inlineStr">
        <is>
          <t>Kommuner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11104-2022</t>
        </is>
      </c>
      <c r="B736" s="1" t="n">
        <v>44628</v>
      </c>
      <c r="C736" s="1" t="n">
        <v>46203</v>
      </c>
      <c r="D736" t="inlineStr">
        <is>
          <t>VÄRMLANDS LÄN</t>
        </is>
      </c>
      <c r="E736" t="inlineStr">
        <is>
          <t>HAGFORS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39396-2023</t>
        </is>
      </c>
      <c r="B737" s="1" t="n">
        <v>45166</v>
      </c>
      <c r="C737" s="1" t="n">
        <v>46203</v>
      </c>
      <c r="D737" t="inlineStr">
        <is>
          <t>VÄRMLANDS LÄN</t>
        </is>
      </c>
      <c r="E737" t="inlineStr">
        <is>
          <t>HAGFORS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60664-2023</t>
        </is>
      </c>
      <c r="B738" s="1" t="n">
        <v>45259</v>
      </c>
      <c r="C738" s="1" t="n">
        <v>46203</v>
      </c>
      <c r="D738" t="inlineStr">
        <is>
          <t>VÄRMLANDS LÄN</t>
        </is>
      </c>
      <c r="E738" t="inlineStr">
        <is>
          <t>HAGFORS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8820-2024</t>
        </is>
      </c>
      <c r="B739" s="1" t="n">
        <v>45356</v>
      </c>
      <c r="C739" s="1" t="n">
        <v>46203</v>
      </c>
      <c r="D739" t="inlineStr">
        <is>
          <t>VÄRMLANDS LÄN</t>
        </is>
      </c>
      <c r="E739" t="inlineStr">
        <is>
          <t>HAGFORS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658-2022</t>
        </is>
      </c>
      <c r="B740" s="1" t="n">
        <v>44566</v>
      </c>
      <c r="C740" s="1" t="n">
        <v>46203</v>
      </c>
      <c r="D740" t="inlineStr">
        <is>
          <t>VÄRMLANDS LÄN</t>
        </is>
      </c>
      <c r="E740" t="inlineStr">
        <is>
          <t>HAGFORS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59048-2022</t>
        </is>
      </c>
      <c r="B741" s="1" t="n">
        <v>44903</v>
      </c>
      <c r="C741" s="1" t="n">
        <v>46203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29372-2023</t>
        </is>
      </c>
      <c r="B742" s="1" t="n">
        <v>45106</v>
      </c>
      <c r="C742" s="1" t="n">
        <v>46203</v>
      </c>
      <c r="D742" t="inlineStr">
        <is>
          <t>VÄRMLANDS LÄN</t>
        </is>
      </c>
      <c r="E742" t="inlineStr">
        <is>
          <t>HAGFORS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60221-2023</t>
        </is>
      </c>
      <c r="B743" s="1" t="n">
        <v>45258</v>
      </c>
      <c r="C743" s="1" t="n">
        <v>46203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34541-2024</t>
        </is>
      </c>
      <c r="B744" s="1" t="n">
        <v>45525</v>
      </c>
      <c r="C744" s="1" t="n">
        <v>46203</v>
      </c>
      <c r="D744" t="inlineStr">
        <is>
          <t>VÄRMLANDS LÄN</t>
        </is>
      </c>
      <c r="E744" t="inlineStr">
        <is>
          <t>HAGFORS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35668-2023</t>
        </is>
      </c>
      <c r="B745" s="1" t="n">
        <v>45147</v>
      </c>
      <c r="C745" s="1" t="n">
        <v>46203</v>
      </c>
      <c r="D745" t="inlineStr">
        <is>
          <t>VÄRMLANDS LÄN</t>
        </is>
      </c>
      <c r="E745" t="inlineStr">
        <is>
          <t>HAGFORS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46190-2024</t>
        </is>
      </c>
      <c r="B746" s="1" t="n">
        <v>45581</v>
      </c>
      <c r="C746" s="1" t="n">
        <v>46203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2971-2025</t>
        </is>
      </c>
      <c r="B747" s="1" t="n">
        <v>45678</v>
      </c>
      <c r="C747" s="1" t="n">
        <v>46203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26859-2024</t>
        </is>
      </c>
      <c r="B748" s="1" t="n">
        <v>45470</v>
      </c>
      <c r="C748" s="1" t="n">
        <v>46203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11367-2025</t>
        </is>
      </c>
      <c r="B749" s="1" t="n">
        <v>45726</v>
      </c>
      <c r="C749" s="1" t="n">
        <v>46203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46208-2023</t>
        </is>
      </c>
      <c r="B750" s="1" t="n">
        <v>45196</v>
      </c>
      <c r="C750" s="1" t="n">
        <v>46203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29373-2023</t>
        </is>
      </c>
      <c r="B751" s="1" t="n">
        <v>45106</v>
      </c>
      <c r="C751" s="1" t="n">
        <v>46203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4279-2024</t>
        </is>
      </c>
      <c r="B752" s="1" t="n">
        <v>45324</v>
      </c>
      <c r="C752" s="1" t="n">
        <v>46203</v>
      </c>
      <c r="D752" t="inlineStr">
        <is>
          <t>VÄRMLANDS LÄN</t>
        </is>
      </c>
      <c r="E752" t="inlineStr">
        <is>
          <t>HAGFORS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52378-2021</t>
        </is>
      </c>
      <c r="B753" s="1" t="n">
        <v>44465</v>
      </c>
      <c r="C753" s="1" t="n">
        <v>46203</v>
      </c>
      <c r="D753" t="inlineStr">
        <is>
          <t>VÄRMLANDS LÄN</t>
        </is>
      </c>
      <c r="E753" t="inlineStr">
        <is>
          <t>HAGFORS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3426-2023</t>
        </is>
      </c>
      <c r="B754" s="1" t="n">
        <v>44949</v>
      </c>
      <c r="C754" s="1" t="n">
        <v>46203</v>
      </c>
      <c r="D754" t="inlineStr">
        <is>
          <t>VÄRMLANDS LÄN</t>
        </is>
      </c>
      <c r="E754" t="inlineStr">
        <is>
          <t>HAGFORS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42223-2022</t>
        </is>
      </c>
      <c r="B755" s="1" t="n">
        <v>44830</v>
      </c>
      <c r="C755" s="1" t="n">
        <v>46203</v>
      </c>
      <c r="D755" t="inlineStr">
        <is>
          <t>VÄRMLANDS LÄN</t>
        </is>
      </c>
      <c r="E755" t="inlineStr">
        <is>
          <t>HAGFORS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17584-2023</t>
        </is>
      </c>
      <c r="B756" s="1" t="n">
        <v>45036</v>
      </c>
      <c r="C756" s="1" t="n">
        <v>46203</v>
      </c>
      <c r="D756" t="inlineStr">
        <is>
          <t>VÄRMLANDS LÄN</t>
        </is>
      </c>
      <c r="E756" t="inlineStr">
        <is>
          <t>HAGFORS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32696-2023</t>
        </is>
      </c>
      <c r="B757" s="1" t="n">
        <v>45112</v>
      </c>
      <c r="C757" s="1" t="n">
        <v>46203</v>
      </c>
      <c r="D757" t="inlineStr">
        <is>
          <t>VÄRMLANDS LÄN</t>
        </is>
      </c>
      <c r="E757" t="inlineStr">
        <is>
          <t>HAGFORS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58799-2022</t>
        </is>
      </c>
      <c r="B758" s="1" t="n">
        <v>44903</v>
      </c>
      <c r="C758" s="1" t="n">
        <v>46203</v>
      </c>
      <c r="D758" t="inlineStr">
        <is>
          <t>VÄRMLANDS LÄN</t>
        </is>
      </c>
      <c r="E758" t="inlineStr">
        <is>
          <t>HAGFORS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59092-2022</t>
        </is>
      </c>
      <c r="B759" s="1" t="n">
        <v>44904</v>
      </c>
      <c r="C759" s="1" t="n">
        <v>46203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20466-2023</t>
        </is>
      </c>
      <c r="B760" s="1" t="n">
        <v>45057</v>
      </c>
      <c r="C760" s="1" t="n">
        <v>46203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32031-2024</t>
        </is>
      </c>
      <c r="B761" s="1" t="n">
        <v>45510</v>
      </c>
      <c r="C761" s="1" t="n">
        <v>46203</v>
      </c>
      <c r="D761" t="inlineStr">
        <is>
          <t>VÄRMLANDS LÄN</t>
        </is>
      </c>
      <c r="E761" t="inlineStr">
        <is>
          <t>HAGFORS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53192-2022</t>
        </is>
      </c>
      <c r="B762" s="1" t="n">
        <v>44876</v>
      </c>
      <c r="C762" s="1" t="n">
        <v>46203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2371-2025</t>
        </is>
      </c>
      <c r="B763" s="1" t="n">
        <v>45673</v>
      </c>
      <c r="C763" s="1" t="n">
        <v>46203</v>
      </c>
      <c r="D763" t="inlineStr">
        <is>
          <t>VÄRMLANDS LÄN</t>
        </is>
      </c>
      <c r="E763" t="inlineStr">
        <is>
          <t>HAGFORS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18014-2024</t>
        </is>
      </c>
      <c r="B764" s="1" t="n">
        <v>45419</v>
      </c>
      <c r="C764" s="1" t="n">
        <v>46203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1931-2024</t>
        </is>
      </c>
      <c r="B765" s="1" t="n">
        <v>45308</v>
      </c>
      <c r="C765" s="1" t="n">
        <v>46203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36013-2023</t>
        </is>
      </c>
      <c r="B766" s="1" t="n">
        <v>45149</v>
      </c>
      <c r="C766" s="1" t="n">
        <v>46203</v>
      </c>
      <c r="D766" t="inlineStr">
        <is>
          <t>VÄRMLANDS LÄN</t>
        </is>
      </c>
      <c r="E766" t="inlineStr">
        <is>
          <t>HAGFORS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56895-2023</t>
        </is>
      </c>
      <c r="B767" s="1" t="n">
        <v>45244</v>
      </c>
      <c r="C767" s="1" t="n">
        <v>46203</v>
      </c>
      <c r="D767" t="inlineStr">
        <is>
          <t>VÄRMLANDS LÄN</t>
        </is>
      </c>
      <c r="E767" t="inlineStr">
        <is>
          <t>HAGFORS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35664-2023</t>
        </is>
      </c>
      <c r="B768" s="1" t="n">
        <v>45147</v>
      </c>
      <c r="C768" s="1" t="n">
        <v>46203</v>
      </c>
      <c r="D768" t="inlineStr">
        <is>
          <t>VÄRMLANDS LÄN</t>
        </is>
      </c>
      <c r="E768" t="inlineStr">
        <is>
          <t>HAGFORS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6478-2025</t>
        </is>
      </c>
      <c r="B769" s="1" t="n">
        <v>45699</v>
      </c>
      <c r="C769" s="1" t="n">
        <v>46203</v>
      </c>
      <c r="D769" t="inlineStr">
        <is>
          <t>VÄRMLANDS LÄN</t>
        </is>
      </c>
      <c r="E769" t="inlineStr">
        <is>
          <t>HAGFORS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21309-2023</t>
        </is>
      </c>
      <c r="B770" s="1" t="n">
        <v>45062</v>
      </c>
      <c r="C770" s="1" t="n">
        <v>46203</v>
      </c>
      <c r="D770" t="inlineStr">
        <is>
          <t>VÄRMLANDS LÄN</t>
        </is>
      </c>
      <c r="E770" t="inlineStr">
        <is>
          <t>HAGFORS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4748-2024</t>
        </is>
      </c>
      <c r="B771" s="1" t="n">
        <v>45328</v>
      </c>
      <c r="C771" s="1" t="n">
        <v>46203</v>
      </c>
      <c r="D771" t="inlineStr">
        <is>
          <t>VÄRMLANDS LÄN</t>
        </is>
      </c>
      <c r="E771" t="inlineStr">
        <is>
          <t>HAGFORS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13282-2024</t>
        </is>
      </c>
      <c r="B772" s="1" t="n">
        <v>45386</v>
      </c>
      <c r="C772" s="1" t="n">
        <v>46203</v>
      </c>
      <c r="D772" t="inlineStr">
        <is>
          <t>VÄRMLANDS LÄN</t>
        </is>
      </c>
      <c r="E772" t="inlineStr">
        <is>
          <t>HAGFORS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48276-2024</t>
        </is>
      </c>
      <c r="B773" s="1" t="n">
        <v>45590</v>
      </c>
      <c r="C773" s="1" t="n">
        <v>46203</v>
      </c>
      <c r="D773" t="inlineStr">
        <is>
          <t>VÄRMLANDS LÄN</t>
        </is>
      </c>
      <c r="E773" t="inlineStr">
        <is>
          <t>HAGFORS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57159-2024</t>
        </is>
      </c>
      <c r="B774" s="1" t="n">
        <v>45629</v>
      </c>
      <c r="C774" s="1" t="n">
        <v>46203</v>
      </c>
      <c r="D774" t="inlineStr">
        <is>
          <t>VÄRMLANDS LÄN</t>
        </is>
      </c>
      <c r="E774" t="inlineStr">
        <is>
          <t>HAGFORS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33146-2024</t>
        </is>
      </c>
      <c r="B775" s="1" t="n">
        <v>45518</v>
      </c>
      <c r="C775" s="1" t="n">
        <v>46203</v>
      </c>
      <c r="D775" t="inlineStr">
        <is>
          <t>VÄRMLANDS LÄN</t>
        </is>
      </c>
      <c r="E775" t="inlineStr">
        <is>
          <t>HAGFORS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51346-2022</t>
        </is>
      </c>
      <c r="B776" s="1" t="n">
        <v>44869</v>
      </c>
      <c r="C776" s="1" t="n">
        <v>46203</v>
      </c>
      <c r="D776" t="inlineStr">
        <is>
          <t>VÄRMLANDS LÄN</t>
        </is>
      </c>
      <c r="E776" t="inlineStr">
        <is>
          <t>HAGFORS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32033-2024</t>
        </is>
      </c>
      <c r="B777" s="1" t="n">
        <v>45510</v>
      </c>
      <c r="C777" s="1" t="n">
        <v>46203</v>
      </c>
      <c r="D777" t="inlineStr">
        <is>
          <t>VÄRMLANDS LÄN</t>
        </is>
      </c>
      <c r="E777" t="inlineStr">
        <is>
          <t>HAGFORS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42593-2021</t>
        </is>
      </c>
      <c r="B778" s="1" t="n">
        <v>44428</v>
      </c>
      <c r="C778" s="1" t="n">
        <v>46203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56888-2023</t>
        </is>
      </c>
      <c r="B779" s="1" t="n">
        <v>45244</v>
      </c>
      <c r="C779" s="1" t="n">
        <v>46203</v>
      </c>
      <c r="D779" t="inlineStr">
        <is>
          <t>VÄRMLANDS LÄN</t>
        </is>
      </c>
      <c r="E779" t="inlineStr">
        <is>
          <t>HAGFORS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9288-2025</t>
        </is>
      </c>
      <c r="B780" s="1" t="n">
        <v>45714</v>
      </c>
      <c r="C780" s="1" t="n">
        <v>46203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60974-2024</t>
        </is>
      </c>
      <c r="B781" s="1" t="n">
        <v>45645</v>
      </c>
      <c r="C781" s="1" t="n">
        <v>46203</v>
      </c>
      <c r="D781" t="inlineStr">
        <is>
          <t>VÄRMLANDS LÄN</t>
        </is>
      </c>
      <c r="E781" t="inlineStr">
        <is>
          <t>HAGFORS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26348-2024</t>
        </is>
      </c>
      <c r="B782" s="1" t="n">
        <v>45469</v>
      </c>
      <c r="C782" s="1" t="n">
        <v>46203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35775-2024</t>
        </is>
      </c>
      <c r="B783" s="1" t="n">
        <v>45532</v>
      </c>
      <c r="C783" s="1" t="n">
        <v>46203</v>
      </c>
      <c r="D783" t="inlineStr">
        <is>
          <t>VÄRMLANDS LÄN</t>
        </is>
      </c>
      <c r="E783" t="inlineStr">
        <is>
          <t>HAGFORS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45238-2024</t>
        </is>
      </c>
      <c r="B784" s="1" t="n">
        <v>45575</v>
      </c>
      <c r="C784" s="1" t="n">
        <v>46203</v>
      </c>
      <c r="D784" t="inlineStr">
        <is>
          <t>VÄRMLANDS LÄN</t>
        </is>
      </c>
      <c r="E784" t="inlineStr">
        <is>
          <t>HAGFORS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32149-2023</t>
        </is>
      </c>
      <c r="B785" s="1" t="n">
        <v>45107</v>
      </c>
      <c r="C785" s="1" t="n">
        <v>46203</v>
      </c>
      <c r="D785" t="inlineStr">
        <is>
          <t>VÄRMLANDS LÄN</t>
        </is>
      </c>
      <c r="E785" t="inlineStr">
        <is>
          <t>HAGFORS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26777-2023</t>
        </is>
      </c>
      <c r="B786" s="1" t="n">
        <v>45093</v>
      </c>
      <c r="C786" s="1" t="n">
        <v>46203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56165-2024</t>
        </is>
      </c>
      <c r="B787" s="1" t="n">
        <v>45624</v>
      </c>
      <c r="C787" s="1" t="n">
        <v>46203</v>
      </c>
      <c r="D787" t="inlineStr">
        <is>
          <t>VÄRMLANDS LÄN</t>
        </is>
      </c>
      <c r="E787" t="inlineStr">
        <is>
          <t>HAGFORS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2026-06-30T00:56:44Z</dcterms:created>
  <dcterms:modified xmlns:dcterms="http://purl.org/dc/terms/" xmlns:xsi="http://www.w3.org/2001/XMLSchema-instance" xsi:type="dcterms:W3CDTF">2026-06-30T00:56:45Z</dcterms:modified>
</cp:coreProperties>
</file>