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46225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46225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46225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46225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46225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46225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46225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46225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46225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46225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46225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46225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46225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46225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46225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46225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46225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15826-2025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45748</v>
      </c>
      <c r="E19" s="1" t="n">
        <v>46225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8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Rynkskinn
Stjärntagging
Ullticka</t>
        </is>
      </c>
      <c r="W19">
        <f>HYPERLINK("https://klasma.github.io/Logging_1783/artfynd/A 15826-2025 artfynd.xlsx", "A 15826-2025")</f>
        <v/>
      </c>
      <c r="X19">
        <f>HYPERLINK("https://klasma.github.io/Logging_1783/kartor/A 15826-2025 karta.png", "A 15826-2025")</f>
        <v/>
      </c>
      <c r="Y19">
        <f>HYPERLINK("https://klasma.github.io/Logging_1783/kartor_geotiff/A 15826-2025 georefererad karta.tif", "A 15826-2025")</f>
        <v/>
      </c>
      <c r="AA19">
        <f>HYPERLINK("https://klasma.github.io/Logging_1783/klagomål/A 15826-2025 FSC-klagomål.docx", "A 15826-2025")</f>
        <v/>
      </c>
      <c r="AB19">
        <f>HYPERLINK("https://klasma.github.io/Logging_1783/klagomålsmail/A 15826-2025 FSC-klagomål mail.docx", "A 15826-2025")</f>
        <v/>
      </c>
      <c r="AC19">
        <f>HYPERLINK("https://klasma.github.io/Logging_1783/tillsyn/A 15826-2025 tillsynsbegäran.docx", "A 15826-2025")</f>
        <v/>
      </c>
      <c r="AD19">
        <f>HYPERLINK("https://klasma.github.io/Logging_1783/tillsynsmail/A 15826-2025 tillsynsbegäran mail.docx", "A 15826-2025")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46225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46225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46225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46225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46225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46225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46225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46225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46225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46225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46225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46225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46225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46225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46225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46225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8254-2026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46064</v>
      </c>
      <c r="E36" s="1" t="n">
        <v>46225</v>
      </c>
      <c r="F36" t="inlineStr">
        <is>
          <t>VÄRMLANDS LÄN</t>
        </is>
      </c>
      <c r="G36" t="inlineStr">
        <is>
          <t>HAGFORS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HYPERLINK("https://klasma.github.io/Logging_1783/artfynd/A 8254-2026 artfynd.xlsx", "A 8254-2026")</f>
        <v/>
      </c>
      <c r="X36">
        <f>HYPERLINK("https://klasma.github.io/Logging_1783/kartor/A 8254-2026 karta.png", "A 8254-2026")</f>
        <v/>
      </c>
      <c r="Y36">
        <f>HYPERLINK("https://klasma.github.io/Logging_1783/kartor_geotiff/A 8254-2026 georefererad karta.tif", "A 8254-2026")</f>
        <v/>
      </c>
      <c r="AA36">
        <f>HYPERLINK("https://klasma.github.io/Logging_1783/klagomål/A 8254-2026 FSC-klagomål.docx", "A 8254-2026")</f>
        <v/>
      </c>
      <c r="AB36">
        <f>HYPERLINK("https://klasma.github.io/Logging_1783/klagomålsmail/A 8254-2026 FSC-klagomål mail.docx", "A 8254-2026")</f>
        <v/>
      </c>
      <c r="AC36">
        <f>HYPERLINK("https://klasma.github.io/Logging_1783/tillsyn/A 8254-2026 tillsynsbegäran.docx", "A 8254-2026")</f>
        <v/>
      </c>
      <c r="AD36">
        <f>HYPERLINK("https://klasma.github.io/Logging_1783/tillsynsmail/A 8254-2026 tillsynsbegäran mail.docx", "A 8254-2026")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46225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46225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20119-2025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46225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HYPERLINK("https://klasma.github.io/Logging_1783/artfynd/A 20119-2025 artfynd.xlsx", "A 20119-2025")</f>
        <v/>
      </c>
      <c r="X39">
        <f>HYPERLINK("https://klasma.github.io/Logging_1783/kartor/A 20119-2025 karta.png", "A 20119-2025")</f>
        <v/>
      </c>
      <c r="Y39">
        <f>HYPERLINK("https://klasma.github.io/Logging_1783/kartor_geotiff/A 20119-2025 georefererad karta.tif", "A 20119-2025")</f>
        <v/>
      </c>
      <c r="AA39">
        <f>HYPERLINK("https://klasma.github.io/Logging_1783/klagomål/A 20119-2025 FSC-klagomål.docx", "A 20119-2025")</f>
        <v/>
      </c>
      <c r="AB39">
        <f>HYPERLINK("https://klasma.github.io/Logging_1783/klagomålsmail/A 20119-2025 FSC-klagomål mail.docx", "A 20119-2025")</f>
        <v/>
      </c>
      <c r="AC39">
        <f>HYPERLINK("https://klasma.github.io/Logging_1783/tillsyn/A 20119-2025 tillsynsbegäran.docx", "A 20119-2025")</f>
        <v/>
      </c>
      <c r="AD39">
        <f>HYPERLINK("https://klasma.github.io/Logging_1783/tillsynsmail/A 20119-2025 tillsynsbegäran mail.docx", "A 20119-2025")</f>
        <v/>
      </c>
      <c r="AE39">
        <f>HYPERLINK("https://klasma.github.io/Logging_1783/fåglar/A 20119-2025 prioriterade fågelarter.docx", "A 20119-2025")</f>
        <v/>
      </c>
    </row>
    <row r="40" ht="15" customHeight="1">
      <c r="A40" t="inlineStr">
        <is>
          <t>A 33905-2025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45842</v>
      </c>
      <c r="E40" s="1" t="n">
        <v>46225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7.8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33905-2025 artfynd.xlsx", "A 33905-2025")</f>
        <v/>
      </c>
      <c r="X40">
        <f>HYPERLINK("https://klasma.github.io/Logging_1783/kartor/A 33905-2025 karta.png", "A 33905-2025")</f>
        <v/>
      </c>
      <c r="Y40">
        <f>HYPERLINK("https://klasma.github.io/Logging_1783/kartor_geotiff/A 33905-2025 georefererad karta.tif", "A 33905-2025")</f>
        <v/>
      </c>
      <c r="AA40">
        <f>HYPERLINK("https://klasma.github.io/Logging_1783/klagomål/A 33905-2025 FSC-klagomål.docx", "A 33905-2025")</f>
        <v/>
      </c>
      <c r="AB40">
        <f>HYPERLINK("https://klasma.github.io/Logging_1783/klagomålsmail/A 33905-2025 FSC-klagomål mail.docx", "A 33905-2025")</f>
        <v/>
      </c>
      <c r="AC40">
        <f>HYPERLINK("https://klasma.github.io/Logging_1783/tillsyn/A 33905-2025 tillsynsbegäran.docx", "A 33905-2025")</f>
        <v/>
      </c>
      <c r="AD40">
        <f>HYPERLINK("https://klasma.github.io/Logging_1783/tillsynsmail/A 33905-2025 tillsynsbegäran mail.docx", "A 33905-2025")</f>
        <v/>
      </c>
    </row>
    <row r="41" ht="15" customHeight="1">
      <c r="A41" t="inlineStr">
        <is>
          <t>A 12445-2026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46090</v>
      </c>
      <c r="E41" s="1" t="n">
        <v>46225</v>
      </c>
      <c r="F41" t="inlineStr">
        <is>
          <t>VÄRMLANDS LÄN</t>
        </is>
      </c>
      <c r="G41" t="inlineStr">
        <is>
          <t>HAGFORS</t>
        </is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HYPERLINK("https://klasma.github.io/Logging_1783/artfynd/A 12445-2026 artfynd.xlsx", "A 12445-2026")</f>
        <v/>
      </c>
      <c r="X41">
        <f>HYPERLINK("https://klasma.github.io/Logging_1783/kartor/A 12445-2026 karta.png", "A 12445-2026")</f>
        <v/>
      </c>
      <c r="Y41">
        <f>HYPERLINK("https://klasma.github.io/Logging_1783/kartor_geotiff/A 12445-2026 georefererad karta.tif", "A 12445-2026")</f>
        <v/>
      </c>
      <c r="AA41">
        <f>HYPERLINK("https://klasma.github.io/Logging_1783/klagomål/A 12445-2026 FSC-klagomål.docx", "A 12445-2026")</f>
        <v/>
      </c>
      <c r="AB41">
        <f>HYPERLINK("https://klasma.github.io/Logging_1783/klagomålsmail/A 12445-2026 FSC-klagomål mail.docx", "A 12445-2026")</f>
        <v/>
      </c>
      <c r="AC41">
        <f>HYPERLINK("https://klasma.github.io/Logging_1783/tillsyn/A 12445-2026 tillsynsbegäran.docx", "A 12445-2026")</f>
        <v/>
      </c>
      <c r="AD41">
        <f>HYPERLINK("https://klasma.github.io/Logging_1783/tillsynsmail/A 12445-2026 tillsynsbegäran mail.docx", "A 12445-2026")</f>
        <v/>
      </c>
      <c r="AE41">
        <f>HYPERLINK("https://klasma.github.io/Logging_1783/fåglar/A 12445-2026 prioriterade fågelarter.docx", "A 12445-2026")</f>
        <v/>
      </c>
    </row>
    <row r="42" ht="15" customHeight="1">
      <c r="A42" t="inlineStr">
        <is>
          <t>A 38267-2024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46225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4.3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Tallticka</t>
        </is>
      </c>
      <c r="W42">
        <f>HYPERLINK("https://klasma.github.io/Logging_1783/artfynd/A 38267-2024 artfynd.xlsx", "A 38267-2024")</f>
        <v/>
      </c>
      <c r="X42">
        <f>HYPERLINK("https://klasma.github.io/Logging_1783/kartor/A 38267-2024 karta.png", "A 38267-2024")</f>
        <v/>
      </c>
      <c r="Y42">
        <f>HYPERLINK("https://klasma.github.io/Logging_1783/kartor_geotiff/A 38267-2024 georefererad karta.tif", "A 38267-2024")</f>
        <v/>
      </c>
      <c r="AA42">
        <f>HYPERLINK("https://klasma.github.io/Logging_1783/klagomål/A 38267-2024 FSC-klagomål.docx", "A 38267-2024")</f>
        <v/>
      </c>
      <c r="AB42">
        <f>HYPERLINK("https://klasma.github.io/Logging_1783/klagomålsmail/A 38267-2024 FSC-klagomål mail.docx", "A 38267-2024")</f>
        <v/>
      </c>
      <c r="AC42">
        <f>HYPERLINK("https://klasma.github.io/Logging_1783/tillsyn/A 38267-2024 tillsynsbegäran.docx", "A 38267-2024")</f>
        <v/>
      </c>
      <c r="AD42">
        <f>HYPERLINK("https://klasma.github.io/Logging_1783/tillsynsmail/A 38267-2024 tillsynsbegäran mail.docx", "A 38267-2024")</f>
        <v/>
      </c>
    </row>
    <row r="43" ht="15" customHeight="1">
      <c r="A43" t="inlineStr">
        <is>
          <t>A 50030-2025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45943</v>
      </c>
      <c r="E43" s="1" t="n">
        <v>46225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HYPERLINK("https://klasma.github.io/Logging_1783/artfynd/A 50030-2025 artfynd.xlsx", "A 50030-2025")</f>
        <v/>
      </c>
      <c r="X43">
        <f>HYPERLINK("https://klasma.github.io/Logging_1783/kartor/A 50030-2025 karta.png", "A 50030-2025")</f>
        <v/>
      </c>
      <c r="Y43">
        <f>HYPERLINK("https://klasma.github.io/Logging_1783/kartor_geotiff/A 50030-2025 georefererad karta.tif", "A 50030-2025")</f>
        <v/>
      </c>
      <c r="AA43">
        <f>HYPERLINK("https://klasma.github.io/Logging_1783/klagomål/A 50030-2025 FSC-klagomål.docx", "A 50030-2025")</f>
        <v/>
      </c>
      <c r="AB43">
        <f>HYPERLINK("https://klasma.github.io/Logging_1783/klagomålsmail/A 50030-2025 FSC-klagomål mail.docx", "A 50030-2025")</f>
        <v/>
      </c>
      <c r="AC43">
        <f>HYPERLINK("https://klasma.github.io/Logging_1783/tillsyn/A 50030-2025 tillsynsbegäran.docx", "A 50030-2025")</f>
        <v/>
      </c>
      <c r="AD43">
        <f>HYPERLINK("https://klasma.github.io/Logging_1783/tillsynsmail/A 50030-2025 tillsynsbegäran mail.docx", "A 50030-2025")</f>
        <v/>
      </c>
    </row>
    <row r="44" ht="15" customHeight="1">
      <c r="A44" t="inlineStr">
        <is>
          <t>A 54700-2025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45966</v>
      </c>
      <c r="E44" s="1" t="n">
        <v>46225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6.6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HYPERLINK("https://klasma.github.io/Logging_1783/artfynd/A 54700-2025 artfynd.xlsx", "A 54700-2025")</f>
        <v/>
      </c>
      <c r="X44">
        <f>HYPERLINK("https://klasma.github.io/Logging_1783/kartor/A 54700-2025 karta.png", "A 54700-2025")</f>
        <v/>
      </c>
      <c r="Y44">
        <f>HYPERLINK("https://klasma.github.io/Logging_1783/kartor_geotiff/A 54700-2025 georefererad karta.tif", "A 54700-2025")</f>
        <v/>
      </c>
      <c r="AA44">
        <f>HYPERLINK("https://klasma.github.io/Logging_1783/klagomål/A 54700-2025 FSC-klagomål.docx", "A 54700-2025")</f>
        <v/>
      </c>
      <c r="AB44">
        <f>HYPERLINK("https://klasma.github.io/Logging_1783/klagomålsmail/A 54700-2025 FSC-klagomål mail.docx", "A 54700-2025")</f>
        <v/>
      </c>
      <c r="AC44">
        <f>HYPERLINK("https://klasma.github.io/Logging_1783/tillsyn/A 54700-2025 tillsynsbegäran.docx", "A 54700-2025")</f>
        <v/>
      </c>
      <c r="AD44">
        <f>HYPERLINK("https://klasma.github.io/Logging_1783/tillsynsmail/A 54700-2025 tillsynsbegäran mail.docx", "A 54700-2025")</f>
        <v/>
      </c>
      <c r="AE44">
        <f>HYPERLINK("https://klasma.github.io/Logging_1783/fåglar/A 54700-2025 prioriterade fågelarter.docx", "A 54700-2025")</f>
        <v/>
      </c>
    </row>
    <row r="45" ht="15" customHeight="1">
      <c r="A45" t="inlineStr">
        <is>
          <t>A 37152-2023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46225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Hökuggla</t>
        </is>
      </c>
      <c r="W45">
        <f>HYPERLINK("https://klasma.github.io/Logging_1783/artfynd/A 37152-2023 artfynd.xlsx", "A 37152-2023")</f>
        <v/>
      </c>
      <c r="X45">
        <f>HYPERLINK("https://klasma.github.io/Logging_1783/kartor/A 37152-2023 karta.png", "A 37152-2023")</f>
        <v/>
      </c>
      <c r="Y45">
        <f>HYPERLINK("https://klasma.github.io/Logging_1783/kartor_geotiff/A 37152-2023 georefererad karta.tif", "A 37152-2023")</f>
        <v/>
      </c>
      <c r="AA45">
        <f>HYPERLINK("https://klasma.github.io/Logging_1783/klagomål/A 37152-2023 FSC-klagomål.docx", "A 37152-2023")</f>
        <v/>
      </c>
      <c r="AB45">
        <f>HYPERLINK("https://klasma.github.io/Logging_1783/klagomålsmail/A 37152-2023 FSC-klagomål mail.docx", "A 37152-2023")</f>
        <v/>
      </c>
      <c r="AC45">
        <f>HYPERLINK("https://klasma.github.io/Logging_1783/tillsyn/A 37152-2023 tillsynsbegäran.docx", "A 37152-2023")</f>
        <v/>
      </c>
      <c r="AD45">
        <f>HYPERLINK("https://klasma.github.io/Logging_1783/tillsynsmail/A 37152-2023 tillsynsbegäran mail.docx", "A 37152-2023")</f>
        <v/>
      </c>
      <c r="AE45">
        <f>HYPERLINK("https://klasma.github.io/Logging_1783/fåglar/A 37152-2023 prioriterade fågelarter.docx", "A 37152-2023")</f>
        <v/>
      </c>
    </row>
    <row r="46" ht="15" customHeight="1">
      <c r="A46" t="inlineStr">
        <is>
          <t>A 55484-2025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46225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HYPERLINK("https://klasma.github.io/Logging_1783/artfynd/A 55484-2025 artfynd.xlsx", "A 55484-2025")</f>
        <v/>
      </c>
      <c r="X46">
        <f>HYPERLINK("https://klasma.github.io/Logging_1783/kartor/A 55484-2025 karta.png", "A 55484-2025")</f>
        <v/>
      </c>
      <c r="Y46">
        <f>HYPERLINK("https://klasma.github.io/Logging_1783/kartor_geotiff/A 55484-2025 georefererad karta.tif", "A 55484-2025")</f>
        <v/>
      </c>
      <c r="AA46">
        <f>HYPERLINK("https://klasma.github.io/Logging_1783/klagomål/A 55484-2025 FSC-klagomål.docx", "A 55484-2025")</f>
        <v/>
      </c>
      <c r="AB46">
        <f>HYPERLINK("https://klasma.github.io/Logging_1783/klagomålsmail/A 55484-2025 FSC-klagomål mail.docx", "A 55484-2025")</f>
        <v/>
      </c>
      <c r="AC46">
        <f>HYPERLINK("https://klasma.github.io/Logging_1783/tillsyn/A 55484-2025 tillsynsbegäran.docx", "A 55484-2025")</f>
        <v/>
      </c>
      <c r="AD46">
        <f>HYPERLINK("https://klasma.github.io/Logging_1783/tillsynsmail/A 55484-2025 tillsynsbegäran mail.docx", "A 55484-2025")</f>
        <v/>
      </c>
    </row>
    <row r="47" ht="15" customHeight="1">
      <c r="A47" t="inlineStr">
        <is>
          <t>A 19362-2026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46133</v>
      </c>
      <c r="E47" s="1" t="n">
        <v>46225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19362-2026 artfynd.xlsx", "A 19362-2026")</f>
        <v/>
      </c>
      <c r="X47">
        <f>HYPERLINK("https://klasma.github.io/Logging_1783/kartor/A 19362-2026 karta.png", "A 19362-2026")</f>
        <v/>
      </c>
      <c r="Y47">
        <f>HYPERLINK("https://klasma.github.io/Logging_1783/kartor_geotiff/A 19362-2026 georefererad karta.tif", "A 19362-2026")</f>
        <v/>
      </c>
      <c r="AA47">
        <f>HYPERLINK("https://klasma.github.io/Logging_1783/klagomål/A 19362-2026 FSC-klagomål.docx", "A 19362-2026")</f>
        <v/>
      </c>
      <c r="AB47">
        <f>HYPERLINK("https://klasma.github.io/Logging_1783/klagomålsmail/A 19362-2026 FSC-klagomål mail.docx", "A 19362-2026")</f>
        <v/>
      </c>
      <c r="AC47">
        <f>HYPERLINK("https://klasma.github.io/Logging_1783/tillsyn/A 19362-2026 tillsynsbegäran.docx", "A 19362-2026")</f>
        <v/>
      </c>
      <c r="AD47">
        <f>HYPERLINK("https://klasma.github.io/Logging_1783/tillsynsmail/A 19362-2026 tillsynsbegäran mail.docx", "A 19362-2026")</f>
        <v/>
      </c>
    </row>
    <row r="48" ht="15" customHeight="1">
      <c r="A48" t="inlineStr">
        <is>
          <t>A 34158-2025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45845</v>
      </c>
      <c r="E48" s="1" t="n">
        <v>46225</v>
      </c>
      <c r="F48" t="inlineStr">
        <is>
          <t>VÄRMLANDS LÄN</t>
        </is>
      </c>
      <c r="G48" t="inlineStr">
        <is>
          <t>HAGFORS</t>
        </is>
      </c>
      <c r="I48" t="n">
        <v>5.8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Korallblylav</t>
        </is>
      </c>
      <c r="W48">
        <f>HYPERLINK("https://klasma.github.io/Logging_1783/artfynd/A 34158-2025 artfynd.xlsx", "A 34158-2025")</f>
        <v/>
      </c>
      <c r="X48">
        <f>HYPERLINK("https://klasma.github.io/Logging_1783/kartor/A 34158-2025 karta.png", "A 34158-2025")</f>
        <v/>
      </c>
      <c r="Y48">
        <f>HYPERLINK("https://klasma.github.io/Logging_1783/kartor_geotiff/A 34158-2025 georefererad karta.tif", "A 34158-2025")</f>
        <v/>
      </c>
      <c r="AA48">
        <f>HYPERLINK("https://klasma.github.io/Logging_1783/klagomål/A 34158-2025 FSC-klagomål.docx", "A 34158-2025")</f>
        <v/>
      </c>
      <c r="AB48">
        <f>HYPERLINK("https://klasma.github.io/Logging_1783/klagomålsmail/A 34158-2025 FSC-klagomål mail.docx", "A 34158-2025")</f>
        <v/>
      </c>
      <c r="AC48">
        <f>HYPERLINK("https://klasma.github.io/Logging_1783/tillsyn/A 34158-2025 tillsynsbegäran.docx", "A 34158-2025")</f>
        <v/>
      </c>
      <c r="AD48">
        <f>HYPERLINK("https://klasma.github.io/Logging_1783/tillsynsmail/A 34158-2025 tillsynsbegäran mail.docx", "A 34158-2025")</f>
        <v/>
      </c>
    </row>
    <row r="49" ht="15" customHeight="1">
      <c r="A49" t="inlineStr">
        <is>
          <t>A 16319-2023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45028</v>
      </c>
      <c r="E49" s="1" t="n">
        <v>46225</v>
      </c>
      <c r="F49" t="inlineStr">
        <is>
          <t>VÄRMLANDS LÄN</t>
        </is>
      </c>
      <c r="G49" t="inlineStr">
        <is>
          <t>HAGFORS</t>
        </is>
      </c>
      <c r="I49" t="n">
        <v>1.1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HYPERLINK("https://klasma.github.io/Logging_1783/artfynd/A 16319-2023 artfynd.xlsx", "A 16319-2023")</f>
        <v/>
      </c>
      <c r="X49">
        <f>HYPERLINK("https://klasma.github.io/Logging_1783/kartor/A 16319-2023 karta.png", "A 16319-2023")</f>
        <v/>
      </c>
      <c r="Y49">
        <f>HYPERLINK("https://klasma.github.io/Logging_1783/kartor_geotiff/A 16319-2023 georefererad karta.tif", "A 16319-2023")</f>
        <v/>
      </c>
      <c r="AA49">
        <f>HYPERLINK("https://klasma.github.io/Logging_1783/klagomål/A 16319-2023 FSC-klagomål.docx", "A 16319-2023")</f>
        <v/>
      </c>
      <c r="AB49">
        <f>HYPERLINK("https://klasma.github.io/Logging_1783/klagomålsmail/A 16319-2023 FSC-klagomål mail.docx", "A 16319-2023")</f>
        <v/>
      </c>
      <c r="AC49">
        <f>HYPERLINK("https://klasma.github.io/Logging_1783/tillsyn/A 16319-2023 tillsynsbegäran.docx", "A 16319-2023")</f>
        <v/>
      </c>
      <c r="AD49">
        <f>HYPERLINK("https://klasma.github.io/Logging_1783/tillsynsmail/A 16319-2023 tillsynsbegäran mail.docx", "A 16319-2023")</f>
        <v/>
      </c>
    </row>
    <row r="50" ht="15" customHeight="1">
      <c r="A50" t="inlineStr">
        <is>
          <t>A 29432-2026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46203</v>
      </c>
      <c r="E50" s="1" t="n">
        <v>46225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3.1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Vedtrappmossa</t>
        </is>
      </c>
      <c r="W50">
        <f>HYPERLINK("https://klasma.github.io/Logging_1783/artfynd/A 29432-2026 artfynd.xlsx", "A 29432-2026")</f>
        <v/>
      </c>
      <c r="X50">
        <f>HYPERLINK("https://klasma.github.io/Logging_1783/kartor/A 29432-2026 karta.png", "A 29432-2026")</f>
        <v/>
      </c>
      <c r="Y50">
        <f>HYPERLINK("https://klasma.github.io/Logging_1783/kartor_geotiff/A 29432-2026 georefererad karta.tif", "A 29432-2026")</f>
        <v/>
      </c>
      <c r="AA50">
        <f>HYPERLINK("https://klasma.github.io/Logging_1783/klagomål/A 29432-2026 FSC-klagomål.docx", "A 29432-2026")</f>
        <v/>
      </c>
      <c r="AB50">
        <f>HYPERLINK("https://klasma.github.io/Logging_1783/klagomålsmail/A 29432-2026 FSC-klagomål mail.docx", "A 29432-2026")</f>
        <v/>
      </c>
      <c r="AC50">
        <f>HYPERLINK("https://klasma.github.io/Logging_1783/tillsyn/A 29432-2026 tillsynsbegäran.docx", "A 29432-2026")</f>
        <v/>
      </c>
      <c r="AD50">
        <f>HYPERLINK("https://klasma.github.io/Logging_1783/tillsynsmail/A 29432-2026 tillsynsbegäran mail.docx", "A 29432-2026")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46225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46225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46225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6986-2022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46225</v>
      </c>
      <c r="F54" t="inlineStr">
        <is>
          <t>VÄRMLANDS LÄN</t>
        </is>
      </c>
      <c r="G54" t="inlineStr">
        <is>
          <t>HAGFORS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6986-2022 artfynd.xlsx", "A 6986-2022")</f>
        <v/>
      </c>
      <c r="X54">
        <f>HYPERLINK("https://klasma.github.io/Logging_1783/kartor/A 6986-2022 karta.png", "A 6986-2022")</f>
        <v/>
      </c>
      <c r="Y54">
        <f>HYPERLINK("https://klasma.github.io/Logging_1783/kartor_geotiff/A 6986-2022 georefererad karta.tif", "A 6986-2022")</f>
        <v/>
      </c>
      <c r="AA54">
        <f>HYPERLINK("https://klasma.github.io/Logging_1783/klagomål/A 6986-2022 FSC-klagomål.docx", "A 6986-2022")</f>
        <v/>
      </c>
      <c r="AB54">
        <f>HYPERLINK("https://klasma.github.io/Logging_1783/klagomålsmail/A 6986-2022 FSC-klagomål mail.docx", "A 6986-2022")</f>
        <v/>
      </c>
      <c r="AC54">
        <f>HYPERLINK("https://klasma.github.io/Logging_1783/tillsyn/A 6986-2022 tillsynsbegäran.docx", "A 6986-2022")</f>
        <v/>
      </c>
      <c r="AD54">
        <f>HYPERLINK("https://klasma.github.io/Logging_1783/tillsynsmail/A 6986-2022 tillsynsbegäran mail.docx", "A 6986-2022")</f>
        <v/>
      </c>
    </row>
    <row r="55" ht="15" customHeight="1">
      <c r="A55" t="inlineStr">
        <is>
          <t>A 30524-2022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44762</v>
      </c>
      <c r="E55" s="1" t="n">
        <v>46225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Kolflarnlav</t>
        </is>
      </c>
      <c r="W55">
        <f>HYPERLINK("https://klasma.github.io/Logging_1783/artfynd/A 30524-2022 artfynd.xlsx", "A 30524-2022")</f>
        <v/>
      </c>
      <c r="X55">
        <f>HYPERLINK("https://klasma.github.io/Logging_1783/kartor/A 30524-2022 karta.png", "A 30524-2022")</f>
        <v/>
      </c>
      <c r="Y55">
        <f>HYPERLINK("https://klasma.github.io/Logging_1783/kartor_geotiff/A 30524-2022 georefererad karta.tif", "A 30524-2022")</f>
        <v/>
      </c>
      <c r="AA55">
        <f>HYPERLINK("https://klasma.github.io/Logging_1783/klagomål/A 30524-2022 FSC-klagomål.docx", "A 30524-2022")</f>
        <v/>
      </c>
      <c r="AB55">
        <f>HYPERLINK("https://klasma.github.io/Logging_1783/klagomålsmail/A 30524-2022 FSC-klagomål mail.docx", "A 30524-2022")</f>
        <v/>
      </c>
      <c r="AC55">
        <f>HYPERLINK("https://klasma.github.io/Logging_1783/tillsyn/A 30524-2022 tillsynsbegäran.docx", "A 30524-2022")</f>
        <v/>
      </c>
      <c r="AD55">
        <f>HYPERLINK("https://klasma.github.io/Logging_1783/tillsynsmail/A 30524-2022 tillsynsbegäran mail.docx", "A 30524-2022")</f>
        <v/>
      </c>
    </row>
    <row r="56" ht="15" customHeight="1">
      <c r="A56" t="inlineStr">
        <is>
          <t>A 44095-2023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46225</v>
      </c>
      <c r="F56" t="inlineStr">
        <is>
          <t>VÄRMLANDS LÄN</t>
        </is>
      </c>
      <c r="G56" t="inlineStr">
        <is>
          <t>HAGFORS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HYPERLINK("https://klasma.github.io/Logging_1783/artfynd/A 44095-2023 artfynd.xlsx", "A 44095-2023")</f>
        <v/>
      </c>
      <c r="X56">
        <f>HYPERLINK("https://klasma.github.io/Logging_1783/kartor/A 44095-2023 karta.png", "A 44095-2023")</f>
        <v/>
      </c>
      <c r="Y56">
        <f>HYPERLINK("https://klasma.github.io/Logging_1783/kartor_geotiff/A 44095-2023 georefererad karta.tif", "A 44095-2023")</f>
        <v/>
      </c>
      <c r="AA56">
        <f>HYPERLINK("https://klasma.github.io/Logging_1783/klagomål/A 44095-2023 FSC-klagomål.docx", "A 44095-2023")</f>
        <v/>
      </c>
      <c r="AB56">
        <f>HYPERLINK("https://klasma.github.io/Logging_1783/klagomålsmail/A 44095-2023 FSC-klagomål mail.docx", "A 44095-2023")</f>
        <v/>
      </c>
      <c r="AC56">
        <f>HYPERLINK("https://klasma.github.io/Logging_1783/tillsyn/A 44095-2023 tillsynsbegäran.docx", "A 44095-2023")</f>
        <v/>
      </c>
      <c r="AD56">
        <f>HYPERLINK("https://klasma.github.io/Logging_1783/tillsynsmail/A 44095-2023 tillsynsbegäran mail.docx", "A 44095-2023")</f>
        <v/>
      </c>
    </row>
    <row r="57" ht="15" customHeight="1">
      <c r="A57" t="inlineStr">
        <is>
          <t>A 51194-2022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46225</v>
      </c>
      <c r="F57" t="inlineStr">
        <is>
          <t>VÄRMLANDS LÄN</t>
        </is>
      </c>
      <c r="G57" t="inlineStr">
        <is>
          <t>HAGFORS</t>
        </is>
      </c>
      <c r="I57" t="n">
        <v>1.6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HYPERLINK("https://klasma.github.io/Logging_1783/artfynd/A 51194-2022 artfynd.xlsx", "A 51194-2022")</f>
        <v/>
      </c>
      <c r="X57">
        <f>HYPERLINK("https://klasma.github.io/Logging_1783/kartor/A 51194-2022 karta.png", "A 51194-2022")</f>
        <v/>
      </c>
      <c r="Y57">
        <f>HYPERLINK("https://klasma.github.io/Logging_1783/kartor_geotiff/A 51194-2022 georefererad karta.tif", "A 51194-2022")</f>
        <v/>
      </c>
      <c r="AA57">
        <f>HYPERLINK("https://klasma.github.io/Logging_1783/klagomål/A 51194-2022 FSC-klagomål.docx", "A 51194-2022")</f>
        <v/>
      </c>
      <c r="AB57">
        <f>HYPERLINK("https://klasma.github.io/Logging_1783/klagomålsmail/A 51194-2022 FSC-klagomål mail.docx", "A 51194-2022")</f>
        <v/>
      </c>
      <c r="AC57">
        <f>HYPERLINK("https://klasma.github.io/Logging_1783/tillsyn/A 51194-2022 tillsynsbegäran.docx", "A 51194-2022")</f>
        <v/>
      </c>
      <c r="AD57">
        <f>HYPERLINK("https://klasma.github.io/Logging_1783/tillsynsmail/A 51194-2022 tillsynsbegäran mail.docx", "A 51194-2022")</f>
        <v/>
      </c>
    </row>
    <row r="58" ht="15" customHeight="1">
      <c r="A58" t="inlineStr">
        <is>
          <t>A 42446-2024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46225</v>
      </c>
      <c r="F58" t="inlineStr">
        <is>
          <t>VÄRMLANDS LÄN</t>
        </is>
      </c>
      <c r="G58" t="inlineStr">
        <is>
          <t>HAGFORS</t>
        </is>
      </c>
      <c r="I58" t="n">
        <v>2.4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Strutbräken</t>
        </is>
      </c>
      <c r="W58">
        <f>HYPERLINK("https://klasma.github.io/Logging_1783/artfynd/A 42446-2024 artfynd.xlsx", "A 42446-2024")</f>
        <v/>
      </c>
      <c r="X58">
        <f>HYPERLINK("https://klasma.github.io/Logging_1783/kartor/A 42446-2024 karta.png", "A 42446-2024")</f>
        <v/>
      </c>
      <c r="Y58">
        <f>HYPERLINK("https://klasma.github.io/Logging_1783/kartor_geotiff/A 42446-2024 georefererad karta.tif", "A 42446-2024")</f>
        <v/>
      </c>
      <c r="AA58">
        <f>HYPERLINK("https://klasma.github.io/Logging_1783/klagomål/A 42446-2024 FSC-klagomål.docx", "A 42446-2024")</f>
        <v/>
      </c>
      <c r="AB58">
        <f>HYPERLINK("https://klasma.github.io/Logging_1783/klagomålsmail/A 42446-2024 FSC-klagomål mail.docx", "A 42446-2024")</f>
        <v/>
      </c>
      <c r="AC58">
        <f>HYPERLINK("https://klasma.github.io/Logging_1783/tillsyn/A 42446-2024 tillsynsbegäran.docx", "A 42446-2024")</f>
        <v/>
      </c>
      <c r="AD58">
        <f>HYPERLINK("https://klasma.github.io/Logging_1783/tillsynsmail/A 42446-2024 tillsynsbegäran mail.docx", "A 42446-2024")</f>
        <v/>
      </c>
    </row>
    <row r="59" ht="15" customHeight="1">
      <c r="A59" t="inlineStr">
        <is>
          <t>A 22484-2025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45786</v>
      </c>
      <c r="E59" s="1" t="n">
        <v>46225</v>
      </c>
      <c r="F59" t="inlineStr">
        <is>
          <t>VÄRMLANDS LÄN</t>
        </is>
      </c>
      <c r="G59" t="inlineStr">
        <is>
          <t>HAGFORS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Rödlånke</t>
        </is>
      </c>
      <c r="W59">
        <f>HYPERLINK("https://klasma.github.io/Logging_1783/artfynd/A 22484-2025 artfynd.xlsx", "A 22484-2025")</f>
        <v/>
      </c>
      <c r="X59">
        <f>HYPERLINK("https://klasma.github.io/Logging_1783/kartor/A 22484-2025 karta.png", "A 22484-2025")</f>
        <v/>
      </c>
      <c r="Y59">
        <f>HYPERLINK("https://klasma.github.io/Logging_1783/kartor_geotiff/A 22484-2025 georefererad karta.tif", "A 22484-2025")</f>
        <v/>
      </c>
      <c r="AA59">
        <f>HYPERLINK("https://klasma.github.io/Logging_1783/klagomål/A 22484-2025 FSC-klagomål.docx", "A 22484-2025")</f>
        <v/>
      </c>
      <c r="AB59">
        <f>HYPERLINK("https://klasma.github.io/Logging_1783/klagomålsmail/A 22484-2025 FSC-klagomål mail.docx", "A 22484-2025")</f>
        <v/>
      </c>
      <c r="AC59">
        <f>HYPERLINK("https://klasma.github.io/Logging_1783/tillsyn/A 22484-2025 tillsynsbegäran.docx", "A 22484-2025")</f>
        <v/>
      </c>
      <c r="AD59">
        <f>HYPERLINK("https://klasma.github.io/Logging_1783/tillsynsmail/A 22484-2025 tillsynsbegäran mail.docx", "A 22484-2025")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46225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HYPERLINK("https://klasma.github.io/Logging_1783/artfynd/S 412-2024 artfynd.xlsx", "S 412-2024")</f>
        <v/>
      </c>
      <c r="X60">
        <f>HYPERLINK("https://klasma.github.io/Logging_1783/kartor/S 412-2024 karta.png", "S 412-2024")</f>
        <v/>
      </c>
      <c r="Y60">
        <f>HYPERLINK("https://klasma.github.io/Logging_1783/kartor_geotiff/S 412-2024 georefererad karta.tif", "S 412-2024")</f>
        <v/>
      </c>
      <c r="AA60">
        <f>HYPERLINK("https://klasma.github.io/Logging_1783/klagomål/S 412-2024 FSC-klagomål.docx", "S 412-2024")</f>
        <v/>
      </c>
      <c r="AB60">
        <f>HYPERLINK("https://klasma.github.io/Logging_1783/klagomålsmail/S 412-2024 FSC-klagomål mail.docx", "S 412-2024")</f>
        <v/>
      </c>
      <c r="AC60">
        <f>HYPERLINK("https://klasma.github.io/Logging_1783/tillsyn/S 412-2024 tillsynsbegäran.docx", "S 412-2024")</f>
        <v/>
      </c>
      <c r="AD60">
        <f>HYPERLINK("https://klasma.github.io/Logging_1783/tillsynsmail/S 412-2024 tillsynsbegäran mail.docx", "S 412-2024")</f>
        <v/>
      </c>
      <c r="AE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46225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Fjällig jordtunga</t>
        </is>
      </c>
      <c r="W61">
        <f>HYPERLINK("https://klasma.github.io/Logging_1783/artfynd/S 4427-2023 artfynd.xlsx", "S 4427-2023")</f>
        <v/>
      </c>
      <c r="X61">
        <f>HYPERLINK("https://klasma.github.io/Logging_1783/kartor/S 4427-2023 karta.png", "S 4427-2023")</f>
        <v/>
      </c>
      <c r="Y61">
        <f>HYPERLINK("https://klasma.github.io/Logging_1783/kartor_geotiff/S 4427-2023 georefererad karta.tif", "S 4427-2023")</f>
        <v/>
      </c>
      <c r="AA61">
        <f>HYPERLINK("https://klasma.github.io/Logging_1783/klagomål/S 4427-2023 FSC-klagomål.docx", "S 4427-2023")</f>
        <v/>
      </c>
      <c r="AB61">
        <f>HYPERLINK("https://klasma.github.io/Logging_1783/klagomålsmail/S 4427-2023 FSC-klagomål mail.docx", "S 4427-2023")</f>
        <v/>
      </c>
      <c r="AC61">
        <f>HYPERLINK("https://klasma.github.io/Logging_1783/tillsyn/S 4427-2023 tillsynsbegäran.docx", "S 4427-2023")</f>
        <v/>
      </c>
      <c r="AD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46225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HYPERLINK("https://klasma.github.io/Logging_1783/artfynd/S 61-2026 artfynd.xlsx", "S 61-2026")</f>
        <v/>
      </c>
      <c r="X62">
        <f>HYPERLINK("https://klasma.github.io/Logging_1783/kartor/S 61-2026 karta.png", "S 61-2026")</f>
        <v/>
      </c>
      <c r="Y62">
        <f>HYPERLINK("https://klasma.github.io/Logging_1783/kartor_geotiff/S 61-2026 georefererad karta.tif", "S 61-2026")</f>
        <v/>
      </c>
      <c r="AA62">
        <f>HYPERLINK("https://klasma.github.io/Logging_1783/klagomål/S 61-2026 FSC-klagomål.docx", "S 61-2026")</f>
        <v/>
      </c>
      <c r="AB62">
        <f>HYPERLINK("https://klasma.github.io/Logging_1783/klagomålsmail/S 61-2026 FSC-klagomål mail.docx", "S 61-2026")</f>
        <v/>
      </c>
      <c r="AC62">
        <f>HYPERLINK("https://klasma.github.io/Logging_1783/tillsyn/S 61-2026 tillsynsbegäran.docx", "S 61-2026")</f>
        <v/>
      </c>
      <c r="AD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46225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44417</v>
      </c>
      <c r="E64" s="1" t="n">
        <v>46225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46225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46225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46225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46225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46225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46225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46225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46225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46225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46225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46225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46225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46225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46225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46225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46225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46225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46225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46225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46225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46225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46225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46225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46225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46225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46225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46225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46225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46225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46225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46225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46225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46225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46225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46225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46225</v>
      </c>
      <c r="F100" t="inlineStr">
        <is>
          <t>VÄRMLANDS LÄN</t>
        </is>
      </c>
      <c r="G100" t="inlineStr">
        <is>
          <t>HAGFORS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44699</v>
      </c>
      <c r="E101" s="1" t="n">
        <v>46225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46225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44582</v>
      </c>
      <c r="E103" s="1" t="n">
        <v>46225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46225</v>
      </c>
      <c r="F104" t="inlineStr">
        <is>
          <t>VÄRMLANDS LÄN</t>
        </is>
      </c>
      <c r="G104" t="inlineStr">
        <is>
          <t>HAGFORS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46225</v>
      </c>
      <c r="F105" t="inlineStr">
        <is>
          <t>VÄRMLANDS LÄN</t>
        </is>
      </c>
      <c r="G105" t="inlineStr">
        <is>
          <t>HAGFORS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46225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46225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46225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46225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46225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46225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46225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46225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44594</v>
      </c>
      <c r="E114" s="1" t="n">
        <v>46225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46225</v>
      </c>
      <c r="F115" t="inlineStr">
        <is>
          <t>VÄRMLANDS LÄN</t>
        </is>
      </c>
      <c r="G115" t="inlineStr">
        <is>
          <t>HAGFORS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46225</v>
      </c>
      <c r="F116" t="inlineStr">
        <is>
          <t>VÄRMLANDS LÄN</t>
        </is>
      </c>
      <c r="G116" t="inlineStr">
        <is>
          <t>HAGFORS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65565-2021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46225</v>
      </c>
      <c r="F117" t="inlineStr">
        <is>
          <t>VÄRMLANDS LÄN</t>
        </is>
      </c>
      <c r="G117" t="inlineStr">
        <is>
          <t>HAGFORS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44678</v>
      </c>
      <c r="E118" s="1" t="n">
        <v>46225</v>
      </c>
      <c r="F118" t="inlineStr">
        <is>
          <t>VÄRMLANDS LÄN</t>
        </is>
      </c>
      <c r="G118" t="inlineStr">
        <is>
          <t>HAGFORS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46225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46225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46225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45621</v>
      </c>
      <c r="E122" s="1" t="n">
        <v>46225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46225</v>
      </c>
      <c r="F123" t="inlineStr">
        <is>
          <t>VÄRMLANDS LÄN</t>
        </is>
      </c>
      <c r="G123" t="inlineStr">
        <is>
          <t>HAGFORS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46225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46225</v>
      </c>
      <c r="F125" t="inlineStr">
        <is>
          <t>VÄRMLANDS LÄN</t>
        </is>
      </c>
      <c r="G125" t="inlineStr">
        <is>
          <t>HAGFORS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46225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45414</v>
      </c>
      <c r="E127" s="1" t="n">
        <v>46225</v>
      </c>
      <c r="F127" t="inlineStr">
        <is>
          <t>VÄRMLANDS LÄN</t>
        </is>
      </c>
      <c r="G127" t="inlineStr">
        <is>
          <t>HAGFORS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17329-2024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45414</v>
      </c>
      <c r="E128" s="1" t="n">
        <v>46225</v>
      </c>
      <c r="F128" t="inlineStr">
        <is>
          <t>VÄRMLANDS LÄN</t>
        </is>
      </c>
      <c r="G128" t="inlineStr">
        <is>
          <t>HAGFORS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46225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46225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45338</v>
      </c>
      <c r="E131" s="1" t="n">
        <v>46225</v>
      </c>
      <c r="F131" t="inlineStr">
        <is>
          <t>VÄRMLANDS LÄN</t>
        </is>
      </c>
      <c r="G131" t="inlineStr">
        <is>
          <t>HAGFORS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44770</v>
      </c>
      <c r="E132" s="1" t="n">
        <v>46225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45203</v>
      </c>
      <c r="E133" s="1" t="n">
        <v>46225</v>
      </c>
      <c r="F133" t="inlineStr">
        <is>
          <t>VÄRMLANDS LÄN</t>
        </is>
      </c>
      <c r="G133" t="inlineStr">
        <is>
          <t>HAGFORS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15538-2024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45401</v>
      </c>
      <c r="E134" s="1" t="n">
        <v>46225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46225</v>
      </c>
      <c r="F135" t="inlineStr">
        <is>
          <t>VÄRMLANDS LÄN</t>
        </is>
      </c>
      <c r="G135" t="inlineStr">
        <is>
          <t>HAGFORS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46225</v>
      </c>
      <c r="F136" t="inlineStr">
        <is>
          <t>VÄRMLANDS LÄN</t>
        </is>
      </c>
      <c r="G136" t="inlineStr">
        <is>
          <t>HAGFORS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46225</v>
      </c>
      <c r="F137" t="inlineStr">
        <is>
          <t>VÄRMLANDS LÄN</t>
        </is>
      </c>
      <c r="G137" t="inlineStr">
        <is>
          <t>HAGFORS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45441</v>
      </c>
      <c r="E138" s="1" t="n">
        <v>46225</v>
      </c>
      <c r="F138" t="inlineStr">
        <is>
          <t>VÄRMLANDS LÄN</t>
        </is>
      </c>
      <c r="G138" t="inlineStr">
        <is>
          <t>HAGFORS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45434</v>
      </c>
      <c r="E139" s="1" t="n">
        <v>46225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46225</v>
      </c>
      <c r="F140" t="inlineStr">
        <is>
          <t>VÄRMLANDS LÄN</t>
        </is>
      </c>
      <c r="G140" t="inlineStr">
        <is>
          <t>HAGFORS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45398</v>
      </c>
      <c r="E141" s="1" t="n">
        <v>46225</v>
      </c>
      <c r="F141" t="inlineStr">
        <is>
          <t>VÄRMLANDS LÄN</t>
        </is>
      </c>
      <c r="G141" t="inlineStr">
        <is>
          <t>HAGFORS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12673-2024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45384</v>
      </c>
      <c r="E142" s="1" t="n">
        <v>46225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46225</v>
      </c>
      <c r="F143" t="inlineStr">
        <is>
          <t>VÄRMLANDS LÄN</t>
        </is>
      </c>
      <c r="G143" t="inlineStr">
        <is>
          <t>HAGFORS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45562</v>
      </c>
      <c r="E144" s="1" t="n">
        <v>46225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44812</v>
      </c>
      <c r="E145" s="1" t="n">
        <v>46225</v>
      </c>
      <c r="F145" t="inlineStr">
        <is>
          <t>VÄRMLANDS LÄN</t>
        </is>
      </c>
      <c r="G145" t="inlineStr">
        <is>
          <t>HAGFORS</t>
        </is>
      </c>
      <c r="H145" t="inlineStr">
        <is>
          <t>Kyrkan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45420</v>
      </c>
      <c r="E146" s="1" t="n">
        <v>46225</v>
      </c>
      <c r="F146" t="inlineStr">
        <is>
          <t>VÄRMLANDS LÄN</t>
        </is>
      </c>
      <c r="G146" t="inlineStr">
        <is>
          <t>HAGFORS</t>
        </is>
      </c>
      <c r="I146" t="n">
        <v>11.5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21867-2024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45443</v>
      </c>
      <c r="E147" s="1" t="n">
        <v>46225</v>
      </c>
      <c r="F147" t="inlineStr">
        <is>
          <t>VÄRMLANDS LÄN</t>
        </is>
      </c>
      <c r="G147" t="inlineStr">
        <is>
          <t>HAGFORS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46225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46225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46225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45527</v>
      </c>
      <c r="E151" s="1" t="n">
        <v>46225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45226</v>
      </c>
      <c r="E152" s="1" t="n">
        <v>46225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35994-2024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46225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60167-2023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45258</v>
      </c>
      <c r="E154" s="1" t="n">
        <v>46225</v>
      </c>
      <c r="F154" t="inlineStr">
        <is>
          <t>VÄRMLANDS LÄN</t>
        </is>
      </c>
      <c r="G154" t="inlineStr">
        <is>
          <t>HAGFORS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36293-2023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45152</v>
      </c>
      <c r="E155" s="1" t="n">
        <v>46225</v>
      </c>
      <c r="F155" t="inlineStr">
        <is>
          <t>VÄRMLANDS LÄN</t>
        </is>
      </c>
      <c r="G155" t="inlineStr">
        <is>
          <t>HAGFORS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46225</v>
      </c>
      <c r="F156" t="inlineStr">
        <is>
          <t>VÄRMLANDS LÄN</t>
        </is>
      </c>
      <c r="G156" t="inlineStr">
        <is>
          <t>HAGFORS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46225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46225</v>
      </c>
      <c r="F158" t="inlineStr">
        <is>
          <t>VÄRMLANDS LÄN</t>
        </is>
      </c>
      <c r="G158" t="inlineStr">
        <is>
          <t>HAGFORS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46225</v>
      </c>
      <c r="F159" t="inlineStr">
        <is>
          <t>VÄRMLANDS LÄN</t>
        </is>
      </c>
      <c r="G159" t="inlineStr">
        <is>
          <t>HAGFORS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46225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46225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46225</v>
      </c>
      <c r="F162" t="inlineStr">
        <is>
          <t>VÄRMLANDS LÄN</t>
        </is>
      </c>
      <c r="G162" t="inlineStr">
        <is>
          <t>HAGFORS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46225</v>
      </c>
      <c r="F163" t="inlineStr">
        <is>
          <t>VÄRMLANDS LÄN</t>
        </is>
      </c>
      <c r="G163" t="inlineStr">
        <is>
          <t>HAGFORS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46225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46225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22.7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46225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48807-2025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45937</v>
      </c>
      <c r="E167" s="1" t="n">
        <v>46225</v>
      </c>
      <c r="F167" t="inlineStr">
        <is>
          <t>VÄRMLANDS LÄN</t>
        </is>
      </c>
      <c r="G167" t="inlineStr">
        <is>
          <t>HAGFORS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975-2026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46030</v>
      </c>
      <c r="E168" s="1" t="n">
        <v>46225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46029</v>
      </c>
      <c r="E169" s="1" t="n">
        <v>46225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20.2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45842</v>
      </c>
      <c r="E170" s="1" t="n">
        <v>46225</v>
      </c>
      <c r="F170" t="inlineStr">
        <is>
          <t>VÄRMLANDS LÄN</t>
        </is>
      </c>
      <c r="G170" t="inlineStr">
        <is>
          <t>HAGFORS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46030</v>
      </c>
      <c r="E171" s="1" t="n">
        <v>46225</v>
      </c>
      <c r="F171" t="inlineStr">
        <is>
          <t>VÄRMLANDS LÄN</t>
        </is>
      </c>
      <c r="G171" t="inlineStr">
        <is>
          <t>HAGFORS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46225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45546</v>
      </c>
      <c r="E173" s="1" t="n">
        <v>46225</v>
      </c>
      <c r="F173" t="inlineStr">
        <is>
          <t>VÄRMLANDS LÄN</t>
        </is>
      </c>
      <c r="G173" t="inlineStr">
        <is>
          <t>HAGFORS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26463-2025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45807</v>
      </c>
      <c r="E174" s="1" t="n">
        <v>46225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45608</v>
      </c>
      <c r="E175" s="1" t="n">
        <v>46225</v>
      </c>
      <c r="F175" t="inlineStr">
        <is>
          <t>VÄRMLANDS LÄN</t>
        </is>
      </c>
      <c r="G175" t="inlineStr">
        <is>
          <t>HAGFORS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46225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26617-2025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45810</v>
      </c>
      <c r="E177" s="1" t="n">
        <v>46225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46225</v>
      </c>
      <c r="F178" t="inlineStr">
        <is>
          <t>VÄRMLANDS LÄN</t>
        </is>
      </c>
      <c r="G178" t="inlineStr">
        <is>
          <t>HAGFORS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46225</v>
      </c>
      <c r="F179" t="inlineStr">
        <is>
          <t>VÄRMLANDS LÄN</t>
        </is>
      </c>
      <c r="G179" t="inlineStr">
        <is>
          <t>HAGFORS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46225</v>
      </c>
      <c r="F180" t="inlineStr">
        <is>
          <t>VÄRMLANDS LÄN</t>
        </is>
      </c>
      <c r="G180" t="inlineStr">
        <is>
          <t>HAGFORS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45812</v>
      </c>
      <c r="E181" s="1" t="n">
        <v>46225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46225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46225</v>
      </c>
      <c r="F183" t="inlineStr">
        <is>
          <t>VÄRMLANDS LÄN</t>
        </is>
      </c>
      <c r="G183" t="inlineStr">
        <is>
          <t>HAGFORS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61169-2024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45645</v>
      </c>
      <c r="E184" s="1" t="n">
        <v>46225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46225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46225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46225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46225</v>
      </c>
      <c r="F188" t="inlineStr">
        <is>
          <t>VÄRMLANDS LÄN</t>
        </is>
      </c>
      <c r="G188" t="inlineStr">
        <is>
          <t>HAGFORS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45575</v>
      </c>
      <c r="E189" s="1" t="n">
        <v>46225</v>
      </c>
      <c r="F189" t="inlineStr">
        <is>
          <t>VÄRMLANDS LÄN</t>
        </is>
      </c>
      <c r="G189" t="inlineStr">
        <is>
          <t>HAGFORS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46225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40843-2021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44421</v>
      </c>
      <c r="E191" s="1" t="n">
        <v>46225</v>
      </c>
      <c r="F191" t="inlineStr">
        <is>
          <t>VÄRMLANDS LÄN</t>
        </is>
      </c>
      <c r="G191" t="inlineStr">
        <is>
          <t>HAGFORS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46225</v>
      </c>
      <c r="F192" t="inlineStr">
        <is>
          <t>VÄRMLANDS LÄN</t>
        </is>
      </c>
      <c r="G192" t="inlineStr">
        <is>
          <t>HAGFORS</t>
        </is>
      </c>
      <c r="H192" t="inlineStr">
        <is>
          <t>Kyrkan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46225</v>
      </c>
      <c r="F193" t="inlineStr">
        <is>
          <t>VÄRMLANDS LÄN</t>
        </is>
      </c>
      <c r="G193" t="inlineStr">
        <is>
          <t>HAGFORS</t>
        </is>
      </c>
      <c r="I193" t="n">
        <v>13.1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46048</v>
      </c>
      <c r="E194" s="1" t="n">
        <v>46225</v>
      </c>
      <c r="F194" t="inlineStr">
        <is>
          <t>VÄRMLANDS LÄN</t>
        </is>
      </c>
      <c r="G194" t="inlineStr">
        <is>
          <t>HAGFORS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46050</v>
      </c>
      <c r="E195" s="1" t="n">
        <v>46225</v>
      </c>
      <c r="F195" t="inlineStr">
        <is>
          <t>VÄRMLANDS LÄN</t>
        </is>
      </c>
      <c r="G195" t="inlineStr">
        <is>
          <t>HAGFORS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46225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46225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46225</v>
      </c>
      <c r="F198" t="inlineStr">
        <is>
          <t>VÄRMLANDS LÄN</t>
        </is>
      </c>
      <c r="G198" t="inlineStr">
        <is>
          <t>HAGFORS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46225</v>
      </c>
      <c r="F199" t="inlineStr">
        <is>
          <t>VÄRMLANDS LÄN</t>
        </is>
      </c>
      <c r="G199" t="inlineStr">
        <is>
          <t>HAGFORS</t>
        </is>
      </c>
      <c r="H199" t="inlineStr">
        <is>
          <t>Kyrkan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46225</v>
      </c>
      <c r="F200" t="inlineStr">
        <is>
          <t>VÄRMLANDS LÄN</t>
        </is>
      </c>
      <c r="G200" t="inlineStr">
        <is>
          <t>HAGFORS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46225</v>
      </c>
      <c r="F201" t="inlineStr">
        <is>
          <t>VÄRMLANDS LÄN</t>
        </is>
      </c>
      <c r="G201" t="inlineStr">
        <is>
          <t>HAGFORS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46225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45821</v>
      </c>
      <c r="E203" s="1" t="n">
        <v>46225</v>
      </c>
      <c r="F203" t="inlineStr">
        <is>
          <t>VÄRMLANDS LÄN</t>
        </is>
      </c>
      <c r="G203" t="inlineStr">
        <is>
          <t>HAGFORS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46050</v>
      </c>
      <c r="E204" s="1" t="n">
        <v>46225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46050</v>
      </c>
      <c r="E205" s="1" t="n">
        <v>46225</v>
      </c>
      <c r="F205" t="inlineStr">
        <is>
          <t>VÄRMLANDS LÄN</t>
        </is>
      </c>
      <c r="G205" t="inlineStr">
        <is>
          <t>HAGFORS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46225</v>
      </c>
      <c r="F206" t="inlineStr">
        <is>
          <t>VÄRMLANDS LÄN</t>
        </is>
      </c>
      <c r="G206" t="inlineStr">
        <is>
          <t>HAGFORS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46225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46225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46052</v>
      </c>
      <c r="E209" s="1" t="n">
        <v>46225</v>
      </c>
      <c r="F209" t="inlineStr">
        <is>
          <t>VÄRMLANDS LÄN</t>
        </is>
      </c>
      <c r="G209" t="inlineStr">
        <is>
          <t>HAGFORS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46225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46225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46225</v>
      </c>
      <c r="F212" t="inlineStr">
        <is>
          <t>VÄRMLANDS LÄN</t>
        </is>
      </c>
      <c r="G212" t="inlineStr">
        <is>
          <t>HAGFORS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45729</v>
      </c>
      <c r="E213" s="1" t="n">
        <v>46225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46225</v>
      </c>
      <c r="F214" t="inlineStr">
        <is>
          <t>VÄRMLANDS LÄN</t>
        </is>
      </c>
      <c r="G214" t="inlineStr">
        <is>
          <t>HAGFORS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46225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45739</v>
      </c>
      <c r="E216" s="1" t="n">
        <v>46225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46225</v>
      </c>
      <c r="F217" t="inlineStr">
        <is>
          <t>VÄRMLANDS LÄN</t>
        </is>
      </c>
      <c r="G217" t="inlineStr">
        <is>
          <t>HAGFORS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46225</v>
      </c>
      <c r="F218" t="inlineStr">
        <is>
          <t>VÄRMLANDS LÄN</t>
        </is>
      </c>
      <c r="G218" t="inlineStr">
        <is>
          <t>HAGFORS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46225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41739-2025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45902</v>
      </c>
      <c r="E220" s="1" t="n">
        <v>46225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41809-2025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46225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46225</v>
      </c>
      <c r="F222" t="inlineStr">
        <is>
          <t>VÄRMLANDS LÄN</t>
        </is>
      </c>
      <c r="G222" t="inlineStr">
        <is>
          <t>HAGFORS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41784-2025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45902</v>
      </c>
      <c r="E223" s="1" t="n">
        <v>46225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46225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46225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46225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45835</v>
      </c>
      <c r="E227" s="1" t="n">
        <v>46225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46225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19.2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46225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46225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46225</v>
      </c>
      <c r="F231" t="inlineStr">
        <is>
          <t>VÄRMLANDS LÄN</t>
        </is>
      </c>
      <c r="G231" t="inlineStr">
        <is>
          <t>HAGFORS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46225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46065</v>
      </c>
      <c r="E233" s="1" t="n">
        <v>46225</v>
      </c>
      <c r="F233" t="inlineStr">
        <is>
          <t>VÄRMLANDS LÄN</t>
        </is>
      </c>
      <c r="G233" t="inlineStr">
        <is>
          <t>HAGFORS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46225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33440-2025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45841</v>
      </c>
      <c r="E235" s="1" t="n">
        <v>46225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71447-2021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44540</v>
      </c>
      <c r="E236" s="1" t="n">
        <v>46225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46225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45790</v>
      </c>
      <c r="E238" s="1" t="n">
        <v>46225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46225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46072</v>
      </c>
      <c r="E240" s="1" t="n">
        <v>46225</v>
      </c>
      <c r="F240" t="inlineStr">
        <is>
          <t>VÄRMLANDS LÄN</t>
        </is>
      </c>
      <c r="G240" t="inlineStr">
        <is>
          <t>HAGFORS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45845</v>
      </c>
      <c r="E241" s="1" t="n">
        <v>46225</v>
      </c>
      <c r="F241" t="inlineStr">
        <is>
          <t>VÄRMLANDS LÄN</t>
        </is>
      </c>
      <c r="G241" t="inlineStr">
        <is>
          <t>HAGFORS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46225</v>
      </c>
      <c r="F242" t="inlineStr">
        <is>
          <t>VÄRMLANDS LÄN</t>
        </is>
      </c>
      <c r="G242" t="inlineStr">
        <is>
          <t>HAGFORS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46225</v>
      </c>
      <c r="F243" t="inlineStr">
        <is>
          <t>VÄRMLANDS LÄN</t>
        </is>
      </c>
      <c r="G243" t="inlineStr">
        <is>
          <t>HAGFORS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46072</v>
      </c>
      <c r="E244" s="1" t="n">
        <v>46225</v>
      </c>
      <c r="F244" t="inlineStr">
        <is>
          <t>VÄRMLANDS LÄN</t>
        </is>
      </c>
      <c r="G244" t="inlineStr">
        <is>
          <t>HAGFORS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45784</v>
      </c>
      <c r="E245" s="1" t="n">
        <v>46225</v>
      </c>
      <c r="F245" t="inlineStr">
        <is>
          <t>VÄRMLANDS LÄN</t>
        </is>
      </c>
      <c r="G245" t="inlineStr">
        <is>
          <t>HAGFORS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46225</v>
      </c>
      <c r="F246" t="inlineStr">
        <is>
          <t>VÄRMLANDS LÄN</t>
        </is>
      </c>
      <c r="G246" t="inlineStr">
        <is>
          <t>HAGFORS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46225</v>
      </c>
      <c r="F247" t="inlineStr">
        <is>
          <t>VÄRMLANDS LÄN</t>
        </is>
      </c>
      <c r="G247" t="inlineStr">
        <is>
          <t>HAGFORS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46225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46225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46225</v>
      </c>
      <c r="F250" t="inlineStr">
        <is>
          <t>VÄRMLANDS LÄN</t>
        </is>
      </c>
      <c r="G250" t="inlineStr">
        <is>
          <t>HAGFORS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46225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46225</v>
      </c>
      <c r="F252" t="inlineStr">
        <is>
          <t>VÄRMLANDS LÄN</t>
        </is>
      </c>
      <c r="G252" t="inlineStr">
        <is>
          <t>HAGFORS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46225</v>
      </c>
      <c r="F253" t="inlineStr">
        <is>
          <t>VÄRMLANDS LÄN</t>
        </is>
      </c>
      <c r="G253" t="inlineStr">
        <is>
          <t>HAGFORS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46225</v>
      </c>
      <c r="F254" t="inlineStr">
        <is>
          <t>VÄRMLANDS LÄN</t>
        </is>
      </c>
      <c r="G254" t="inlineStr">
        <is>
          <t>HAGFORS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35289-2025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45854</v>
      </c>
      <c r="E255" s="1" t="n">
        <v>46225</v>
      </c>
      <c r="F255" t="inlineStr">
        <is>
          <t>VÄRMLANDS LÄN</t>
        </is>
      </c>
      <c r="G255" t="inlineStr">
        <is>
          <t>HAGFORS</t>
        </is>
      </c>
      <c r="H255" t="inlineStr">
        <is>
          <t>Kyrkan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45854</v>
      </c>
      <c r="E256" s="1" t="n">
        <v>46225</v>
      </c>
      <c r="F256" t="inlineStr">
        <is>
          <t>VÄRMLANDS LÄN</t>
        </is>
      </c>
      <c r="G256" t="inlineStr">
        <is>
          <t>HAGFORS</t>
        </is>
      </c>
      <c r="H256" t="inlineStr">
        <is>
          <t>Kyrkan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35212-2025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45853</v>
      </c>
      <c r="E257" s="1" t="n">
        <v>46225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45793</v>
      </c>
      <c r="E258" s="1" t="n">
        <v>46225</v>
      </c>
      <c r="F258" t="inlineStr">
        <is>
          <t>VÄRMLANDS LÄN</t>
        </is>
      </c>
      <c r="G258" t="inlineStr">
        <is>
          <t>HAGFORS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62497-2022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44924</v>
      </c>
      <c r="E259" s="1" t="n">
        <v>46225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45632</v>
      </c>
      <c r="E260" s="1" t="n">
        <v>46225</v>
      </c>
      <c r="F260" t="inlineStr">
        <is>
          <t>VÄRMLANDS LÄN</t>
        </is>
      </c>
      <c r="G260" t="inlineStr">
        <is>
          <t>HAGFORS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58132-2024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45632</v>
      </c>
      <c r="E261" s="1" t="n">
        <v>46225</v>
      </c>
      <c r="F261" t="inlineStr">
        <is>
          <t>VÄRMLANDS LÄN</t>
        </is>
      </c>
      <c r="G261" t="inlineStr">
        <is>
          <t>HAGFORS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46225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46225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46225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8.199999999999999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46087</v>
      </c>
      <c r="E265" s="1" t="n">
        <v>46225</v>
      </c>
      <c r="F265" t="inlineStr">
        <is>
          <t>VÄRMLANDS LÄN</t>
        </is>
      </c>
      <c r="G265" t="inlineStr">
        <is>
          <t>HAGFORS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45927</v>
      </c>
      <c r="E266" s="1" t="n">
        <v>46225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46225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45927</v>
      </c>
      <c r="E268" s="1" t="n">
        <v>46225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36039-2025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45865</v>
      </c>
      <c r="E269" s="1" t="n">
        <v>46225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11.9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46838-2025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45928</v>
      </c>
      <c r="E270" s="1" t="n">
        <v>46225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13.8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46225</v>
      </c>
      <c r="F271" t="inlineStr">
        <is>
          <t>VÄRMLANDS LÄN</t>
        </is>
      </c>
      <c r="G271" t="inlineStr">
        <is>
          <t>HAGFORS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46225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46225</v>
      </c>
      <c r="F273" t="inlineStr">
        <is>
          <t>VÄRMLANDS LÄN</t>
        </is>
      </c>
      <c r="G273" t="inlineStr">
        <is>
          <t>HAGFORS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48042-2025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46225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46225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46225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46225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46225</v>
      </c>
      <c r="F278" t="inlineStr">
        <is>
          <t>VÄRMLANDS LÄN</t>
        </is>
      </c>
      <c r="G278" t="inlineStr">
        <is>
          <t>HAGFORS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46225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46225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46225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46225</v>
      </c>
      <c r="F282" t="inlineStr">
        <is>
          <t>VÄRMLANDS LÄN</t>
        </is>
      </c>
      <c r="G282" t="inlineStr">
        <is>
          <t>HAGFORS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46225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13466-2026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46225</v>
      </c>
      <c r="F284" t="inlineStr">
        <is>
          <t>VÄRMLANDS LÄN</t>
        </is>
      </c>
      <c r="G284" t="inlineStr">
        <is>
          <t>HAGFORS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46225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46225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46225</v>
      </c>
      <c r="F287" t="inlineStr">
        <is>
          <t>VÄRMLANDS LÄN</t>
        </is>
      </c>
      <c r="G287" t="inlineStr">
        <is>
          <t>HAGFORS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46225</v>
      </c>
      <c r="F288" t="inlineStr">
        <is>
          <t>VÄRMLANDS LÄN</t>
        </is>
      </c>
      <c r="G288" t="inlineStr">
        <is>
          <t>HAGFORS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46225</v>
      </c>
      <c r="F289" t="inlineStr">
        <is>
          <t>VÄRMLANDS LÄN</t>
        </is>
      </c>
      <c r="G289" t="inlineStr">
        <is>
          <t>HAGFORS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46098</v>
      </c>
      <c r="E290" s="1" t="n">
        <v>46225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48809-2025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46225</v>
      </c>
      <c r="F291" t="inlineStr">
        <is>
          <t>VÄRMLANDS LÄN</t>
        </is>
      </c>
      <c r="G291" t="inlineStr">
        <is>
          <t>HAGFORS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13987-2026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46098</v>
      </c>
      <c r="E292" s="1" t="n">
        <v>46225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45356</v>
      </c>
      <c r="E293" s="1" t="n">
        <v>46225</v>
      </c>
      <c r="F293" t="inlineStr">
        <is>
          <t>VÄRMLANDS LÄN</t>
        </is>
      </c>
      <c r="G293" t="inlineStr">
        <is>
          <t>HAGFORS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43558-2024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45569</v>
      </c>
      <c r="E294" s="1" t="n">
        <v>46225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14288-2026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46225</v>
      </c>
      <c r="F295" t="inlineStr">
        <is>
          <t>VÄRMLANDS LÄN</t>
        </is>
      </c>
      <c r="G295" t="inlineStr">
        <is>
          <t>HAGFORS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46098</v>
      </c>
      <c r="E296" s="1" t="n">
        <v>46225</v>
      </c>
      <c r="F296" t="inlineStr">
        <is>
          <t>VÄRMLANDS LÄN</t>
        </is>
      </c>
      <c r="G296" t="inlineStr">
        <is>
          <t>HAGFORS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46225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46225</v>
      </c>
      <c r="F298" t="inlineStr">
        <is>
          <t>VÄRMLANDS LÄN</t>
        </is>
      </c>
      <c r="G298" t="inlineStr">
        <is>
          <t>HAGFORS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14574-2026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46225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46225</v>
      </c>
      <c r="F300" t="inlineStr">
        <is>
          <t>VÄRMLANDS LÄN</t>
        </is>
      </c>
      <c r="G300" t="inlineStr">
        <is>
          <t>HAGFORS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46225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17.2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45941</v>
      </c>
      <c r="E302" s="1" t="n">
        <v>46225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45946</v>
      </c>
      <c r="E303" s="1" t="n">
        <v>46225</v>
      </c>
      <c r="F303" t="inlineStr">
        <is>
          <t>VÄRMLANDS LÄN</t>
        </is>
      </c>
      <c r="G303" t="inlineStr">
        <is>
          <t>HAGFORS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46225</v>
      </c>
      <c r="F304" t="inlineStr">
        <is>
          <t>VÄRMLANDS LÄN</t>
        </is>
      </c>
      <c r="G304" t="inlineStr">
        <is>
          <t>HAGFORS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45812</v>
      </c>
      <c r="E305" s="1" t="n">
        <v>46225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45148</v>
      </c>
      <c r="E306" s="1" t="n">
        <v>46225</v>
      </c>
      <c r="F306" t="inlineStr">
        <is>
          <t>VÄRMLANDS LÄN</t>
        </is>
      </c>
      <c r="G306" t="inlineStr">
        <is>
          <t>HAGFORS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15213-2026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46225</v>
      </c>
      <c r="F307" t="inlineStr">
        <is>
          <t>VÄRMLANDS LÄN</t>
        </is>
      </c>
      <c r="G307" t="inlineStr">
        <is>
          <t>HAGFORS</t>
        </is>
      </c>
      <c r="H307" t="inlineStr">
        <is>
          <t>Kyrkan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46104</v>
      </c>
      <c r="E308" s="1" t="n">
        <v>46225</v>
      </c>
      <c r="F308" t="inlineStr">
        <is>
          <t>VÄRMLANDS LÄN</t>
        </is>
      </c>
      <c r="G308" t="inlineStr">
        <is>
          <t>HAGFORS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15656-2026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46225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46225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46225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10.4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46225</v>
      </c>
      <c r="F312" t="inlineStr">
        <is>
          <t>VÄRMLANDS LÄN</t>
        </is>
      </c>
      <c r="G312" t="inlineStr">
        <is>
          <t>HAGFORS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46225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45475</v>
      </c>
      <c r="E314" s="1" t="n">
        <v>46225</v>
      </c>
      <c r="F314" t="inlineStr">
        <is>
          <t>VÄRMLANDS LÄN</t>
        </is>
      </c>
      <c r="G314" t="inlineStr">
        <is>
          <t>HAGFORS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46225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45947</v>
      </c>
      <c r="E316" s="1" t="n">
        <v>46225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45947</v>
      </c>
      <c r="E317" s="1" t="n">
        <v>46225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9.300000000000001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46225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3149-2022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44582</v>
      </c>
      <c r="E319" s="1" t="n">
        <v>46225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16284-2026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46225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51273-2025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45949</v>
      </c>
      <c r="E321" s="1" t="n">
        <v>46225</v>
      </c>
      <c r="F321" t="inlineStr">
        <is>
          <t>VÄRMLANDS LÄN</t>
        </is>
      </c>
      <c r="G321" t="inlineStr">
        <is>
          <t>HAGFORS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46225</v>
      </c>
      <c r="F322" t="inlineStr">
        <is>
          <t>VÄRMLANDS LÄN</t>
        </is>
      </c>
      <c r="G322" t="inlineStr">
        <is>
          <t>HAGFORS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46108</v>
      </c>
      <c r="E323" s="1" t="n">
        <v>46225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46225</v>
      </c>
      <c r="F324" t="inlineStr">
        <is>
          <t>VÄRMLANDS LÄN</t>
        </is>
      </c>
      <c r="G324" t="inlineStr">
        <is>
          <t>HAGFORS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16003-2026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46108</v>
      </c>
      <c r="E325" s="1" t="n">
        <v>46225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52479-2025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45954</v>
      </c>
      <c r="E326" s="1" t="n">
        <v>46225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46225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15587-2026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46225</v>
      </c>
      <c r="F328" t="inlineStr">
        <is>
          <t>VÄRMLANDS LÄN</t>
        </is>
      </c>
      <c r="G328" t="inlineStr">
        <is>
          <t>HAGFORS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46225</v>
      </c>
      <c r="F329" t="inlineStr">
        <is>
          <t>VÄRMLANDS LÄN</t>
        </is>
      </c>
      <c r="G329" t="inlineStr">
        <is>
          <t>HAGFORS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46225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19583-2023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45050</v>
      </c>
      <c r="E331" s="1" t="n">
        <v>46225</v>
      </c>
      <c r="F331" t="inlineStr">
        <is>
          <t>VÄRMLANDS LÄN</t>
        </is>
      </c>
      <c r="G331" t="inlineStr">
        <is>
          <t>HAGFORS</t>
        </is>
      </c>
      <c r="H331" t="inlineStr">
        <is>
          <t>Kommuner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16977-2026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46225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53620-2025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46225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46225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46225</v>
      </c>
      <c r="F335" t="inlineStr">
        <is>
          <t>VÄRMLANDS LÄN</t>
        </is>
      </c>
      <c r="G335" t="inlineStr">
        <is>
          <t>HAGFORS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46122</v>
      </c>
      <c r="E336" s="1" t="n">
        <v>46225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46122</v>
      </c>
      <c r="E337" s="1" t="n">
        <v>46225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46225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54001-2025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46225</v>
      </c>
      <c r="F339" t="inlineStr">
        <is>
          <t>VÄRMLANDS LÄN</t>
        </is>
      </c>
      <c r="G339" t="inlineStr">
        <is>
          <t>HAGFORS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18217-2026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46225</v>
      </c>
      <c r="F340" t="inlineStr">
        <is>
          <t>VÄRMLANDS LÄN</t>
        </is>
      </c>
      <c r="G340" t="inlineStr">
        <is>
          <t>HAGFORS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46225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18528-2026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46225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14.1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45966</v>
      </c>
      <c r="E343" s="1" t="n">
        <v>46225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46225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46225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45968</v>
      </c>
      <c r="E346" s="1" t="n">
        <v>46225</v>
      </c>
      <c r="F346" t="inlineStr">
        <is>
          <t>VÄRMLANDS LÄN</t>
        </is>
      </c>
      <c r="G346" t="inlineStr">
        <is>
          <t>HAGFORS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45967</v>
      </c>
      <c r="E347" s="1" t="n">
        <v>46225</v>
      </c>
      <c r="F347" t="inlineStr">
        <is>
          <t>VÄRMLANDS LÄN</t>
        </is>
      </c>
      <c r="G347" t="inlineStr">
        <is>
          <t>HAGFORS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18901-2026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46129</v>
      </c>
      <c r="E348" s="1" t="n">
        <v>46225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18854-2026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46129</v>
      </c>
      <c r="E349" s="1" t="n">
        <v>46225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55480-2025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46225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18895-2026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46129</v>
      </c>
      <c r="E351" s="1" t="n">
        <v>46225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46225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46225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19339-2026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46225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44938</v>
      </c>
      <c r="E355" s="1" t="n">
        <v>46225</v>
      </c>
      <c r="F355" t="inlineStr">
        <is>
          <t>VÄRMLANDS LÄN</t>
        </is>
      </c>
      <c r="G355" t="inlineStr">
        <is>
          <t>HAGFORS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46225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19459-2026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46225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46225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45212</v>
      </c>
      <c r="E359" s="1" t="n">
        <v>46225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46225</v>
      </c>
      <c r="F360" t="inlineStr">
        <is>
          <t>VÄRMLANDS LÄN</t>
        </is>
      </c>
      <c r="G360" t="inlineStr">
        <is>
          <t>HAGFORS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46133</v>
      </c>
      <c r="E361" s="1" t="n">
        <v>46225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19530-2026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46134</v>
      </c>
      <c r="E362" s="1" t="n">
        <v>46225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42170-2024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46225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46133</v>
      </c>
      <c r="E364" s="1" t="n">
        <v>46225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45562</v>
      </c>
      <c r="E365" s="1" t="n">
        <v>46225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42243-2024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45562</v>
      </c>
      <c r="E366" s="1" t="n">
        <v>46225</v>
      </c>
      <c r="F366" t="inlineStr">
        <is>
          <t>VÄRMLANDS LÄN</t>
        </is>
      </c>
      <c r="G366" t="inlineStr">
        <is>
          <t>HAGFORS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46225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30520-2024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45492</v>
      </c>
      <c r="E368" s="1" t="n">
        <v>46225</v>
      </c>
      <c r="F368" t="inlineStr">
        <is>
          <t>VÄRMLANDS LÄN</t>
        </is>
      </c>
      <c r="G368" t="inlineStr">
        <is>
          <t>HAGFORS</t>
        </is>
      </c>
      <c r="H368" t="inlineStr">
        <is>
          <t>Kyrkan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56714-2025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46225</v>
      </c>
      <c r="F369" t="inlineStr">
        <is>
          <t>VÄRMLANDS LÄN</t>
        </is>
      </c>
      <c r="G369" t="inlineStr">
        <is>
          <t>HAGFORS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45975</v>
      </c>
      <c r="E370" s="1" t="n">
        <v>46225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46225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46225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28571-2025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45819</v>
      </c>
      <c r="E373" s="1" t="n">
        <v>46225</v>
      </c>
      <c r="F373" t="inlineStr">
        <is>
          <t>VÄRMLANDS LÄN</t>
        </is>
      </c>
      <c r="G373" t="inlineStr">
        <is>
          <t>HAGFORS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57462-2025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45980</v>
      </c>
      <c r="E374" s="1" t="n">
        <v>46225</v>
      </c>
      <c r="F374" t="inlineStr">
        <is>
          <t>VÄRMLANDS LÄN</t>
        </is>
      </c>
      <c r="G374" t="inlineStr">
        <is>
          <t>HAGFORS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46225</v>
      </c>
      <c r="F375" t="inlineStr">
        <is>
          <t>VÄRMLANDS LÄN</t>
        </is>
      </c>
      <c r="G375" t="inlineStr">
        <is>
          <t>HAGFORS</t>
        </is>
      </c>
      <c r="H375" t="inlineStr">
        <is>
          <t>Kyrkan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57198-2025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45979</v>
      </c>
      <c r="E376" s="1" t="n">
        <v>46225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28594-2023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45103</v>
      </c>
      <c r="E377" s="1" t="n">
        <v>46225</v>
      </c>
      <c r="F377" t="inlineStr">
        <is>
          <t>VÄRMLANDS LÄN</t>
        </is>
      </c>
      <c r="G377" t="inlineStr">
        <is>
          <t>HAGFORS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53443-2024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45614</v>
      </c>
      <c r="E378" s="1" t="n">
        <v>46225</v>
      </c>
      <c r="F378" t="inlineStr">
        <is>
          <t>VÄRMLANDS LÄN</t>
        </is>
      </c>
      <c r="G378" t="inlineStr">
        <is>
          <t>HAGFORS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57814-2025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46225</v>
      </c>
      <c r="F379" t="inlineStr">
        <is>
          <t>VÄRMLANDS LÄN</t>
        </is>
      </c>
      <c r="G379" t="inlineStr">
        <is>
          <t>HAGFORS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45838</v>
      </c>
      <c r="E380" s="1" t="n">
        <v>46225</v>
      </c>
      <c r="F380" t="inlineStr">
        <is>
          <t>VÄRMLANDS LÄN</t>
        </is>
      </c>
      <c r="G380" t="inlineStr">
        <is>
          <t>HAGFORS</t>
        </is>
      </c>
      <c r="H380" t="inlineStr">
        <is>
          <t>Kyrkan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16824-2023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45033</v>
      </c>
      <c r="E381" s="1" t="n">
        <v>46225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45684</v>
      </c>
      <c r="E382" s="1" t="n">
        <v>46225</v>
      </c>
      <c r="F382" t="inlineStr">
        <is>
          <t>VÄRMLANDS LÄN</t>
        </is>
      </c>
      <c r="G382" t="inlineStr">
        <is>
          <t>HAGFORS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46225</v>
      </c>
      <c r="F383" t="inlineStr">
        <is>
          <t>VÄRMLANDS LÄN</t>
        </is>
      </c>
      <c r="G383" t="inlineStr">
        <is>
          <t>HAGFORS</t>
        </is>
      </c>
      <c r="H383" t="inlineStr">
        <is>
          <t>Kyrkan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54757-2022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44883</v>
      </c>
      <c r="E384" s="1" t="n">
        <v>46225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59047-2025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45988</v>
      </c>
      <c r="E385" s="1" t="n">
        <v>46225</v>
      </c>
      <c r="F385" t="inlineStr">
        <is>
          <t>VÄRMLANDS LÄN</t>
        </is>
      </c>
      <c r="G385" t="inlineStr">
        <is>
          <t>HAGFORS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18170-2024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45420</v>
      </c>
      <c r="E386" s="1" t="n">
        <v>46225</v>
      </c>
      <c r="F386" t="inlineStr">
        <is>
          <t>VÄRMLANDS LÄN</t>
        </is>
      </c>
      <c r="G386" t="inlineStr">
        <is>
          <t>HAGFORS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27410-2023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45097</v>
      </c>
      <c r="E387" s="1" t="n">
        <v>46225</v>
      </c>
      <c r="F387" t="inlineStr">
        <is>
          <t>VÄRMLANDS LÄN</t>
        </is>
      </c>
      <c r="G387" t="inlineStr">
        <is>
          <t>HAGFORS</t>
        </is>
      </c>
      <c r="H387" t="inlineStr">
        <is>
          <t>Kyrkan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47021-2023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45201</v>
      </c>
      <c r="E388" s="1" t="n">
        <v>46225</v>
      </c>
      <c r="F388" t="inlineStr">
        <is>
          <t>VÄRMLANDS LÄN</t>
        </is>
      </c>
      <c r="G388" t="inlineStr">
        <is>
          <t>HAGFORS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47027-2023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45201</v>
      </c>
      <c r="E389" s="1" t="n">
        <v>46225</v>
      </c>
      <c r="F389" t="inlineStr">
        <is>
          <t>VÄRMLANDS LÄN</t>
        </is>
      </c>
      <c r="G389" t="inlineStr">
        <is>
          <t>HAGFORS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47033-2023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45201</v>
      </c>
      <c r="E390" s="1" t="n">
        <v>46225</v>
      </c>
      <c r="F390" t="inlineStr">
        <is>
          <t>VÄRMLANDS LÄN</t>
        </is>
      </c>
      <c r="G390" t="inlineStr">
        <is>
          <t>HAGFORS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45833</v>
      </c>
      <c r="E391" s="1" t="n">
        <v>46225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59642-2025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46225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18.8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45783</v>
      </c>
      <c r="E393" s="1" t="n">
        <v>46225</v>
      </c>
      <c r="F393" t="inlineStr">
        <is>
          <t>VÄRMLANDS LÄN</t>
        </is>
      </c>
      <c r="G393" t="inlineStr">
        <is>
          <t>HAGFORS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46136</v>
      </c>
      <c r="E394" s="1" t="n">
        <v>46225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22346-2025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45786</v>
      </c>
      <c r="E395" s="1" t="n">
        <v>46225</v>
      </c>
      <c r="F395" t="inlineStr">
        <is>
          <t>VÄRMLANDS LÄN</t>
        </is>
      </c>
      <c r="G395" t="inlineStr">
        <is>
          <t>HAGFORS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33187-2025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45840</v>
      </c>
      <c r="E396" s="1" t="n">
        <v>46225</v>
      </c>
      <c r="F396" t="inlineStr">
        <is>
          <t>VÄRMLANDS LÄN</t>
        </is>
      </c>
      <c r="G396" t="inlineStr">
        <is>
          <t>HAGFORS</t>
        </is>
      </c>
      <c r="I396" t="n">
        <v>18.2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12426-2024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45379</v>
      </c>
      <c r="E397" s="1" t="n">
        <v>46225</v>
      </c>
      <c r="F397" t="inlineStr">
        <is>
          <t>VÄRMLANDS LÄN</t>
        </is>
      </c>
      <c r="G397" t="inlineStr">
        <is>
          <t>HAGFORS</t>
        </is>
      </c>
      <c r="I397" t="n">
        <v>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23047-2024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45450</v>
      </c>
      <c r="E398" s="1" t="n">
        <v>46225</v>
      </c>
      <c r="F398" t="inlineStr">
        <is>
          <t>VÄRMLANDS LÄN</t>
        </is>
      </c>
      <c r="G398" t="inlineStr">
        <is>
          <t>HAGFORS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45996</v>
      </c>
      <c r="E399" s="1" t="n">
        <v>46225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60648-2025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45996</v>
      </c>
      <c r="E400" s="1" t="n">
        <v>46225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45847</v>
      </c>
      <c r="E401" s="1" t="n">
        <v>46225</v>
      </c>
      <c r="F401" t="inlineStr">
        <is>
          <t>VÄRMLANDS LÄN</t>
        </is>
      </c>
      <c r="G401" t="inlineStr">
        <is>
          <t>HAGFORS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60841-2025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46225</v>
      </c>
      <c r="F402" t="inlineStr">
        <is>
          <t>VÄRMLANDS LÄN</t>
        </is>
      </c>
      <c r="G402" t="inlineStr">
        <is>
          <t>HAGFORS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63868-2025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46020</v>
      </c>
      <c r="E403" s="1" t="n">
        <v>46225</v>
      </c>
      <c r="F403" t="inlineStr">
        <is>
          <t>VÄRMLANDS LÄN</t>
        </is>
      </c>
      <c r="G403" t="inlineStr">
        <is>
          <t>HAGFORS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45484</v>
      </c>
      <c r="E404" s="1" t="n">
        <v>46225</v>
      </c>
      <c r="F404" t="inlineStr">
        <is>
          <t>VÄRMLANDS LÄN</t>
        </is>
      </c>
      <c r="G404" t="inlineStr">
        <is>
          <t>HAGFORS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46139</v>
      </c>
      <c r="E405" s="1" t="n">
        <v>46225</v>
      </c>
      <c r="F405" t="inlineStr">
        <is>
          <t>VÄRMLANDS LÄN</t>
        </is>
      </c>
      <c r="G405" t="inlineStr">
        <is>
          <t>HAGFORS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46225</v>
      </c>
      <c r="F406" t="inlineStr">
        <is>
          <t>VÄRMLANDS LÄN</t>
        </is>
      </c>
      <c r="G406" t="inlineStr">
        <is>
          <t>HAGFORS</t>
        </is>
      </c>
      <c r="H406" t="inlineStr">
        <is>
          <t>Kyrkan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46225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46002</v>
      </c>
      <c r="E408" s="1" t="n">
        <v>46225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36764-2025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45873</v>
      </c>
      <c r="E409" s="1" t="n">
        <v>46225</v>
      </c>
      <c r="F409" t="inlineStr">
        <is>
          <t>VÄRMLANDS LÄN</t>
        </is>
      </c>
      <c r="G409" t="inlineStr">
        <is>
          <t>HAGFORS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61718-2025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46002</v>
      </c>
      <c r="E410" s="1" t="n">
        <v>46225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46225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46140</v>
      </c>
      <c r="E412" s="1" t="n">
        <v>46225</v>
      </c>
      <c r="F412" t="inlineStr">
        <is>
          <t>VÄRMLANDS LÄN</t>
        </is>
      </c>
      <c r="G412" t="inlineStr">
        <is>
          <t>HAGFORS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61910-2025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46003</v>
      </c>
      <c r="E413" s="1" t="n">
        <v>46225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46225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24000-2025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45796</v>
      </c>
      <c r="E415" s="1" t="n">
        <v>46225</v>
      </c>
      <c r="F415" t="inlineStr">
        <is>
          <t>VÄRMLANDS LÄN</t>
        </is>
      </c>
      <c r="G415" t="inlineStr">
        <is>
          <t>HAGFORS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61850-2025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46003</v>
      </c>
      <c r="E416" s="1" t="n">
        <v>46225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46225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46225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62168-2025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46006</v>
      </c>
      <c r="E419" s="1" t="n">
        <v>46225</v>
      </c>
      <c r="F419" t="inlineStr">
        <is>
          <t>VÄRMLANDS LÄN</t>
        </is>
      </c>
      <c r="G419" t="inlineStr">
        <is>
          <t>HAGFORS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22332-2024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45446</v>
      </c>
      <c r="E420" s="1" t="n">
        <v>46225</v>
      </c>
      <c r="F420" t="inlineStr">
        <is>
          <t>VÄRMLANDS LÄN</t>
        </is>
      </c>
      <c r="G420" t="inlineStr">
        <is>
          <t>HAGFORS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46006</v>
      </c>
      <c r="E421" s="1" t="n">
        <v>46225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61843-2025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46003</v>
      </c>
      <c r="E422" s="1" t="n">
        <v>46225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46006</v>
      </c>
      <c r="E423" s="1" t="n">
        <v>46225</v>
      </c>
      <c r="F423" t="inlineStr">
        <is>
          <t>VÄRMLANDS LÄN</t>
        </is>
      </c>
      <c r="G423" t="inlineStr">
        <is>
          <t>HAGFORS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62749-2025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46008</v>
      </c>
      <c r="E424" s="1" t="n">
        <v>46225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62542-2025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46225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64936-2023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45282</v>
      </c>
      <c r="E426" s="1" t="n">
        <v>46225</v>
      </c>
      <c r="F426" t="inlineStr">
        <is>
          <t>VÄRMLANDS LÄN</t>
        </is>
      </c>
      <c r="G426" t="inlineStr">
        <is>
          <t>HAGFORS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26615-2024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46225</v>
      </c>
      <c r="F427" t="inlineStr">
        <is>
          <t>VÄRMLANDS LÄN</t>
        </is>
      </c>
      <c r="G427" t="inlineStr">
        <is>
          <t>HAGFORS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26628-2024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45469</v>
      </c>
      <c r="E428" s="1" t="n">
        <v>46225</v>
      </c>
      <c r="F428" t="inlineStr">
        <is>
          <t>VÄRMLANDS LÄN</t>
        </is>
      </c>
      <c r="G428" t="inlineStr">
        <is>
          <t>HAGFORS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62632-2025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46008</v>
      </c>
      <c r="E429" s="1" t="n">
        <v>46225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17750-2023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45037</v>
      </c>
      <c r="E430" s="1" t="n">
        <v>46225</v>
      </c>
      <c r="F430" t="inlineStr">
        <is>
          <t>VÄRMLANDS LÄN</t>
        </is>
      </c>
      <c r="G430" t="inlineStr">
        <is>
          <t>HAGFORS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45638</v>
      </c>
      <c r="E431" s="1" t="n">
        <v>46225</v>
      </c>
      <c r="F431" t="inlineStr">
        <is>
          <t>VÄRMLANDS LÄN</t>
        </is>
      </c>
      <c r="G431" t="inlineStr">
        <is>
          <t>HAGFORS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12778-2025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45733</v>
      </c>
      <c r="E432" s="1" t="n">
        <v>46225</v>
      </c>
      <c r="F432" t="inlineStr">
        <is>
          <t>VÄRMLANDS LÄN</t>
        </is>
      </c>
      <c r="G432" t="inlineStr">
        <is>
          <t>HAGFORS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63301-2025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46010</v>
      </c>
      <c r="E433" s="1" t="n">
        <v>46225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34281-2025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45846</v>
      </c>
      <c r="E434" s="1" t="n">
        <v>46225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63361-2025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46225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20756-2026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46225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20759-2026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46225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63285-2025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46225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46225</v>
      </c>
      <c r="F439" t="inlineStr">
        <is>
          <t>VÄRMLANDS LÄN</t>
        </is>
      </c>
      <c r="G439" t="inlineStr">
        <is>
          <t>HAGFORS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44915</v>
      </c>
      <c r="E440" s="1" t="n">
        <v>46225</v>
      </c>
      <c r="F440" t="inlineStr">
        <is>
          <t>VÄRMLANDS LÄN</t>
        </is>
      </c>
      <c r="G440" t="inlineStr">
        <is>
          <t>HAGFORS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68252-2021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44526</v>
      </c>
      <c r="E441" s="1" t="n">
        <v>46225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20752-2026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46141</v>
      </c>
      <c r="E442" s="1" t="n">
        <v>46225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20729-2026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46225</v>
      </c>
      <c r="F443" t="inlineStr">
        <is>
          <t>VÄRMLANDS LÄN</t>
        </is>
      </c>
      <c r="G443" t="inlineStr">
        <is>
          <t>HAGFORS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20880-2026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46142</v>
      </c>
      <c r="E444" s="1" t="n">
        <v>46225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26612-2026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46225</v>
      </c>
      <c r="F445" t="inlineStr">
        <is>
          <t>VÄRMLANDS LÄN</t>
        </is>
      </c>
      <c r="G445" t="inlineStr">
        <is>
          <t>HAGFORS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20798-2026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46225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46020</v>
      </c>
      <c r="E447" s="1" t="n">
        <v>46225</v>
      </c>
      <c r="F447" t="inlineStr">
        <is>
          <t>VÄRMLANDS LÄN</t>
        </is>
      </c>
      <c r="G447" t="inlineStr">
        <is>
          <t>HAGFORS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63764-2025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46018</v>
      </c>
      <c r="E448" s="1" t="n">
        <v>46225</v>
      </c>
      <c r="F448" t="inlineStr">
        <is>
          <t>VÄRMLANDS LÄN</t>
        </is>
      </c>
      <c r="G448" t="inlineStr">
        <is>
          <t>HAGFORS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63765-2025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46018</v>
      </c>
      <c r="E449" s="1" t="n">
        <v>46225</v>
      </c>
      <c r="F449" t="inlineStr">
        <is>
          <t>VÄRMLANDS LÄN</t>
        </is>
      </c>
      <c r="G449" t="inlineStr">
        <is>
          <t>HAGFORS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45769</v>
      </c>
      <c r="E450" s="1" t="n">
        <v>46225</v>
      </c>
      <c r="F450" t="inlineStr">
        <is>
          <t>VÄRMLANDS LÄN</t>
        </is>
      </c>
      <c r="G450" t="inlineStr">
        <is>
          <t>HAGFORS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63875-2025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46020</v>
      </c>
      <c r="E451" s="1" t="n">
        <v>46225</v>
      </c>
      <c r="F451" t="inlineStr">
        <is>
          <t>VÄRMLANDS LÄN</t>
        </is>
      </c>
      <c r="G451" t="inlineStr">
        <is>
          <t>HAGFORS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46225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63834-2025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46020</v>
      </c>
      <c r="E453" s="1" t="n">
        <v>46225</v>
      </c>
      <c r="F453" t="inlineStr">
        <is>
          <t>VÄRMLANDS LÄN</t>
        </is>
      </c>
      <c r="G453" t="inlineStr">
        <is>
          <t>HAGFORS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45390</v>
      </c>
      <c r="E454" s="1" t="n">
        <v>46225</v>
      </c>
      <c r="F454" t="inlineStr">
        <is>
          <t>VÄRMLANDS LÄN</t>
        </is>
      </c>
      <c r="G454" t="inlineStr">
        <is>
          <t>HAGFORS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60390-2025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45995</v>
      </c>
      <c r="E455" s="1" t="n">
        <v>46225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26660-2026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46225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40601-2021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44420</v>
      </c>
      <c r="E457" s="1" t="n">
        <v>46225</v>
      </c>
      <c r="F457" t="inlineStr">
        <is>
          <t>VÄRMLANDS LÄN</t>
        </is>
      </c>
      <c r="G457" t="inlineStr">
        <is>
          <t>HAGFORS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46225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20870-2026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46142</v>
      </c>
      <c r="E459" s="1" t="n">
        <v>46225</v>
      </c>
      <c r="F459" t="inlineStr">
        <is>
          <t>VÄRMLANDS LÄN</t>
        </is>
      </c>
      <c r="G459" t="inlineStr">
        <is>
          <t>HAGFORS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20706-2026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46225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46225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18.2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27306-2026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46225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21203-2026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46225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19072-2025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45765</v>
      </c>
      <c r="E464" s="1" t="n">
        <v>46225</v>
      </c>
      <c r="F464" t="inlineStr">
        <is>
          <t>VÄRMLANDS LÄN</t>
        </is>
      </c>
      <c r="G464" t="inlineStr">
        <is>
          <t>HAGFORS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8922-2025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45713</v>
      </c>
      <c r="E465" s="1" t="n">
        <v>46225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27280-2026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46225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26864-2026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46225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46225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17.2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42175-2024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45562</v>
      </c>
      <c r="E469" s="1" t="n">
        <v>46225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26858-2026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46185</v>
      </c>
      <c r="E470" s="1" t="n">
        <v>46225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20.5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46225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27268-2026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46225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27394-2026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46189</v>
      </c>
      <c r="E473" s="1" t="n">
        <v>46225</v>
      </c>
      <c r="F473" t="inlineStr">
        <is>
          <t>VÄRMLANDS LÄN</t>
        </is>
      </c>
      <c r="G473" t="inlineStr">
        <is>
          <t>HAGFORS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46225</v>
      </c>
      <c r="F474" t="inlineStr">
        <is>
          <t>VÄRMLANDS LÄN</t>
        </is>
      </c>
      <c r="G474" t="inlineStr">
        <is>
          <t>HAGFORS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13300-2023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45005</v>
      </c>
      <c r="E475" s="1" t="n">
        <v>46225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44125-2021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44434</v>
      </c>
      <c r="E476" s="1" t="n">
        <v>46225</v>
      </c>
      <c r="F476" t="inlineStr">
        <is>
          <t>VÄRMLANDS LÄN</t>
        </is>
      </c>
      <c r="G476" t="inlineStr">
        <is>
          <t>HAGFORS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45671</v>
      </c>
      <c r="E477" s="1" t="n">
        <v>46225</v>
      </c>
      <c r="F477" t="inlineStr">
        <is>
          <t>VÄRMLANDS LÄN</t>
        </is>
      </c>
      <c r="G477" t="inlineStr">
        <is>
          <t>HAGFORS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21879-2026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46150</v>
      </c>
      <c r="E478" s="1" t="n">
        <v>46225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52494-2024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45609</v>
      </c>
      <c r="E479" s="1" t="n">
        <v>46225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46150</v>
      </c>
      <c r="E480" s="1" t="n">
        <v>46225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27929-2026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46191</v>
      </c>
      <c r="E481" s="1" t="n">
        <v>46225</v>
      </c>
      <c r="F481" t="inlineStr">
        <is>
          <t>VÄRMLANDS LÄN</t>
        </is>
      </c>
      <c r="G481" t="inlineStr">
        <is>
          <t>HAGFORS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55758-2024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45623</v>
      </c>
      <c r="E482" s="1" t="n">
        <v>46225</v>
      </c>
      <c r="F482" t="inlineStr">
        <is>
          <t>VÄRMLANDS LÄN</t>
        </is>
      </c>
      <c r="G482" t="inlineStr">
        <is>
          <t>HAGFORS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46225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21762-2026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46150</v>
      </c>
      <c r="E484" s="1" t="n">
        <v>46225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27799-2026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46191</v>
      </c>
      <c r="E485" s="1" t="n">
        <v>46225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27855-2026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46191</v>
      </c>
      <c r="E486" s="1" t="n">
        <v>46225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45132</v>
      </c>
      <c r="E487" s="1" t="n">
        <v>46225</v>
      </c>
      <c r="F487" t="inlineStr">
        <is>
          <t>VÄRMLANDS LÄN</t>
        </is>
      </c>
      <c r="G487" t="inlineStr">
        <is>
          <t>HAGFORS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45006</v>
      </c>
      <c r="E488" s="1" t="n">
        <v>46225</v>
      </c>
      <c r="F488" t="inlineStr">
        <is>
          <t>VÄRMLANDS LÄN</t>
        </is>
      </c>
      <c r="G488" t="inlineStr">
        <is>
          <t>HAGFORS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45051</v>
      </c>
      <c r="E489" s="1" t="n">
        <v>46225</v>
      </c>
      <c r="F489" t="inlineStr">
        <is>
          <t>VÄRMLANDS LÄN</t>
        </is>
      </c>
      <c r="G489" t="inlineStr">
        <is>
          <t>HAGFORS</t>
        </is>
      </c>
      <c r="H489" t="inlineStr">
        <is>
          <t>Kommuner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24947-2024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45461</v>
      </c>
      <c r="E490" s="1" t="n">
        <v>46225</v>
      </c>
      <c r="F490" t="inlineStr">
        <is>
          <t>VÄRMLANDS LÄN</t>
        </is>
      </c>
      <c r="G490" t="inlineStr">
        <is>
          <t>HAGFORS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46225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9.6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47028-2023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45201</v>
      </c>
      <c r="E492" s="1" t="n">
        <v>46225</v>
      </c>
      <c r="F492" t="inlineStr">
        <is>
          <t>VÄRMLANDS LÄN</t>
        </is>
      </c>
      <c r="G492" t="inlineStr">
        <is>
          <t>HAGFORS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45351</v>
      </c>
      <c r="E493" s="1" t="n">
        <v>46225</v>
      </c>
      <c r="F493" t="inlineStr">
        <is>
          <t>VÄRMLANDS LÄN</t>
        </is>
      </c>
      <c r="G493" t="inlineStr">
        <is>
          <t>HAGFORS</t>
        </is>
      </c>
      <c r="H493" t="inlineStr">
        <is>
          <t>Kyrkan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38555-2023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46225</v>
      </c>
      <c r="F494" t="inlineStr">
        <is>
          <t>VÄRMLANDS LÄN</t>
        </is>
      </c>
      <c r="G494" t="inlineStr">
        <is>
          <t>HAGFORS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45436</v>
      </c>
      <c r="E495" s="1" t="n">
        <v>46225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28788-2026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46225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9.699999999999999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46225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17884-2025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45758</v>
      </c>
      <c r="E498" s="1" t="n">
        <v>46225</v>
      </c>
      <c r="F498" t="inlineStr">
        <is>
          <t>VÄRMLANDS LÄN</t>
        </is>
      </c>
      <c r="G498" t="inlineStr">
        <is>
          <t>HAGFORS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46225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22516-2026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46155</v>
      </c>
      <c r="E500" s="1" t="n">
        <v>46225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46225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28748-2026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46198</v>
      </c>
      <c r="E502" s="1" t="n">
        <v>46225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28720-2026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46225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53813-2024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45615</v>
      </c>
      <c r="E504" s="1" t="n">
        <v>46225</v>
      </c>
      <c r="F504" t="inlineStr">
        <is>
          <t>VÄRMLANDS LÄN</t>
        </is>
      </c>
      <c r="G504" t="inlineStr">
        <is>
          <t>HAGFORS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46225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44757</v>
      </c>
      <c r="E506" s="1" t="n">
        <v>46225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46225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22556-2026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46225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19702-2022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44694</v>
      </c>
      <c r="E509" s="1" t="n">
        <v>46225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24.6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22917-2026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46225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46200</v>
      </c>
      <c r="E511" s="1" t="n">
        <v>46225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29102-2026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46200</v>
      </c>
      <c r="E512" s="1" t="n">
        <v>46225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36360-2023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45152</v>
      </c>
      <c r="E513" s="1" t="n">
        <v>46225</v>
      </c>
      <c r="F513" t="inlineStr">
        <is>
          <t>VÄRMLANDS LÄN</t>
        </is>
      </c>
      <c r="G513" t="inlineStr">
        <is>
          <t>HAGFORS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31166-2022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44770</v>
      </c>
      <c r="E514" s="1" t="n">
        <v>46225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22911-2026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46225</v>
      </c>
      <c r="F515" t="inlineStr">
        <is>
          <t>VÄRMLANDS LÄN</t>
        </is>
      </c>
      <c r="G515" t="inlineStr">
        <is>
          <t>HAGFORS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22925-2026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46160</v>
      </c>
      <c r="E516" s="1" t="n">
        <v>46225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46225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9.5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57379-2022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44896</v>
      </c>
      <c r="E518" s="1" t="n">
        <v>46225</v>
      </c>
      <c r="F518" t="inlineStr">
        <is>
          <t>VÄRMLANDS LÄN</t>
        </is>
      </c>
      <c r="G518" t="inlineStr">
        <is>
          <t>HAGFORS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47019-2023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45201</v>
      </c>
      <c r="E519" s="1" t="n">
        <v>46225</v>
      </c>
      <c r="F519" t="inlineStr">
        <is>
          <t>VÄRMLANDS LÄN</t>
        </is>
      </c>
      <c r="G519" t="inlineStr">
        <is>
          <t>HAGFORS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16525-2023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45029</v>
      </c>
      <c r="E520" s="1" t="n">
        <v>46225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39029-2022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44817</v>
      </c>
      <c r="E521" s="1" t="n">
        <v>46225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61981-2024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45653</v>
      </c>
      <c r="E522" s="1" t="n">
        <v>46225</v>
      </c>
      <c r="F522" t="inlineStr">
        <is>
          <t>VÄRMLANDS LÄN</t>
        </is>
      </c>
      <c r="G522" t="inlineStr">
        <is>
          <t>HAGFORS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46225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21155-2023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45057</v>
      </c>
      <c r="E524" s="1" t="n">
        <v>46225</v>
      </c>
      <c r="F524" t="inlineStr">
        <is>
          <t>VÄRMLANDS LÄN</t>
        </is>
      </c>
      <c r="G524" t="inlineStr">
        <is>
          <t>HAGFORS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46225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20652-2022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44700</v>
      </c>
      <c r="E526" s="1" t="n">
        <v>46225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46225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23129-2026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46225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8.699999999999999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23016-2026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46225</v>
      </c>
      <c r="F529" t="inlineStr">
        <is>
          <t>VÄRMLANDS LÄN</t>
        </is>
      </c>
      <c r="G529" t="inlineStr">
        <is>
          <t>HAGFORS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29400-2026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46225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10382-2025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45720</v>
      </c>
      <c r="E531" s="1" t="n">
        <v>46225</v>
      </c>
      <c r="F531" t="inlineStr">
        <is>
          <t>VÄRMLANDS LÄN</t>
        </is>
      </c>
      <c r="G531" t="inlineStr">
        <is>
          <t>HAGFORS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46225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46225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8.800000000000001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46225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29427-2026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46203</v>
      </c>
      <c r="E535" s="1" t="n">
        <v>46225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9.6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46225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51915-2023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45223</v>
      </c>
      <c r="E537" s="1" t="n">
        <v>46225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23525-2026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46225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44937</v>
      </c>
      <c r="E539" s="1" t="n">
        <v>46225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46225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23728-2026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46164</v>
      </c>
      <c r="E541" s="1" t="n">
        <v>46225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37085-2023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45155</v>
      </c>
      <c r="E542" s="1" t="n">
        <v>46225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52691-2025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45956</v>
      </c>
      <c r="E543" s="1" t="n">
        <v>46225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28.2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46225</v>
      </c>
      <c r="F544" t="inlineStr">
        <is>
          <t>VÄRMLANDS LÄN</t>
        </is>
      </c>
      <c r="G544" t="inlineStr">
        <is>
          <t>HAGFORS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37463-2022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44809</v>
      </c>
      <c r="E545" s="1" t="n">
        <v>46225</v>
      </c>
      <c r="F545" t="inlineStr">
        <is>
          <t>VÄRMLANDS LÄN</t>
        </is>
      </c>
      <c r="G545" t="inlineStr">
        <is>
          <t>HAGFORS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46225</v>
      </c>
      <c r="F546" t="inlineStr">
        <is>
          <t>VÄRMLANDS LÄN</t>
        </is>
      </c>
      <c r="G546" t="inlineStr">
        <is>
          <t>HAGFORS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52016-2025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45952</v>
      </c>
      <c r="E547" s="1" t="n">
        <v>46225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9.800000000000001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31087-2024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45502</v>
      </c>
      <c r="E548" s="1" t="n">
        <v>46225</v>
      </c>
      <c r="F548" t="inlineStr">
        <is>
          <t>VÄRMLANDS LÄN</t>
        </is>
      </c>
      <c r="G548" t="inlineStr">
        <is>
          <t>HAGFORS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46164</v>
      </c>
      <c r="E549" s="1" t="n">
        <v>46225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46792-2022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44851</v>
      </c>
      <c r="E550" s="1" t="n">
        <v>46225</v>
      </c>
      <c r="F550" t="inlineStr">
        <is>
          <t>VÄRMLANDS LÄN</t>
        </is>
      </c>
      <c r="G550" t="inlineStr">
        <is>
          <t>HAGFORS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34540-2024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45525</v>
      </c>
      <c r="E551" s="1" t="n">
        <v>46225</v>
      </c>
      <c r="F551" t="inlineStr">
        <is>
          <t>VÄRMLANDS LÄN</t>
        </is>
      </c>
      <c r="G551" t="inlineStr">
        <is>
          <t>HAGFORS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51015-2025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45947</v>
      </c>
      <c r="E552" s="1" t="n">
        <v>46225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8.9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45869</v>
      </c>
      <c r="E553" s="1" t="n">
        <v>46225</v>
      </c>
      <c r="F553" t="inlineStr">
        <is>
          <t>VÄRMLANDS LÄN</t>
        </is>
      </c>
      <c r="G553" t="inlineStr">
        <is>
          <t>HAGFORS</t>
        </is>
      </c>
      <c r="H553" t="inlineStr">
        <is>
          <t>Kyrkan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46225</v>
      </c>
      <c r="F554" t="inlineStr">
        <is>
          <t>VÄRMLANDS LÄN</t>
        </is>
      </c>
      <c r="G554" t="inlineStr">
        <is>
          <t>HAGFORS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30642-2025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45831</v>
      </c>
      <c r="E555" s="1" t="n">
        <v>46225</v>
      </c>
      <c r="F555" t="inlineStr">
        <is>
          <t>VÄRMLANDS LÄN</t>
        </is>
      </c>
      <c r="G555" t="inlineStr">
        <is>
          <t>HAGFORS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33969-2022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44790</v>
      </c>
      <c r="E556" s="1" t="n">
        <v>46225</v>
      </c>
      <c r="F556" t="inlineStr">
        <is>
          <t>VÄRMLANDS LÄN</t>
        </is>
      </c>
      <c r="G556" t="inlineStr">
        <is>
          <t>HAGFORS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46225</v>
      </c>
      <c r="F557" t="inlineStr">
        <is>
          <t>VÄRMLANDS LÄN</t>
        </is>
      </c>
      <c r="G557" t="inlineStr">
        <is>
          <t>HAGFORS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46225</v>
      </c>
      <c r="F558" t="inlineStr">
        <is>
          <t>VÄRMLANDS LÄN</t>
        </is>
      </c>
      <c r="G558" t="inlineStr">
        <is>
          <t>HAGFORS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24814-2024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45461</v>
      </c>
      <c r="E559" s="1" t="n">
        <v>46225</v>
      </c>
      <c r="F559" t="inlineStr">
        <is>
          <t>VÄRMLANDS LÄN</t>
        </is>
      </c>
      <c r="G559" t="inlineStr">
        <is>
          <t>HAGFORS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30635-2025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46225</v>
      </c>
      <c r="F560" t="inlineStr">
        <is>
          <t>VÄRMLANDS LÄN</t>
        </is>
      </c>
      <c r="G560" t="inlineStr">
        <is>
          <t>HAGFORS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61311-2023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45264</v>
      </c>
      <c r="E561" s="1" t="n">
        <v>46225</v>
      </c>
      <c r="F561" t="inlineStr">
        <is>
          <t>VÄRMLANDS LÄN</t>
        </is>
      </c>
      <c r="G561" t="inlineStr">
        <is>
          <t>HAGFORS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61315-2023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46225</v>
      </c>
      <c r="F562" t="inlineStr">
        <is>
          <t>VÄRMLANDS LÄN</t>
        </is>
      </c>
      <c r="G562" t="inlineStr">
        <is>
          <t>HAGFORS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30433-2026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46209</v>
      </c>
      <c r="E563" s="1" t="n">
        <v>46225</v>
      </c>
      <c r="F563" t="inlineStr">
        <is>
          <t>VÄRMLANDS LÄN</t>
        </is>
      </c>
      <c r="G563" t="inlineStr">
        <is>
          <t>HAGFORS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70712-2021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44537</v>
      </c>
      <c r="E564" s="1" t="n">
        <v>46225</v>
      </c>
      <c r="F564" t="inlineStr">
        <is>
          <t>VÄRMLANDS LÄN</t>
        </is>
      </c>
      <c r="G564" t="inlineStr">
        <is>
          <t>HAGFORS</t>
        </is>
      </c>
      <c r="H564" t="inlineStr">
        <is>
          <t>Kommuner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29950-2026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46225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24240-2026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46168</v>
      </c>
      <c r="E566" s="1" t="n">
        <v>46225</v>
      </c>
      <c r="F566" t="inlineStr">
        <is>
          <t>VÄRMLANDS LÄN</t>
        </is>
      </c>
      <c r="G566" t="inlineStr">
        <is>
          <t>HAGFORS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46168</v>
      </c>
      <c r="E567" s="1" t="n">
        <v>46225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8.1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20060-2023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45054</v>
      </c>
      <c r="E568" s="1" t="n">
        <v>46225</v>
      </c>
      <c r="F568" t="inlineStr">
        <is>
          <t>VÄRMLANDS LÄN</t>
        </is>
      </c>
      <c r="G568" t="inlineStr">
        <is>
          <t>HAGFORS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920-2022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44571</v>
      </c>
      <c r="E569" s="1" t="n">
        <v>46225</v>
      </c>
      <c r="F569" t="inlineStr">
        <is>
          <t>VÄRMLANDS LÄN</t>
        </is>
      </c>
      <c r="G569" t="inlineStr">
        <is>
          <t>HAGFORS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17882-2025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45758</v>
      </c>
      <c r="E570" s="1" t="n">
        <v>46225</v>
      </c>
      <c r="F570" t="inlineStr">
        <is>
          <t>VÄRMLANDS LÄN</t>
        </is>
      </c>
      <c r="G570" t="inlineStr">
        <is>
          <t>HAGFORS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46211</v>
      </c>
      <c r="E571" s="1" t="n">
        <v>46225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62546-2022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44924</v>
      </c>
      <c r="E572" s="1" t="n">
        <v>46225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61140-2023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45261</v>
      </c>
      <c r="E573" s="1" t="n">
        <v>46225</v>
      </c>
      <c r="F573" t="inlineStr">
        <is>
          <t>VÄRMLANDS LÄN</t>
        </is>
      </c>
      <c r="G573" t="inlineStr">
        <is>
          <t>HAGFORS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14435-2025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46225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57359-2022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44896</v>
      </c>
      <c r="E575" s="1" t="n">
        <v>46225</v>
      </c>
      <c r="F575" t="inlineStr">
        <is>
          <t>VÄRMLANDS LÄN</t>
        </is>
      </c>
      <c r="G575" t="inlineStr">
        <is>
          <t>HAGFORS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39640-2022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44817</v>
      </c>
      <c r="E576" s="1" t="n">
        <v>46225</v>
      </c>
      <c r="F576" t="inlineStr">
        <is>
          <t>VÄRMLANDS LÄN</t>
        </is>
      </c>
      <c r="G576" t="inlineStr">
        <is>
          <t>HAGFORS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24625-2026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46171</v>
      </c>
      <c r="E577" s="1" t="n">
        <v>46225</v>
      </c>
      <c r="F577" t="inlineStr">
        <is>
          <t>VÄRMLANDS LÄN</t>
        </is>
      </c>
      <c r="G577" t="inlineStr">
        <is>
          <t>HAGFORS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25759-2023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45090</v>
      </c>
      <c r="E578" s="1" t="n">
        <v>46225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44246-2022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44839</v>
      </c>
      <c r="E579" s="1" t="n">
        <v>46225</v>
      </c>
      <c r="F579" t="inlineStr">
        <is>
          <t>VÄRMLANDS LÄN</t>
        </is>
      </c>
      <c r="G579" t="inlineStr">
        <is>
          <t>HAGFORS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24699-2026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46225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30914-2026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46213</v>
      </c>
      <c r="E581" s="1" t="n">
        <v>46225</v>
      </c>
      <c r="F581" t="inlineStr">
        <is>
          <t>VÄRMLANDS LÄN</t>
        </is>
      </c>
      <c r="G581" t="inlineStr">
        <is>
          <t>HAGFORS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46171</v>
      </c>
      <c r="E582" s="1" t="n">
        <v>46225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45218-2021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44439</v>
      </c>
      <c r="E583" s="1" t="n">
        <v>46225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49.5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24778-2026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46171</v>
      </c>
      <c r="E584" s="1" t="n">
        <v>46225</v>
      </c>
      <c r="F584" t="inlineStr">
        <is>
          <t>VÄRMLANDS LÄN</t>
        </is>
      </c>
      <c r="G584" t="inlineStr">
        <is>
          <t>HAGFORS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24761-2026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46171</v>
      </c>
      <c r="E585" s="1" t="n">
        <v>46225</v>
      </c>
      <c r="F585" t="inlineStr">
        <is>
          <t>VÄRMLANDS LÄN</t>
        </is>
      </c>
      <c r="G585" t="inlineStr">
        <is>
          <t>HAGFORS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61818-2023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45266</v>
      </c>
      <c r="E586" s="1" t="n">
        <v>46225</v>
      </c>
      <c r="F586" t="inlineStr">
        <is>
          <t>VÄRMLANDS LÄN</t>
        </is>
      </c>
      <c r="G586" t="inlineStr">
        <is>
          <t>HAGFORS</t>
        </is>
      </c>
      <c r="I586" t="n">
        <v>8.6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24628-2026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46171</v>
      </c>
      <c r="E587" s="1" t="n">
        <v>46225</v>
      </c>
      <c r="F587" t="inlineStr">
        <is>
          <t>VÄRMLANDS LÄN</t>
        </is>
      </c>
      <c r="G587" t="inlineStr">
        <is>
          <t>HAGFORS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24626-2026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46171</v>
      </c>
      <c r="E588" s="1" t="n">
        <v>46225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24677-2026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46171</v>
      </c>
      <c r="E589" s="1" t="n">
        <v>46225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44883</v>
      </c>
      <c r="E590" s="1" t="n">
        <v>46225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45772</v>
      </c>
      <c r="E591" s="1" t="n">
        <v>46225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24862-2026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46225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19554-2024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45429</v>
      </c>
      <c r="E593" s="1" t="n">
        <v>46225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28654-2023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46225</v>
      </c>
      <c r="F594" t="inlineStr">
        <is>
          <t>VÄRMLANDS LÄN</t>
        </is>
      </c>
      <c r="G594" t="inlineStr">
        <is>
          <t>HAGFORS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41502-2024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45560</v>
      </c>
      <c r="E595" s="1" t="n">
        <v>46225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25589-2026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46225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46225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22503-2024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45447</v>
      </c>
      <c r="E598" s="1" t="n">
        <v>46225</v>
      </c>
      <c r="F598" t="inlineStr">
        <is>
          <t>VÄRMLANDS LÄN</t>
        </is>
      </c>
      <c r="G598" t="inlineStr">
        <is>
          <t>HAGFORS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25276-2026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46176</v>
      </c>
      <c r="E599" s="1" t="n">
        <v>46225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42168-2024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45562</v>
      </c>
      <c r="E600" s="1" t="n">
        <v>46225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25583-2026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46225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3963-2025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45684</v>
      </c>
      <c r="E602" s="1" t="n">
        <v>46225</v>
      </c>
      <c r="F602" t="inlineStr">
        <is>
          <t>VÄRMLANDS LÄN</t>
        </is>
      </c>
      <c r="G602" t="inlineStr">
        <is>
          <t>HAGFORS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44728-2023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45190</v>
      </c>
      <c r="E603" s="1" t="n">
        <v>46225</v>
      </c>
      <c r="F603" t="inlineStr">
        <is>
          <t>VÄRMLANDS LÄN</t>
        </is>
      </c>
      <c r="G603" t="inlineStr">
        <is>
          <t>HAGFORS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44950</v>
      </c>
      <c r="E604" s="1" t="n">
        <v>46225</v>
      </c>
      <c r="F604" t="inlineStr">
        <is>
          <t>VÄRMLANDS LÄN</t>
        </is>
      </c>
      <c r="G604" t="inlineStr">
        <is>
          <t>HAGFORS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3566-2023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44950</v>
      </c>
      <c r="E605" s="1" t="n">
        <v>46225</v>
      </c>
      <c r="F605" t="inlineStr">
        <is>
          <t>VÄRMLANDS LÄN</t>
        </is>
      </c>
      <c r="G605" t="inlineStr">
        <is>
          <t>HAGFORS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26350-2026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46225</v>
      </c>
      <c r="F606" t="inlineStr">
        <is>
          <t>VÄRMLANDS LÄN</t>
        </is>
      </c>
      <c r="G606" t="inlineStr">
        <is>
          <t>HAGFORS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26019-2026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46181</v>
      </c>
      <c r="E607" s="1" t="n">
        <v>46225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65065-2023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45287</v>
      </c>
      <c r="E608" s="1" t="n">
        <v>46225</v>
      </c>
      <c r="F608" t="inlineStr">
        <is>
          <t>VÄRMLANDS LÄN</t>
        </is>
      </c>
      <c r="G608" t="inlineStr">
        <is>
          <t>HAGFORS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58210-2022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44901</v>
      </c>
      <c r="E609" s="1" t="n">
        <v>46225</v>
      </c>
      <c r="F609" t="inlineStr">
        <is>
          <t>VÄRMLANDS LÄN</t>
        </is>
      </c>
      <c r="G609" t="inlineStr">
        <is>
          <t>HAGFORS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26265-2026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46182</v>
      </c>
      <c r="E610" s="1" t="n">
        <v>46225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46178</v>
      </c>
      <c r="E611" s="1" t="n">
        <v>46225</v>
      </c>
      <c r="F611" t="inlineStr">
        <is>
          <t>VÄRMLANDS LÄN</t>
        </is>
      </c>
      <c r="G611" t="inlineStr">
        <is>
          <t>HAGFORS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25258-2023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45079</v>
      </c>
      <c r="E612" s="1" t="n">
        <v>46225</v>
      </c>
      <c r="F612" t="inlineStr">
        <is>
          <t>VÄRMLANDS LÄN</t>
        </is>
      </c>
      <c r="G612" t="inlineStr">
        <is>
          <t>HAGFORS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46225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36.8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26012-2026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46225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26357-2026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46225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33.4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33399-2024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45519</v>
      </c>
      <c r="E616" s="1" t="n">
        <v>46225</v>
      </c>
      <c r="F616" t="inlineStr">
        <is>
          <t>VÄRMLANDS LÄN</t>
        </is>
      </c>
      <c r="G616" t="inlineStr">
        <is>
          <t>HAGFORS</t>
        </is>
      </c>
      <c r="I616" t="n">
        <v>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30158-2024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45489</v>
      </c>
      <c r="E617" s="1" t="n">
        <v>46225</v>
      </c>
      <c r="F617" t="inlineStr">
        <is>
          <t>VÄRMLANDS LÄN</t>
        </is>
      </c>
      <c r="G617" t="inlineStr">
        <is>
          <t>HAGFORS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38612-2023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45162</v>
      </c>
      <c r="E618" s="1" t="n">
        <v>46225</v>
      </c>
      <c r="F618" t="inlineStr">
        <is>
          <t>VÄRMLANDS LÄN</t>
        </is>
      </c>
      <c r="G618" t="inlineStr">
        <is>
          <t>HAGFORS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24638-2023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45084</v>
      </c>
      <c r="E619" s="1" t="n">
        <v>46225</v>
      </c>
      <c r="F619" t="inlineStr">
        <is>
          <t>VÄRMLANDS LÄN</t>
        </is>
      </c>
      <c r="G619" t="inlineStr">
        <is>
          <t>HAGFORS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44951</v>
      </c>
      <c r="E620" s="1" t="n">
        <v>46225</v>
      </c>
      <c r="F620" t="inlineStr">
        <is>
          <t>VÄRMLANDS LÄN</t>
        </is>
      </c>
      <c r="G620" t="inlineStr">
        <is>
          <t>HAGFORS</t>
        </is>
      </c>
      <c r="H620" t="inlineStr">
        <is>
          <t>Kyrkan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1735-2023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44938</v>
      </c>
      <c r="E621" s="1" t="n">
        <v>46225</v>
      </c>
      <c r="F621" t="inlineStr">
        <is>
          <t>VÄRMLANDS LÄN</t>
        </is>
      </c>
      <c r="G621" t="inlineStr">
        <is>
          <t>HAGFORS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6910-2024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45343</v>
      </c>
      <c r="E622" s="1" t="n">
        <v>46225</v>
      </c>
      <c r="F622" t="inlineStr">
        <is>
          <t>VÄRMLANDS LÄN</t>
        </is>
      </c>
      <c r="G622" t="inlineStr">
        <is>
          <t>HAGFORS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27826-2024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45475</v>
      </c>
      <c r="E623" s="1" t="n">
        <v>46225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27827-2024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45475</v>
      </c>
      <c r="E624" s="1" t="n">
        <v>46225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19125-2024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45428</v>
      </c>
      <c r="E625" s="1" t="n">
        <v>46225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19.5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5790-2024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46225</v>
      </c>
      <c r="F626" t="inlineStr">
        <is>
          <t>VÄRMLANDS LÄN</t>
        </is>
      </c>
      <c r="G626" t="inlineStr">
        <is>
          <t>HAGFORS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17305-2023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45035</v>
      </c>
      <c r="E627" s="1" t="n">
        <v>46225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44567</v>
      </c>
      <c r="E628" s="1" t="n">
        <v>46225</v>
      </c>
      <c r="F628" t="inlineStr">
        <is>
          <t>VÄRMLANDS LÄN</t>
        </is>
      </c>
      <c r="G628" t="inlineStr">
        <is>
          <t>HAGFORS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10236-2022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44622</v>
      </c>
      <c r="E629" s="1" t="n">
        <v>46225</v>
      </c>
      <c r="F629" t="inlineStr">
        <is>
          <t>VÄRMLANDS LÄN</t>
        </is>
      </c>
      <c r="G629" t="inlineStr">
        <is>
          <t>HAGFORS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10297-2025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45720</v>
      </c>
      <c r="E630" s="1" t="n">
        <v>46225</v>
      </c>
      <c r="F630" t="inlineStr">
        <is>
          <t>VÄRMLANDS LÄN</t>
        </is>
      </c>
      <c r="G630" t="inlineStr">
        <is>
          <t>HAGFORS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41603-2023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45175</v>
      </c>
      <c r="E631" s="1" t="n">
        <v>46225</v>
      </c>
      <c r="F631" t="inlineStr">
        <is>
          <t>VÄRMLANDS LÄN</t>
        </is>
      </c>
      <c r="G631" t="inlineStr">
        <is>
          <t>HAGFORS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32147-2023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45107</v>
      </c>
      <c r="E632" s="1" t="n">
        <v>46225</v>
      </c>
      <c r="F632" t="inlineStr">
        <is>
          <t>VÄRMLANDS LÄN</t>
        </is>
      </c>
      <c r="G632" t="inlineStr">
        <is>
          <t>HAGFORS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38887-2024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45547</v>
      </c>
      <c r="E633" s="1" t="n">
        <v>46225</v>
      </c>
      <c r="F633" t="inlineStr">
        <is>
          <t>VÄRMLANDS LÄN</t>
        </is>
      </c>
      <c r="G633" t="inlineStr">
        <is>
          <t>HAGFORS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35065-2023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45145</v>
      </c>
      <c r="E634" s="1" t="n">
        <v>46225</v>
      </c>
      <c r="F634" t="inlineStr">
        <is>
          <t>VÄRMLANDS LÄN</t>
        </is>
      </c>
      <c r="G634" t="inlineStr">
        <is>
          <t>HAGFORS</t>
        </is>
      </c>
      <c r="I634" t="n">
        <v>13.5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34636-2024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45526</v>
      </c>
      <c r="E635" s="1" t="n">
        <v>46225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57162-2024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45629</v>
      </c>
      <c r="E636" s="1" t="n">
        <v>46225</v>
      </c>
      <c r="F636" t="inlineStr">
        <is>
          <t>VÄRMLANDS LÄN</t>
        </is>
      </c>
      <c r="G636" t="inlineStr">
        <is>
          <t>HAGFORS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40692-2022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44824</v>
      </c>
      <c r="E637" s="1" t="n">
        <v>46225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7.2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52083-2024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45608</v>
      </c>
      <c r="E638" s="1" t="n">
        <v>46225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46426-2024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45582</v>
      </c>
      <c r="E639" s="1" t="n">
        <v>46225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43998-2024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45572</v>
      </c>
      <c r="E640" s="1" t="n">
        <v>46225</v>
      </c>
      <c r="F640" t="inlineStr">
        <is>
          <t>VÄRMLANDS LÄN</t>
        </is>
      </c>
      <c r="G640" t="inlineStr">
        <is>
          <t>HAGFORS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59552-2024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45638</v>
      </c>
      <c r="E641" s="1" t="n">
        <v>46225</v>
      </c>
      <c r="F641" t="inlineStr">
        <is>
          <t>VÄRMLANDS LÄN</t>
        </is>
      </c>
      <c r="G641" t="inlineStr">
        <is>
          <t>HAGFORS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6980-2022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44603</v>
      </c>
      <c r="E642" s="1" t="n">
        <v>46225</v>
      </c>
      <c r="F642" t="inlineStr">
        <is>
          <t>VÄRMLANDS LÄN</t>
        </is>
      </c>
      <c r="G642" t="inlineStr">
        <is>
          <t>HAGFORS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5749-2022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44596</v>
      </c>
      <c r="E643" s="1" t="n">
        <v>46225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50929-2023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45211</v>
      </c>
      <c r="E644" s="1" t="n">
        <v>46225</v>
      </c>
      <c r="F644" t="inlineStr">
        <is>
          <t>VÄRMLANDS LÄN</t>
        </is>
      </c>
      <c r="G644" t="inlineStr">
        <is>
          <t>HAGFORS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41092-2024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45559</v>
      </c>
      <c r="E645" s="1" t="n">
        <v>46225</v>
      </c>
      <c r="F645" t="inlineStr">
        <is>
          <t>VÄRMLANDS LÄN</t>
        </is>
      </c>
      <c r="G645" t="inlineStr">
        <is>
          <t>HAGFORS</t>
        </is>
      </c>
      <c r="I645" t="n">
        <v>4.3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54744-2024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45618</v>
      </c>
      <c r="E646" s="1" t="n">
        <v>46225</v>
      </c>
      <c r="F646" t="inlineStr">
        <is>
          <t>VÄRMLANDS LÄN</t>
        </is>
      </c>
      <c r="G646" t="inlineStr">
        <is>
          <t>HAGFORS</t>
        </is>
      </c>
      <c r="H646" t="inlineStr">
        <is>
          <t>Kyrkan</t>
        </is>
      </c>
      <c r="I646" t="n">
        <v>8.800000000000001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22031-2023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45069</v>
      </c>
      <c r="E647" s="1" t="n">
        <v>46225</v>
      </c>
      <c r="F647" t="inlineStr">
        <is>
          <t>VÄRMLANDS LÄN</t>
        </is>
      </c>
      <c r="G647" t="inlineStr">
        <is>
          <t>HAGFORS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60582-2024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45644</v>
      </c>
      <c r="E648" s="1" t="n">
        <v>46225</v>
      </c>
      <c r="F648" t="inlineStr">
        <is>
          <t>VÄRMLANDS LÄN</t>
        </is>
      </c>
      <c r="G648" t="inlineStr">
        <is>
          <t>HAGFORS</t>
        </is>
      </c>
      <c r="H648" t="inlineStr">
        <is>
          <t>Kyrkan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31657-2024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45506</v>
      </c>
      <c r="E649" s="1" t="n">
        <v>46225</v>
      </c>
      <c r="F649" t="inlineStr">
        <is>
          <t>VÄRMLANDS LÄN</t>
        </is>
      </c>
      <c r="G649" t="inlineStr">
        <is>
          <t>HAGFORS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60991-2024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45645</v>
      </c>
      <c r="E650" s="1" t="n">
        <v>46225</v>
      </c>
      <c r="F650" t="inlineStr">
        <is>
          <t>VÄRMLANDS LÄN</t>
        </is>
      </c>
      <c r="G650" t="inlineStr">
        <is>
          <t>HAGFORS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15886-2022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44664</v>
      </c>
      <c r="E651" s="1" t="n">
        <v>46225</v>
      </c>
      <c r="F651" t="inlineStr">
        <is>
          <t>VÄRMLANDS LÄN</t>
        </is>
      </c>
      <c r="G651" t="inlineStr">
        <is>
          <t>HAGFORS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45659</v>
      </c>
      <c r="E652" s="1" t="n">
        <v>46225</v>
      </c>
      <c r="F652" t="inlineStr">
        <is>
          <t>VÄRMLANDS LÄN</t>
        </is>
      </c>
      <c r="G652" t="inlineStr">
        <is>
          <t>HAGFORS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20113-2023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45055</v>
      </c>
      <c r="E653" s="1" t="n">
        <v>46225</v>
      </c>
      <c r="F653" t="inlineStr">
        <is>
          <t>VÄRMLANDS LÄN</t>
        </is>
      </c>
      <c r="G653" t="inlineStr">
        <is>
          <t>HAGFORS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18585-2025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45763</v>
      </c>
      <c r="E654" s="1" t="n">
        <v>46225</v>
      </c>
      <c r="F654" t="inlineStr">
        <is>
          <t>VÄRMLANDS LÄN</t>
        </is>
      </c>
      <c r="G654" t="inlineStr">
        <is>
          <t>HAGFORS</t>
        </is>
      </c>
      <c r="H654" t="inlineStr">
        <is>
          <t>Kyrkan</t>
        </is>
      </c>
      <c r="I654" t="n">
        <v>7.9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54112-2023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45232</v>
      </c>
      <c r="E655" s="1" t="n">
        <v>46225</v>
      </c>
      <c r="F655" t="inlineStr">
        <is>
          <t>VÄRMLANDS LÄN</t>
        </is>
      </c>
      <c r="G655" t="inlineStr">
        <is>
          <t>HAGFORS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32627-2023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45121</v>
      </c>
      <c r="E656" s="1" t="n">
        <v>46225</v>
      </c>
      <c r="F656" t="inlineStr">
        <is>
          <t>VÄRMLANDS LÄN</t>
        </is>
      </c>
      <c r="G656" t="inlineStr">
        <is>
          <t>HAGFORS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9763-2025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45716</v>
      </c>
      <c r="E657" s="1" t="n">
        <v>46225</v>
      </c>
      <c r="F657" t="inlineStr">
        <is>
          <t>VÄRMLANDS LÄN</t>
        </is>
      </c>
      <c r="G657" t="inlineStr">
        <is>
          <t>HAGFORS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52924-2023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45226</v>
      </c>
      <c r="E658" s="1" t="n">
        <v>46225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13094-2024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45385</v>
      </c>
      <c r="E659" s="1" t="n">
        <v>46225</v>
      </c>
      <c r="F659" t="inlineStr">
        <is>
          <t>VÄRMLANDS LÄN</t>
        </is>
      </c>
      <c r="G659" t="inlineStr">
        <is>
          <t>HAGFORS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8496-2022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44613</v>
      </c>
      <c r="E660" s="1" t="n">
        <v>46225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45679</v>
      </c>
      <c r="E661" s="1" t="n">
        <v>46225</v>
      </c>
      <c r="F661" t="inlineStr">
        <is>
          <t>VÄRMLANDS LÄN</t>
        </is>
      </c>
      <c r="G661" t="inlineStr">
        <is>
          <t>HAGFORS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5338-2025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45692</v>
      </c>
      <c r="E662" s="1" t="n">
        <v>46225</v>
      </c>
      <c r="F662" t="inlineStr">
        <is>
          <t>VÄRMLANDS LÄN</t>
        </is>
      </c>
      <c r="G662" t="inlineStr">
        <is>
          <t>HAGFORS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12434-2022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44638</v>
      </c>
      <c r="E663" s="1" t="n">
        <v>46225</v>
      </c>
      <c r="F663" t="inlineStr">
        <is>
          <t>VÄRMLANDS LÄN</t>
        </is>
      </c>
      <c r="G663" t="inlineStr">
        <is>
          <t>HAGFORS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36030-2023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45149</v>
      </c>
      <c r="E664" s="1" t="n">
        <v>46225</v>
      </c>
      <c r="F664" t="inlineStr">
        <is>
          <t>VÄRMLANDS LÄN</t>
        </is>
      </c>
      <c r="G664" t="inlineStr">
        <is>
          <t>HAGFORS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7332-2025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45703</v>
      </c>
      <c r="E665" s="1" t="n">
        <v>46225</v>
      </c>
      <c r="F665" t="inlineStr">
        <is>
          <t>VÄRMLANDS LÄN</t>
        </is>
      </c>
      <c r="G665" t="inlineStr">
        <is>
          <t>HAGFORS</t>
        </is>
      </c>
      <c r="H665" t="inlineStr">
        <is>
          <t>Kyrkan</t>
        </is>
      </c>
      <c r="I665" t="n">
        <v>15.9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35886-2023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45148</v>
      </c>
      <c r="E666" s="1" t="n">
        <v>46225</v>
      </c>
      <c r="F666" t="inlineStr">
        <is>
          <t>VÄRMLANDS LÄN</t>
        </is>
      </c>
      <c r="G666" t="inlineStr">
        <is>
          <t>HAGFORS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29855-2023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45107</v>
      </c>
      <c r="E667" s="1" t="n">
        <v>46225</v>
      </c>
      <c r="F667" t="inlineStr">
        <is>
          <t>VÄRMLANDS LÄN</t>
        </is>
      </c>
      <c r="G667" t="inlineStr">
        <is>
          <t>HAGFORS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18699-2022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44687</v>
      </c>
      <c r="E668" s="1" t="n">
        <v>46225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20.2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56808-2023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45244</v>
      </c>
      <c r="E669" s="1" t="n">
        <v>46225</v>
      </c>
      <c r="F669" t="inlineStr">
        <is>
          <t>VÄRMLANDS LÄN</t>
        </is>
      </c>
      <c r="G669" t="inlineStr">
        <is>
          <t>HAGFORS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3996-2025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45684</v>
      </c>
      <c r="E670" s="1" t="n">
        <v>46225</v>
      </c>
      <c r="F670" t="inlineStr">
        <is>
          <t>VÄRMLANDS LÄN</t>
        </is>
      </c>
      <c r="G670" t="inlineStr">
        <is>
          <t>HAGFORS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40835-2023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45172</v>
      </c>
      <c r="E671" s="1" t="n">
        <v>46225</v>
      </c>
      <c r="F671" t="inlineStr">
        <is>
          <t>VÄRMLANDS LÄN</t>
        </is>
      </c>
      <c r="G671" t="inlineStr">
        <is>
          <t>HAGFORS</t>
        </is>
      </c>
      <c r="I671" t="n">
        <v>4.7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52224-2023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45224</v>
      </c>
      <c r="E672" s="1" t="n">
        <v>46225</v>
      </c>
      <c r="F672" t="inlineStr">
        <is>
          <t>VÄRMLANDS LÄN</t>
        </is>
      </c>
      <c r="G672" t="inlineStr">
        <is>
          <t>HAGFORS</t>
        </is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9474-2025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45715</v>
      </c>
      <c r="E673" s="1" t="n">
        <v>46225</v>
      </c>
      <c r="F673" t="inlineStr">
        <is>
          <t>VÄRMLANDS LÄN</t>
        </is>
      </c>
      <c r="G673" t="inlineStr">
        <is>
          <t>HAGFORS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18907-2025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45764</v>
      </c>
      <c r="E674" s="1" t="n">
        <v>46225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30180-2023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45110</v>
      </c>
      <c r="E675" s="1" t="n">
        <v>46225</v>
      </c>
      <c r="F675" t="inlineStr">
        <is>
          <t>VÄRMLANDS LÄN</t>
        </is>
      </c>
      <c r="G675" t="inlineStr">
        <is>
          <t>HAGFORS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61232-2024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45645</v>
      </c>
      <c r="E676" s="1" t="n">
        <v>46225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6.4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64155-2023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45279</v>
      </c>
      <c r="E677" s="1" t="n">
        <v>46225</v>
      </c>
      <c r="F677" t="inlineStr">
        <is>
          <t>VÄRMLANDS LÄN</t>
        </is>
      </c>
      <c r="G677" t="inlineStr">
        <is>
          <t>HAGFORS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14464-2025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45741</v>
      </c>
      <c r="E678" s="1" t="n">
        <v>46225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58437-2023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45250</v>
      </c>
      <c r="E679" s="1" t="n">
        <v>46225</v>
      </c>
      <c r="F679" t="inlineStr">
        <is>
          <t>VÄRMLANDS LÄN</t>
        </is>
      </c>
      <c r="G679" t="inlineStr">
        <is>
          <t>HAGFORS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11160-2025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45723</v>
      </c>
      <c r="E680" s="1" t="n">
        <v>46225</v>
      </c>
      <c r="F680" t="inlineStr">
        <is>
          <t>VÄRMLANDS LÄN</t>
        </is>
      </c>
      <c r="G680" t="inlineStr">
        <is>
          <t>HAGFORS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11180-2025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45725</v>
      </c>
      <c r="E681" s="1" t="n">
        <v>46225</v>
      </c>
      <c r="F681" t="inlineStr">
        <is>
          <t>VÄRMLANDS LÄN</t>
        </is>
      </c>
      <c r="G681" t="inlineStr">
        <is>
          <t>HAGFORS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30710-2022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44763</v>
      </c>
      <c r="E682" s="1" t="n">
        <v>46225</v>
      </c>
      <c r="F682" t="inlineStr">
        <is>
          <t>VÄRMLANDS LÄN</t>
        </is>
      </c>
      <c r="G682" t="inlineStr">
        <is>
          <t>HAGFORS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45310</v>
      </c>
      <c r="E683" s="1" t="n">
        <v>46225</v>
      </c>
      <c r="F683" t="inlineStr">
        <is>
          <t>VÄRMLANDS LÄN</t>
        </is>
      </c>
      <c r="G683" t="inlineStr">
        <is>
          <t>HAGFORS</t>
        </is>
      </c>
      <c r="H683" t="inlineStr">
        <is>
          <t>Kyrkan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49585-2023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45211</v>
      </c>
      <c r="E684" s="1" t="n">
        <v>46225</v>
      </c>
      <c r="F684" t="inlineStr">
        <is>
          <t>VÄRMLANDS LÄN</t>
        </is>
      </c>
      <c r="G684" t="inlineStr">
        <is>
          <t>HAGFORS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25349-2023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45087</v>
      </c>
      <c r="E685" s="1" t="n">
        <v>46225</v>
      </c>
      <c r="F685" t="inlineStr">
        <is>
          <t>VÄRMLANDS LÄN</t>
        </is>
      </c>
      <c r="G685" t="inlineStr">
        <is>
          <t>HAGFORS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61304-2023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45264</v>
      </c>
      <c r="E686" s="1" t="n">
        <v>46225</v>
      </c>
      <c r="F686" t="inlineStr">
        <is>
          <t>VÄRMLANDS LÄN</t>
        </is>
      </c>
      <c r="G686" t="inlineStr">
        <is>
          <t>HAGFORS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5482-2022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44595</v>
      </c>
      <c r="E687" s="1" t="n">
        <v>46225</v>
      </c>
      <c r="F687" t="inlineStr">
        <is>
          <t>VÄRMLANDS LÄN</t>
        </is>
      </c>
      <c r="G687" t="inlineStr">
        <is>
          <t>HAGFORS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30327-2022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44760</v>
      </c>
      <c r="E688" s="1" t="n">
        <v>46225</v>
      </c>
      <c r="F688" t="inlineStr">
        <is>
          <t>VÄRMLANDS LÄN</t>
        </is>
      </c>
      <c r="G688" t="inlineStr">
        <is>
          <t>HAGFORS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54929-2024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45618</v>
      </c>
      <c r="E689" s="1" t="n">
        <v>46225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49753-2023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45212</v>
      </c>
      <c r="E690" s="1" t="n">
        <v>46225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5.1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31660-2022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44776</v>
      </c>
      <c r="E691" s="1" t="n">
        <v>46225</v>
      </c>
      <c r="F691" t="inlineStr">
        <is>
          <t>VÄRMLANDS LÄN</t>
        </is>
      </c>
      <c r="G691" t="inlineStr">
        <is>
          <t>HAGFORS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56466-2024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45625</v>
      </c>
      <c r="E692" s="1" t="n">
        <v>46225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5.1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45673</v>
      </c>
      <c r="E693" s="1" t="n">
        <v>46225</v>
      </c>
      <c r="F693" t="inlineStr">
        <is>
          <t>VÄRMLANDS LÄN</t>
        </is>
      </c>
      <c r="G693" t="inlineStr">
        <is>
          <t>HAGFORS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28087-2024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45476</v>
      </c>
      <c r="E694" s="1" t="n">
        <v>46225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36206-2024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45534</v>
      </c>
      <c r="E695" s="1" t="n">
        <v>46225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31812-2024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45509</v>
      </c>
      <c r="E696" s="1" t="n">
        <v>46225</v>
      </c>
      <c r="F696" t="inlineStr">
        <is>
          <t>VÄRMLANDS LÄN</t>
        </is>
      </c>
      <c r="G696" t="inlineStr">
        <is>
          <t>HAGFORS</t>
        </is>
      </c>
      <c r="H696" t="inlineStr">
        <is>
          <t>Kommuner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42150-2024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45562</v>
      </c>
      <c r="E697" s="1" t="n">
        <v>46225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60178-2023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45258</v>
      </c>
      <c r="E698" s="1" t="n">
        <v>46225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15270-2024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45400</v>
      </c>
      <c r="E699" s="1" t="n">
        <v>46225</v>
      </c>
      <c r="F699" t="inlineStr">
        <is>
          <t>VÄRMLANDS LÄN</t>
        </is>
      </c>
      <c r="G699" t="inlineStr">
        <is>
          <t>HAGFORS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14850-2025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45743</v>
      </c>
      <c r="E700" s="1" t="n">
        <v>46225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8304-2022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44610</v>
      </c>
      <c r="E701" s="1" t="n">
        <v>46225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55447-2022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44887</v>
      </c>
      <c r="E702" s="1" t="n">
        <v>46225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44953</v>
      </c>
      <c r="E703" s="1" t="n">
        <v>46225</v>
      </c>
      <c r="F703" t="inlineStr">
        <is>
          <t>VÄRMLANDS LÄN</t>
        </is>
      </c>
      <c r="G703" t="inlineStr">
        <is>
          <t>HAGFORS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44951</v>
      </c>
      <c r="E704" s="1" t="n">
        <v>46225</v>
      </c>
      <c r="F704" t="inlineStr">
        <is>
          <t>VÄRMLANDS LÄN</t>
        </is>
      </c>
      <c r="G704" t="inlineStr">
        <is>
          <t>HAGFORS</t>
        </is>
      </c>
      <c r="H704" t="inlineStr">
        <is>
          <t>Kommuner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13850-2022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44649</v>
      </c>
      <c r="E705" s="1" t="n">
        <v>46225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61902-2021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44502</v>
      </c>
      <c r="E706" s="1" t="n">
        <v>46225</v>
      </c>
      <c r="F706" t="inlineStr">
        <is>
          <t>VÄRMLANDS LÄN</t>
        </is>
      </c>
      <c r="G706" t="inlineStr">
        <is>
          <t>HAGFORS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58307-2023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45250</v>
      </c>
      <c r="E707" s="1" t="n">
        <v>46225</v>
      </c>
      <c r="F707" t="inlineStr">
        <is>
          <t>VÄRMLANDS LÄN</t>
        </is>
      </c>
      <c r="G707" t="inlineStr">
        <is>
          <t>HAGFORS</t>
        </is>
      </c>
      <c r="H707" t="inlineStr">
        <is>
          <t>Kommuner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11104-2022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44628</v>
      </c>
      <c r="E708" s="1" t="n">
        <v>46225</v>
      </c>
      <c r="F708" t="inlineStr">
        <is>
          <t>VÄRMLANDS LÄN</t>
        </is>
      </c>
      <c r="G708" t="inlineStr">
        <is>
          <t>HAGFORS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39396-2023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45166</v>
      </c>
      <c r="E709" s="1" t="n">
        <v>46225</v>
      </c>
      <c r="F709" t="inlineStr">
        <is>
          <t>VÄRMLANDS LÄN</t>
        </is>
      </c>
      <c r="G709" t="inlineStr">
        <is>
          <t>HAGFORS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60664-2023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45259</v>
      </c>
      <c r="E710" s="1" t="n">
        <v>46225</v>
      </c>
      <c r="F710" t="inlineStr">
        <is>
          <t>VÄRMLANDS LÄN</t>
        </is>
      </c>
      <c r="G710" t="inlineStr">
        <is>
          <t>HAGFORS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8820-2024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45356</v>
      </c>
      <c r="E711" s="1" t="n">
        <v>46225</v>
      </c>
      <c r="F711" t="inlineStr">
        <is>
          <t>VÄRMLANDS LÄN</t>
        </is>
      </c>
      <c r="G711" t="inlineStr">
        <is>
          <t>HAGFORS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658-2022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44566</v>
      </c>
      <c r="E712" s="1" t="n">
        <v>46225</v>
      </c>
      <c r="F712" t="inlineStr">
        <is>
          <t>VÄRMLANDS LÄN</t>
        </is>
      </c>
      <c r="G712" t="inlineStr">
        <is>
          <t>HAGFORS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59048-2022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44903</v>
      </c>
      <c r="E713" s="1" t="n">
        <v>46225</v>
      </c>
      <c r="F713" t="inlineStr">
        <is>
          <t>VÄRMLANDS LÄN</t>
        </is>
      </c>
      <c r="G713" t="inlineStr">
        <is>
          <t>HAGFORS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45106</v>
      </c>
      <c r="E714" s="1" t="n">
        <v>46225</v>
      </c>
      <c r="F714" t="inlineStr">
        <is>
          <t>VÄRMLANDS LÄN</t>
        </is>
      </c>
      <c r="G714" t="inlineStr">
        <is>
          <t>HAGFORS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60221-2023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45258</v>
      </c>
      <c r="E715" s="1" t="n">
        <v>46225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34541-2024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45525</v>
      </c>
      <c r="E716" s="1" t="n">
        <v>46225</v>
      </c>
      <c r="F716" t="inlineStr">
        <is>
          <t>VÄRMLANDS LÄN</t>
        </is>
      </c>
      <c r="G716" t="inlineStr">
        <is>
          <t>HAGFORS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35668-2023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45147</v>
      </c>
      <c r="E717" s="1" t="n">
        <v>46225</v>
      </c>
      <c r="F717" t="inlineStr">
        <is>
          <t>VÄRMLANDS LÄN</t>
        </is>
      </c>
      <c r="G717" t="inlineStr">
        <is>
          <t>HAGFORS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46190-2024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45581</v>
      </c>
      <c r="E718" s="1" t="n">
        <v>46225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45678</v>
      </c>
      <c r="E719" s="1" t="n">
        <v>46225</v>
      </c>
      <c r="F719" t="inlineStr">
        <is>
          <t>VÄRMLANDS LÄN</t>
        </is>
      </c>
      <c r="G719" t="inlineStr">
        <is>
          <t>HAGFORS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26859-2024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45470</v>
      </c>
      <c r="E720" s="1" t="n">
        <v>46225</v>
      </c>
      <c r="F720" t="inlineStr">
        <is>
          <t>VÄRMLANDS LÄN</t>
        </is>
      </c>
      <c r="G720" t="inlineStr">
        <is>
          <t>HAGFORS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11367-2025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45726</v>
      </c>
      <c r="E721" s="1" t="n">
        <v>46225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46208-2023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45196</v>
      </c>
      <c r="E722" s="1" t="n">
        <v>46225</v>
      </c>
      <c r="F722" t="inlineStr">
        <is>
          <t>VÄRMLANDS LÄN</t>
        </is>
      </c>
      <c r="G722" t="inlineStr">
        <is>
          <t>HAGFORS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29373-2023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45106</v>
      </c>
      <c r="E723" s="1" t="n">
        <v>46225</v>
      </c>
      <c r="F723" t="inlineStr">
        <is>
          <t>VÄRMLANDS LÄN</t>
        </is>
      </c>
      <c r="G723" t="inlineStr">
        <is>
          <t>HAGFORS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4279-2024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45324</v>
      </c>
      <c r="E724" s="1" t="n">
        <v>46225</v>
      </c>
      <c r="F724" t="inlineStr">
        <is>
          <t>VÄRMLANDS LÄN</t>
        </is>
      </c>
      <c r="G724" t="inlineStr">
        <is>
          <t>HAGFORS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52378-2021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44465</v>
      </c>
      <c r="E725" s="1" t="n">
        <v>46225</v>
      </c>
      <c r="F725" t="inlineStr">
        <is>
          <t>VÄRMLANDS LÄN</t>
        </is>
      </c>
      <c r="G725" t="inlineStr">
        <is>
          <t>HAGFORS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3426-2023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44949</v>
      </c>
      <c r="E726" s="1" t="n">
        <v>46225</v>
      </c>
      <c r="F726" t="inlineStr">
        <is>
          <t>VÄRMLANDS LÄN</t>
        </is>
      </c>
      <c r="G726" t="inlineStr">
        <is>
          <t>HAGFORS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42223-2022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44830</v>
      </c>
      <c r="E727" s="1" t="n">
        <v>46225</v>
      </c>
      <c r="F727" t="inlineStr">
        <is>
          <t>VÄRMLANDS LÄN</t>
        </is>
      </c>
      <c r="G727" t="inlineStr">
        <is>
          <t>HAGFORS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17584-2023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45036</v>
      </c>
      <c r="E728" s="1" t="n">
        <v>46225</v>
      </c>
      <c r="F728" t="inlineStr">
        <is>
          <t>VÄRMLANDS LÄN</t>
        </is>
      </c>
      <c r="G728" t="inlineStr">
        <is>
          <t>HAGFORS</t>
        </is>
      </c>
      <c r="H728" t="inlineStr">
        <is>
          <t>Kommuner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32696-2023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45112</v>
      </c>
      <c r="E729" s="1" t="n">
        <v>46225</v>
      </c>
      <c r="F729" t="inlineStr">
        <is>
          <t>VÄRMLANDS LÄN</t>
        </is>
      </c>
      <c r="G729" t="inlineStr">
        <is>
          <t>HAGFORS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58799-2022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44903</v>
      </c>
      <c r="E730" s="1" t="n">
        <v>46225</v>
      </c>
      <c r="F730" t="inlineStr">
        <is>
          <t>VÄRMLANDS LÄN</t>
        </is>
      </c>
      <c r="G730" t="inlineStr">
        <is>
          <t>HAGFORS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59092-2022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44904</v>
      </c>
      <c r="E731" s="1" t="n">
        <v>46225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20466-2023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45057</v>
      </c>
      <c r="E732" s="1" t="n">
        <v>46225</v>
      </c>
      <c r="F732" t="inlineStr">
        <is>
          <t>VÄRMLANDS LÄN</t>
        </is>
      </c>
      <c r="G732" t="inlineStr">
        <is>
          <t>HAGFORS</t>
        </is>
      </c>
      <c r="H732" t="inlineStr">
        <is>
          <t>Kyrkan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32031-2024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45510</v>
      </c>
      <c r="E733" s="1" t="n">
        <v>46225</v>
      </c>
      <c r="F733" t="inlineStr">
        <is>
          <t>VÄRMLANDS LÄN</t>
        </is>
      </c>
      <c r="G733" t="inlineStr">
        <is>
          <t>HAGFORS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53192-2022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44876</v>
      </c>
      <c r="E734" s="1" t="n">
        <v>46225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2371-2025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45673</v>
      </c>
      <c r="E735" s="1" t="n">
        <v>46225</v>
      </c>
      <c r="F735" t="inlineStr">
        <is>
          <t>VÄRMLANDS LÄN</t>
        </is>
      </c>
      <c r="G735" t="inlineStr">
        <is>
          <t>HAGFORS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18014-2024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45419</v>
      </c>
      <c r="E736" s="1" t="n">
        <v>46225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1931-2024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45308</v>
      </c>
      <c r="E737" s="1" t="n">
        <v>46225</v>
      </c>
      <c r="F737" t="inlineStr">
        <is>
          <t>VÄRMLANDS LÄN</t>
        </is>
      </c>
      <c r="G737" t="inlineStr">
        <is>
          <t>HAGFORS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36013-2023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45149</v>
      </c>
      <c r="E738" s="1" t="n">
        <v>46225</v>
      </c>
      <c r="F738" t="inlineStr">
        <is>
          <t>VÄRMLANDS LÄN</t>
        </is>
      </c>
      <c r="G738" t="inlineStr">
        <is>
          <t>HAGFORS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56895-2023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45244</v>
      </c>
      <c r="E739" s="1" t="n">
        <v>46225</v>
      </c>
      <c r="F739" t="inlineStr">
        <is>
          <t>VÄRMLANDS LÄN</t>
        </is>
      </c>
      <c r="G739" t="inlineStr">
        <is>
          <t>HAGFORS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35664-2023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45147</v>
      </c>
      <c r="E740" s="1" t="n">
        <v>46225</v>
      </c>
      <c r="F740" t="inlineStr">
        <is>
          <t>VÄRMLANDS LÄN</t>
        </is>
      </c>
      <c r="G740" t="inlineStr">
        <is>
          <t>HAGFORS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6478-2025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45699</v>
      </c>
      <c r="E741" s="1" t="n">
        <v>46225</v>
      </c>
      <c r="F741" t="inlineStr">
        <is>
          <t>VÄRMLANDS LÄN</t>
        </is>
      </c>
      <c r="G741" t="inlineStr">
        <is>
          <t>HAGFORS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21309-2023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45062</v>
      </c>
      <c r="E742" s="1" t="n">
        <v>46225</v>
      </c>
      <c r="F742" t="inlineStr">
        <is>
          <t>VÄRMLANDS LÄN</t>
        </is>
      </c>
      <c r="G742" t="inlineStr">
        <is>
          <t>HAGFORS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4748-2024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45328</v>
      </c>
      <c r="E743" s="1" t="n">
        <v>46225</v>
      </c>
      <c r="F743" t="inlineStr">
        <is>
          <t>VÄRMLANDS LÄN</t>
        </is>
      </c>
      <c r="G743" t="inlineStr">
        <is>
          <t>HAGFORS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13282-2024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45386</v>
      </c>
      <c r="E744" s="1" t="n">
        <v>46225</v>
      </c>
      <c r="F744" t="inlineStr">
        <is>
          <t>VÄRMLANDS LÄN</t>
        </is>
      </c>
      <c r="G744" t="inlineStr">
        <is>
          <t>HAGFORS</t>
        </is>
      </c>
      <c r="H744" t="inlineStr">
        <is>
          <t>Kommuner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48276-2024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45590</v>
      </c>
      <c r="E745" s="1" t="n">
        <v>46225</v>
      </c>
      <c r="F745" t="inlineStr">
        <is>
          <t>VÄRMLANDS LÄN</t>
        </is>
      </c>
      <c r="G745" t="inlineStr">
        <is>
          <t>HAGFORS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57159-2024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45629</v>
      </c>
      <c r="E746" s="1" t="n">
        <v>46225</v>
      </c>
      <c r="F746" t="inlineStr">
        <is>
          <t>VÄRMLANDS LÄN</t>
        </is>
      </c>
      <c r="G746" t="inlineStr">
        <is>
          <t>HAGFORS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33146-2024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45518</v>
      </c>
      <c r="E747" s="1" t="n">
        <v>46225</v>
      </c>
      <c r="F747" t="inlineStr">
        <is>
          <t>VÄRMLANDS LÄN</t>
        </is>
      </c>
      <c r="G747" t="inlineStr">
        <is>
          <t>HAGFORS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51346-2022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44869</v>
      </c>
      <c r="E748" s="1" t="n">
        <v>46225</v>
      </c>
      <c r="F748" t="inlineStr">
        <is>
          <t>VÄRMLANDS LÄN</t>
        </is>
      </c>
      <c r="G748" t="inlineStr">
        <is>
          <t>HAGFORS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32033-2024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45510</v>
      </c>
      <c r="E749" s="1" t="n">
        <v>46225</v>
      </c>
      <c r="F749" t="inlineStr">
        <is>
          <t>VÄRMLANDS LÄN</t>
        </is>
      </c>
      <c r="G749" t="inlineStr">
        <is>
          <t>HAGFORS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42593-2021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44428</v>
      </c>
      <c r="E750" s="1" t="n">
        <v>46225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56888-2023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45244</v>
      </c>
      <c r="E751" s="1" t="n">
        <v>46225</v>
      </c>
      <c r="F751" t="inlineStr">
        <is>
          <t>VÄRMLANDS LÄN</t>
        </is>
      </c>
      <c r="G751" t="inlineStr">
        <is>
          <t>HAGFORS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9288-2025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45714</v>
      </c>
      <c r="E752" s="1" t="n">
        <v>46225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9.800000000000001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60974-2024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46225</v>
      </c>
      <c r="F753" t="inlineStr">
        <is>
          <t>VÄRMLANDS LÄN</t>
        </is>
      </c>
      <c r="G753" t="inlineStr">
        <is>
          <t>HAGFORS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26348-2024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45469</v>
      </c>
      <c r="E754" s="1" t="n">
        <v>46225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9.300000000000001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35775-2024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45532</v>
      </c>
      <c r="E755" s="1" t="n">
        <v>46225</v>
      </c>
      <c r="F755" t="inlineStr">
        <is>
          <t>VÄRMLANDS LÄN</t>
        </is>
      </c>
      <c r="G755" t="inlineStr">
        <is>
          <t>HAGFORS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45238-2024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45575</v>
      </c>
      <c r="E756" s="1" t="n">
        <v>46225</v>
      </c>
      <c r="F756" t="inlineStr">
        <is>
          <t>VÄRMLANDS LÄN</t>
        </is>
      </c>
      <c r="G756" t="inlineStr">
        <is>
          <t>HAGFORS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32149-2023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45107</v>
      </c>
      <c r="E757" s="1" t="n">
        <v>46225</v>
      </c>
      <c r="F757" t="inlineStr">
        <is>
          <t>VÄRMLANDS LÄN</t>
        </is>
      </c>
      <c r="G757" t="inlineStr">
        <is>
          <t>HAGFORS</t>
        </is>
      </c>
      <c r="I757" t="n">
        <v>9.1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26777-2023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45093</v>
      </c>
      <c r="E758" s="1" t="n">
        <v>46225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56165-2024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45624</v>
      </c>
      <c r="E759" s="1" t="n">
        <v>46225</v>
      </c>
      <c r="F759" t="inlineStr">
        <is>
          <t>VÄRMLANDS LÄN</t>
        </is>
      </c>
      <c r="G759" t="inlineStr">
        <is>
          <t>HAGFORS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3980-2025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45684</v>
      </c>
      <c r="E760" s="1" t="n">
        <v>46225</v>
      </c>
      <c r="F760" t="inlineStr">
        <is>
          <t>VÄRMLANDS LÄN</t>
        </is>
      </c>
      <c r="G760" t="inlineStr">
        <is>
          <t>HAGFORS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4012-2025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45684</v>
      </c>
      <c r="E761" s="1" t="n">
        <v>46225</v>
      </c>
      <c r="F761" t="inlineStr">
        <is>
          <t>VÄRMLANDS LÄN</t>
        </is>
      </c>
      <c r="G761" t="inlineStr">
        <is>
          <t>HAGFORS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19894-2024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45433</v>
      </c>
      <c r="E762" s="1" t="n">
        <v>46225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5796-2024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45335</v>
      </c>
      <c r="E763" s="1" t="n">
        <v>46225</v>
      </c>
      <c r="F763" t="inlineStr">
        <is>
          <t>VÄRMLANDS LÄN</t>
        </is>
      </c>
      <c r="G763" t="inlineStr">
        <is>
          <t>HAGFORS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4047-2024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45323</v>
      </c>
      <c r="E764" s="1" t="n">
        <v>46225</v>
      </c>
      <c r="F764" t="inlineStr">
        <is>
          <t>VÄRMLANDS LÄN</t>
        </is>
      </c>
      <c r="G764" t="inlineStr">
        <is>
          <t>HAGFORS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36228-2024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45534</v>
      </c>
      <c r="E765" s="1" t="n">
        <v>46225</v>
      </c>
      <c r="F765" t="inlineStr">
        <is>
          <t>VÄRMLANDS LÄN</t>
        </is>
      </c>
      <c r="G765" t="inlineStr">
        <is>
          <t>HAGFORS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42173-2024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46225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42178-2024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45562</v>
      </c>
      <c r="E767" s="1" t="n">
        <v>46225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42235-2024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45562</v>
      </c>
      <c r="E768" s="1" t="n">
        <v>46225</v>
      </c>
      <c r="F768" t="inlineStr">
        <is>
          <t>VÄRMLANDS LÄN</t>
        </is>
      </c>
      <c r="G768" t="inlineStr">
        <is>
          <t>HAGFORS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21067-2025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45777</v>
      </c>
      <c r="E769" s="1" t="n">
        <v>46225</v>
      </c>
      <c r="F769" t="inlineStr">
        <is>
          <t>VÄRMLANDS LÄN</t>
        </is>
      </c>
      <c r="G769" t="inlineStr">
        <is>
          <t>HAGFORS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47425-2024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45587</v>
      </c>
      <c r="E770" s="1" t="n">
        <v>46225</v>
      </c>
      <c r="F770" t="inlineStr">
        <is>
          <t>VÄRMLANDS LÄN</t>
        </is>
      </c>
      <c r="G770" t="inlineStr">
        <is>
          <t>HAGFORS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21729-2025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45783</v>
      </c>
      <c r="E771" s="1" t="n">
        <v>46225</v>
      </c>
      <c r="F771" t="inlineStr">
        <is>
          <t>VÄRMLANDS LÄN</t>
        </is>
      </c>
      <c r="G771" t="inlineStr">
        <is>
          <t>HAGFORS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24680-2024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45460</v>
      </c>
      <c r="E772" s="1" t="n">
        <v>46225</v>
      </c>
      <c r="F772" t="inlineStr">
        <is>
          <t>VÄRMLANDS LÄN</t>
        </is>
      </c>
      <c r="G772" t="inlineStr">
        <is>
          <t>HAGFORS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40332-2023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45169</v>
      </c>
      <c r="E773" s="1" t="n">
        <v>46225</v>
      </c>
      <c r="F773" t="inlineStr">
        <is>
          <t>VÄRMLANDS LÄN</t>
        </is>
      </c>
      <c r="G773" t="inlineStr">
        <is>
          <t>HAGFORS</t>
        </is>
      </c>
      <c r="I773" t="n">
        <v>6.3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21723-2025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45783</v>
      </c>
      <c r="E774" s="1" t="n">
        <v>46225</v>
      </c>
      <c r="F774" t="inlineStr">
        <is>
          <t>VÄRMLANDS LÄN</t>
        </is>
      </c>
      <c r="G774" t="inlineStr">
        <is>
          <t>HAGFORS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22231-2025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45785</v>
      </c>
      <c r="E775" s="1" t="n">
        <v>46225</v>
      </c>
      <c r="F775" t="inlineStr">
        <is>
          <t>VÄRMLANDS LÄN</t>
        </is>
      </c>
      <c r="G775" t="inlineStr">
        <is>
          <t>HAGFORS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22461-2025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45786</v>
      </c>
      <c r="E776" s="1" t="n">
        <v>46225</v>
      </c>
      <c r="F776" t="inlineStr">
        <is>
          <t>VÄRMLANDS LÄN</t>
        </is>
      </c>
      <c r="G776" t="inlineStr">
        <is>
          <t>HAGFORS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17833-2022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44683</v>
      </c>
      <c r="E777" s="1" t="n">
        <v>46225</v>
      </c>
      <c r="F777" t="inlineStr">
        <is>
          <t>VÄRMLANDS LÄN</t>
        </is>
      </c>
      <c r="G777" t="inlineStr">
        <is>
          <t>HAGFORS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22917-2025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45790</v>
      </c>
      <c r="E778" s="1" t="n">
        <v>46225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22964-2025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45790</v>
      </c>
      <c r="E779" s="1" t="n">
        <v>46225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22799-2025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45789</v>
      </c>
      <c r="E780" s="1" t="n">
        <v>46225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23268-2025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45791</v>
      </c>
      <c r="E781" s="1" t="n">
        <v>46225</v>
      </c>
      <c r="F781" t="inlineStr">
        <is>
          <t>VÄRMLANDS LÄN</t>
        </is>
      </c>
      <c r="G781" t="inlineStr">
        <is>
          <t>HAGFORS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23556-2025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45792</v>
      </c>
      <c r="E782" s="1" t="n">
        <v>46225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23525-2025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45792</v>
      </c>
      <c r="E783" s="1" t="n">
        <v>46225</v>
      </c>
      <c r="F783" t="inlineStr">
        <is>
          <t>VÄRMLANDS LÄN</t>
        </is>
      </c>
      <c r="G783" t="inlineStr">
        <is>
          <t>HAGFORS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38239-2024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45545</v>
      </c>
      <c r="E784" s="1" t="n">
        <v>46225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5.1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54008-2024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45615</v>
      </c>
      <c r="E785" s="1" t="n">
        <v>46225</v>
      </c>
      <c r="F785" t="inlineStr">
        <is>
          <t>VÄRMLANDS LÄN</t>
        </is>
      </c>
      <c r="G785" t="inlineStr">
        <is>
          <t>HAGFORS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55950-2024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45623</v>
      </c>
      <c r="E786" s="1" t="n">
        <v>46225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23674-2025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45793</v>
      </c>
      <c r="E787" s="1" t="n">
        <v>46225</v>
      </c>
      <c r="F787" t="inlineStr">
        <is>
          <t>VÄRMLANDS LÄN</t>
        </is>
      </c>
      <c r="G787" t="inlineStr">
        <is>
          <t>HAGFORS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15643-2024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45404</v>
      </c>
      <c r="E788" s="1" t="n">
        <v>46225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6.1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23712-2025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45793</v>
      </c>
      <c r="E789" s="1" t="n">
        <v>46225</v>
      </c>
      <c r="F789" t="inlineStr">
        <is>
          <t>VÄRMLANDS LÄN</t>
        </is>
      </c>
      <c r="G789" t="inlineStr">
        <is>
          <t>HAGFORS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24435-2025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45797</v>
      </c>
      <c r="E790" s="1" t="n">
        <v>46225</v>
      </c>
      <c r="F790" t="inlineStr">
        <is>
          <t>VÄRMLANDS LÄN</t>
        </is>
      </c>
      <c r="G790" t="inlineStr">
        <is>
          <t>HAGFORS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16798-2025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45754</v>
      </c>
      <c r="E791" s="1" t="n">
        <v>46225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24434-2025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45797</v>
      </c>
      <c r="E792" s="1" t="n">
        <v>46225</v>
      </c>
      <c r="F792" t="inlineStr">
        <is>
          <t>VÄRMLANDS LÄN</t>
        </is>
      </c>
      <c r="G792" t="inlineStr">
        <is>
          <t>HAGFORS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13524-2025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45736</v>
      </c>
      <c r="E793" s="1" t="n">
        <v>46225</v>
      </c>
      <c r="F793" t="inlineStr">
        <is>
          <t>VÄRMLANDS LÄN</t>
        </is>
      </c>
      <c r="G793" t="inlineStr">
        <is>
          <t>HAGFORS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24438-2025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45797</v>
      </c>
      <c r="E794" s="1" t="n">
        <v>46225</v>
      </c>
      <c r="F794" t="inlineStr">
        <is>
          <t>VÄRMLANDS LÄN</t>
        </is>
      </c>
      <c r="G794" t="inlineStr">
        <is>
          <t>HAGFORS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2225-2020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44127</v>
      </c>
      <c r="E795" s="1" t="n">
        <v>46225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2050-2022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44671</v>
      </c>
      <c r="E796" s="1" t="n">
        <v>46225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937-2022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46225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931-2022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46225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49.5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262-2022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44578</v>
      </c>
      <c r="E799" s="1" t="n">
        <v>46225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78.90000000000001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907-2022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46225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913-2022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46225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898-2022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46225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900-2022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46225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914-2022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46225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19.3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4419-2023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46225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35.6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4420-2023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46225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44.2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4426-2023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46225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5512-2022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44834</v>
      </c>
      <c r="E808" s="1" t="n">
        <v>46225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4415-2023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46225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9.199999999999999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6970-2022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46225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29.3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4408-2023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46225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6968-2022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44901</v>
      </c>
      <c r="E812" s="1" t="n">
        <v>46225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19.3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4423-2023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46225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4418-2023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46225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19.1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651-2024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45356</v>
      </c>
      <c r="E815" s="1" t="n">
        <v>46225</v>
      </c>
      <c r="F815" t="inlineStr">
        <is>
          <t>VÄRMLANDS LÄN</t>
        </is>
      </c>
      <c r="G815" t="inlineStr">
        <is>
          <t>HAGFORS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4145-2023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46225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46225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27.1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89-2025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45316</v>
      </c>
      <c r="E818" s="1" t="n">
        <v>46225</v>
      </c>
      <c r="F818" t="inlineStr">
        <is>
          <t>VÄRMLANDS LÄN</t>
        </is>
      </c>
      <c r="G818" t="inlineStr">
        <is>
          <t>HAGFORS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6969-2022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46225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220-2025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45680</v>
      </c>
      <c r="E820" s="1" t="n">
        <v>46225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4150-2023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46225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4410-2023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46225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4409-2023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46225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4155-2023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46225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4140-2023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46225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46225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46225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30.1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4143-2023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46225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4407-2023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46225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6965-2022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46225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45716</v>
      </c>
      <c r="E831" s="1" t="n">
        <v>46225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108-2026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46037</v>
      </c>
      <c r="E832" s="1" t="n">
        <v>46225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204.4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46036</v>
      </c>
      <c r="E833" s="1" t="n">
        <v>46225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57.9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60-2026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46013</v>
      </c>
      <c r="E834" s="1" t="n">
        <v>46225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382-2025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45691</v>
      </c>
      <c r="E835" s="1" t="n">
        <v>46225</v>
      </c>
      <c r="F835" t="inlineStr">
        <is>
          <t>VÄRMLANDS LÄN</t>
        </is>
      </c>
      <c r="G835" t="inlineStr">
        <is>
          <t>HAGFORS</t>
        </is>
      </c>
      <c r="I835" t="n">
        <v>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2026-07-22T01:39:10Z</dcterms:created>
  <dcterms:modified xmlns:dcterms="http://purl.org/dc/terms/" xmlns:xsi="http://www.w3.org/2001/XMLSchema-instance" xsi:type="dcterms:W3CDTF">2026-07-22T01:39:11Z</dcterms:modified>
</cp:coreProperties>
</file>