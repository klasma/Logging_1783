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34096-2026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46252</v>
      </c>
      <c r="E2" s="1" t="n">
        <v>46308</v>
      </c>
      <c r="F2" t="inlineStr">
        <is>
          <t>VÄRMLANDS LÄN</t>
        </is>
      </c>
      <c r="G2" t="inlineStr">
        <is>
          <t>HAGFORS</t>
        </is>
      </c>
      <c r="H2" t="inlineStr">
        <is>
          <t>Bergvik skog väst AB</t>
        </is>
      </c>
      <c r="I2" t="n">
        <v>24.7</v>
      </c>
      <c r="J2" t="n">
        <v>3</v>
      </c>
      <c r="K2" t="n">
        <v>1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12</v>
      </c>
      <c r="T2" t="n">
        <v>44</v>
      </c>
      <c r="U2" t="n">
        <v>30</v>
      </c>
      <c r="V2" s="2" t="inlineStr">
        <is>
          <t>Garnlav
Dvärgbägarlav
Kolflarnlav
Mörk kolflarnlav
Stjärntagging
Vedskivlav
Vedtrappmossa
Violettgrå tagellav
Vågbandad barkbock
Spillkråka
Tofsmes
Fläcknycklar</t>
        </is>
      </c>
      <c r="W2">
        <f>HYPERLINK("https://klasma.github.io/Logging_1783/artfynd/A 34096-2026 artfynd.xlsx", "A 34096-2026")</f>
        <v/>
      </c>
      <c r="X2">
        <f>HYPERLINK("https://klasma.github.io/Logging_1783/kartor/A 34096-2026 karta.png", "A 34096-2026")</f>
        <v/>
      </c>
      <c r="Y2">
        <f>HYPERLINK("https://klasma.github.io/Logging_1783/kartor_geotiff/A 34096-2026 georefererad karta.tif", "A 34096-2026")</f>
        <v/>
      </c>
      <c r="AA2">
        <f>HYPERLINK("https://klasma.github.io/Logging_1783/klagomål/A 34096-2026 FSC-klagomål.docx", "A 34096-2026")</f>
        <v/>
      </c>
      <c r="AB2">
        <f>HYPERLINK("https://klasma.github.io/Logging_1783/klagomålsmail/A 34096-2026 FSC-klagomål mail.docx", "A 34096-2026")</f>
        <v/>
      </c>
      <c r="AC2">
        <f>HYPERLINK("https://klasma.github.io/Logging_1783/tillsyn/A 34096-2026 tillsynsbegäran.docx", "A 34096-2026")</f>
        <v/>
      </c>
      <c r="AD2">
        <f>HYPERLINK("https://klasma.github.io/Logging_1783/tillsynsmail/A 34096-2026 tillsynsbegäran mail.docx", "A 34096-2026")</f>
        <v/>
      </c>
      <c r="AE2">
        <f>HYPERLINK("https://klasma.github.io/Logging_1783/fåglar/A 34096-2026 prioriterade fågelarter.docx", "A 34096-2026")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46308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45167</v>
      </c>
      <c r="E4" s="1" t="n">
        <v>46308</v>
      </c>
      <c r="F4" t="inlineStr">
        <is>
          <t>VÄRMLANDS LÄN</t>
        </is>
      </c>
      <c r="G4" t="inlineStr">
        <is>
          <t>HAGFORS</t>
        </is>
      </c>
      <c r="I4" t="n">
        <v>20.2</v>
      </c>
      <c r="J4" t="n">
        <v>0</v>
      </c>
      <c r="K4" t="n">
        <v>3</v>
      </c>
      <c r="L4" t="n">
        <v>9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t="n">
        <v>0</v>
      </c>
      <c r="S4" t="n">
        <v>12</v>
      </c>
      <c r="T4" t="n">
        <v>18</v>
      </c>
      <c r="U4" t="n">
        <v>11</v>
      </c>
      <c r="V4" s="2" t="inlineStr">
        <is>
          <t>Dropptaggsvamp
Dvärgbägarlav
Kolflarnlav
Kortskaftad ärgspik
Lunglav
Skuggblåslav
Smal trollknäppare
Vedskivlav
Vedtrappmossa
Bårdlav
Korallblylav
Vedticka</t>
        </is>
      </c>
      <c r="W4">
        <f>HYPERLINK("https://klasma.github.io/Logging_1783/artfynd/A 39627-2023 artfynd.xlsx", "A 39627-2023")</f>
        <v/>
      </c>
      <c r="X4">
        <f>HYPERLINK("https://klasma.github.io/Logging_1783/kartor/A 39627-2023 karta.png", "A 39627-2023")</f>
        <v/>
      </c>
      <c r="Y4">
        <f>HYPERLINK("https://klasma.github.io/Logging_1783/kartor_geotiff/A 39627-2023 georefererad karta.tif", "A 39627-2023")</f>
        <v/>
      </c>
      <c r="AA4">
        <f>HYPERLINK("https://klasma.github.io/Logging_1783/klagomål/A 39627-2023 FSC-klagomål.docx", "A 39627-2023")</f>
        <v/>
      </c>
      <c r="AB4">
        <f>HYPERLINK("https://klasma.github.io/Logging_1783/klagomålsmail/A 39627-2023 FSC-klagomål mail.docx", "A 39627-2023")</f>
        <v/>
      </c>
      <c r="AC4">
        <f>HYPERLINK("https://klasma.github.io/Logging_1783/tillsyn/A 39627-2023 tillsynsbegäran.docx", "A 39627-2023")</f>
        <v/>
      </c>
      <c r="AD4">
        <f>HYPERLINK("https://klasma.github.io/Logging_1783/tillsynsmail/A 39627-2023 tillsynsbegäran mail.docx", "A 39627-2023")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46308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46308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46308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46308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46308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46308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46308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46308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46308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46308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46308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46308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46308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46308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46308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46308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15738-2022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44663</v>
      </c>
      <c r="E30" s="1" t="n">
        <v>46308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Trådticka</t>
        </is>
      </c>
      <c r="W30">
        <f>HYPERLINK("https://klasma.github.io/Logging_1783/artfynd/A 15738-2022 artfynd.xlsx", "A 15738-2022")</f>
        <v/>
      </c>
      <c r="X30">
        <f>HYPERLINK("https://klasma.github.io/Logging_1783/kartor/A 15738-2022 karta.png", "A 15738-2022")</f>
        <v/>
      </c>
      <c r="Y30">
        <f>HYPERLINK("https://klasma.github.io/Logging_1783/kartor_geotiff/A 15738-2022 georefererad karta.tif", "A 15738-2022")</f>
        <v/>
      </c>
      <c r="AA30">
        <f>HYPERLINK("https://klasma.github.io/Logging_1783/klagomål/A 15738-2022 FSC-klagomål.docx", "A 15738-2022")</f>
        <v/>
      </c>
      <c r="AB30">
        <f>HYPERLINK("https://klasma.github.io/Logging_1783/klagomålsmail/A 15738-2022 FSC-klagomål mail.docx", "A 15738-2022")</f>
        <v/>
      </c>
      <c r="AC30">
        <f>HYPERLINK("https://klasma.github.io/Logging_1783/tillsyn/A 15738-2022 tillsynsbegäran.docx", "A 15738-2022")</f>
        <v/>
      </c>
      <c r="AD30">
        <f>HYPERLINK("https://klasma.github.io/Logging_1783/tillsynsmail/A 15738-2022 tillsynsbegäran mail.docx", "A 15738-2022")</f>
        <v/>
      </c>
    </row>
    <row r="31" ht="15" customHeight="1">
      <c r="A31" t="inlineStr">
        <is>
          <t>A 14850-2025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46308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3.6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HYPERLINK("https://klasma.github.io/Logging_1783/artfynd/A 14850-2025 artfynd.xlsx", "A 14850-2025")</f>
        <v/>
      </c>
      <c r="X31">
        <f>HYPERLINK("https://klasma.github.io/Logging_1783/kartor/A 14850-2025 karta.png", "A 14850-2025")</f>
        <v/>
      </c>
      <c r="Y31">
        <f>HYPERLINK("https://klasma.github.io/Logging_1783/kartor_geotiff/A 14850-2025 georefererad karta.tif", "A 14850-2025")</f>
        <v/>
      </c>
      <c r="AA31">
        <f>HYPERLINK("https://klasma.github.io/Logging_1783/klagomål/A 14850-2025 FSC-klagomål.docx", "A 14850-2025")</f>
        <v/>
      </c>
      <c r="AB31">
        <f>HYPERLINK("https://klasma.github.io/Logging_1783/klagomålsmail/A 14850-2025 FSC-klagomål mail.docx", "A 14850-2025")</f>
        <v/>
      </c>
      <c r="AC31">
        <f>HYPERLINK("https://klasma.github.io/Logging_1783/tillsyn/A 14850-2025 tillsynsbegäran.docx", "A 14850-2025")</f>
        <v/>
      </c>
      <c r="AD31">
        <f>HYPERLINK("https://klasma.github.io/Logging_1783/tillsynsmail/A 14850-2025 tillsynsbegäran mail.docx", "A 14850-2025")</f>
        <v/>
      </c>
    </row>
    <row r="32" ht="15" customHeight="1">
      <c r="A32" t="inlineStr">
        <is>
          <t>A 15219-2025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46308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15.8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2</v>
      </c>
      <c r="V32" s="2" t="inlineStr">
        <is>
          <t>Borsttagging</t>
        </is>
      </c>
      <c r="W32">
        <f>HYPERLINK("https://klasma.github.io/Logging_1783/artfynd/A 15219-2025 artfynd.xlsx", "A 15219-2025")</f>
        <v/>
      </c>
      <c r="X32">
        <f>HYPERLINK("https://klasma.github.io/Logging_1783/kartor/A 15219-2025 karta.png", "A 15219-2025")</f>
        <v/>
      </c>
      <c r="Y32">
        <f>HYPERLINK("https://klasma.github.io/Logging_1783/kartor_geotiff/A 15219-2025 georefererad karta.tif", "A 15219-2025")</f>
        <v/>
      </c>
      <c r="AA32">
        <f>HYPERLINK("https://klasma.github.io/Logging_1783/klagomål/A 15219-2025 FSC-klagomål.docx", "A 15219-2025")</f>
        <v/>
      </c>
      <c r="AB32">
        <f>HYPERLINK("https://klasma.github.io/Logging_1783/klagomålsmail/A 15219-2025 FSC-klagomål mail.docx", "A 15219-2025")</f>
        <v/>
      </c>
      <c r="AC32">
        <f>HYPERLINK("https://klasma.github.io/Logging_1783/tillsyn/A 15219-2025 tillsynsbegäran.docx", "A 15219-2025")</f>
        <v/>
      </c>
      <c r="AD32">
        <f>HYPERLINK("https://klasma.github.io/Logging_1783/tillsynsmail/A 15219-2025 tillsynsbegäran mail.docx", "A 15219-2025")</f>
        <v/>
      </c>
    </row>
    <row r="33" ht="15" customHeight="1">
      <c r="A33" t="inlineStr">
        <is>
          <t>A 24659-2026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46308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82.3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HYPERLINK("https://klasma.github.io/Logging_1783/artfynd/A 24659-2026 artfynd.xlsx", "A 24659-2026")</f>
        <v/>
      </c>
      <c r="X33">
        <f>HYPERLINK("https://klasma.github.io/Logging_1783/kartor/A 24659-2026 karta.png", "A 24659-2026")</f>
        <v/>
      </c>
      <c r="Y33">
        <f>HYPERLINK("https://klasma.github.io/Logging_1783/kartor_geotiff/A 24659-2026 georefererad karta.tif", "A 24659-2026")</f>
        <v/>
      </c>
      <c r="AA33">
        <f>HYPERLINK("https://klasma.github.io/Logging_1783/klagomål/A 24659-2026 FSC-klagomål.docx", "A 24659-2026")</f>
        <v/>
      </c>
      <c r="AB33">
        <f>HYPERLINK("https://klasma.github.io/Logging_1783/klagomålsmail/A 24659-2026 FSC-klagomål mail.docx", "A 24659-2026")</f>
        <v/>
      </c>
      <c r="AC33">
        <f>HYPERLINK("https://klasma.github.io/Logging_1783/tillsyn/A 24659-2026 tillsynsbegäran.docx", "A 24659-2026")</f>
        <v/>
      </c>
      <c r="AD33">
        <f>HYPERLINK("https://klasma.github.io/Logging_1783/tillsynsmail/A 24659-2026 tillsynsbegäran mail.docx", "A 24659-2026")</f>
        <v/>
      </c>
    </row>
    <row r="34" ht="15" customHeight="1">
      <c r="A34" t="inlineStr">
        <is>
          <t>A 24716-2026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46308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82.3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HYPERLINK("https://klasma.github.io/Logging_1783/artfynd/A 24716-2026 artfynd.xlsx", "A 24716-2026")</f>
        <v/>
      </c>
      <c r="X34">
        <f>HYPERLINK("https://klasma.github.io/Logging_1783/kartor/A 24716-2026 karta.png", "A 24716-2026")</f>
        <v/>
      </c>
      <c r="Y34">
        <f>HYPERLINK("https://klasma.github.io/Logging_1783/kartor_geotiff/A 24716-2026 georefererad karta.tif", "A 24716-2026")</f>
        <v/>
      </c>
      <c r="AA34">
        <f>HYPERLINK("https://klasma.github.io/Logging_1783/klagomål/A 24716-2026 FSC-klagomål.docx", "A 24716-2026")</f>
        <v/>
      </c>
      <c r="AB34">
        <f>HYPERLINK("https://klasma.github.io/Logging_1783/klagomålsmail/A 24716-2026 FSC-klagomål mail.docx", "A 24716-2026")</f>
        <v/>
      </c>
      <c r="AC34">
        <f>HYPERLINK("https://klasma.github.io/Logging_1783/tillsyn/A 24716-2026 tillsynsbegäran.docx", "A 24716-2026")</f>
        <v/>
      </c>
      <c r="AD34">
        <f>HYPERLINK("https://klasma.github.io/Logging_1783/tillsynsmail/A 24716-2026 tillsynsbegäran mail.docx", "A 24716-2026")</f>
        <v/>
      </c>
    </row>
    <row r="35" ht="15" customHeight="1">
      <c r="A35" t="inlineStr">
        <is>
          <t>A 26189-2026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46308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Sävsparv</t>
        </is>
      </c>
      <c r="W35">
        <f>HYPERLINK("https://klasma.github.io/Logging_1783/artfynd/A 26189-2026 artfynd.xlsx", "A 26189-2026")</f>
        <v/>
      </c>
      <c r="X35">
        <f>HYPERLINK("https://klasma.github.io/Logging_1783/kartor/A 26189-2026 karta.png", "A 26189-2026")</f>
        <v/>
      </c>
      <c r="Y35">
        <f>HYPERLINK("https://klasma.github.io/Logging_1783/kartor_geotiff/A 26189-2026 georefererad karta.tif", "A 26189-2026")</f>
        <v/>
      </c>
      <c r="AA35">
        <f>HYPERLINK("https://klasma.github.io/Logging_1783/klagomål/A 26189-2026 FSC-klagomål.docx", "A 26189-2026")</f>
        <v/>
      </c>
      <c r="AB35">
        <f>HYPERLINK("https://klasma.github.io/Logging_1783/klagomålsmail/A 26189-2026 FSC-klagomål mail.docx", "A 26189-2026")</f>
        <v/>
      </c>
      <c r="AC35">
        <f>HYPERLINK("https://klasma.github.io/Logging_1783/tillsyn/A 26189-2026 tillsynsbegäran.docx", "A 26189-2026")</f>
        <v/>
      </c>
      <c r="AD35">
        <f>HYPERLINK("https://klasma.github.io/Logging_1783/tillsynsmail/A 26189-2026 tillsynsbegäran mail.docx", "A 26189-2026")</f>
        <v/>
      </c>
      <c r="AE35">
        <f>HYPERLINK("https://klasma.github.io/Logging_1783/fåglar/A 26189-2026 prioriterade fågelarter.docx", "A 26189-2026")</f>
        <v/>
      </c>
    </row>
    <row r="36" ht="15" customHeight="1">
      <c r="A36" t="inlineStr">
        <is>
          <t>A 50030-2025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45943</v>
      </c>
      <c r="E36" s="1" t="n">
        <v>46308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9.9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HYPERLINK("https://klasma.github.io/Logging_1783/artfynd/A 50030-2025 artfynd.xlsx", "A 50030-2025")</f>
        <v/>
      </c>
      <c r="X36">
        <f>HYPERLINK("https://klasma.github.io/Logging_1783/kartor/A 50030-2025 karta.png", "A 50030-2025")</f>
        <v/>
      </c>
      <c r="Y36">
        <f>HYPERLINK("https://klasma.github.io/Logging_1783/kartor_geotiff/A 50030-2025 georefererad karta.tif", "A 50030-2025")</f>
        <v/>
      </c>
      <c r="AA36">
        <f>HYPERLINK("https://klasma.github.io/Logging_1783/klagomål/A 50030-2025 FSC-klagomål.docx", "A 50030-2025")</f>
        <v/>
      </c>
      <c r="AB36">
        <f>HYPERLINK("https://klasma.github.io/Logging_1783/klagomålsmail/A 50030-2025 FSC-klagomål mail.docx", "A 50030-2025")</f>
        <v/>
      </c>
      <c r="AC36">
        <f>HYPERLINK("https://klasma.github.io/Logging_1783/tillsyn/A 50030-2025 tillsynsbegäran.docx", "A 50030-2025")</f>
        <v/>
      </c>
      <c r="AD36">
        <f>HYPERLINK("https://klasma.github.io/Logging_1783/tillsynsmail/A 50030-2025 tillsynsbegäran mail.docx", "A 50030-2025")</f>
        <v/>
      </c>
    </row>
    <row r="37" ht="15" customHeight="1">
      <c r="A37" t="inlineStr">
        <is>
          <t>A 29432-2026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46203</v>
      </c>
      <c r="E37" s="1" t="n">
        <v>46308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Vedtrappmossa</t>
        </is>
      </c>
      <c r="W37">
        <f>HYPERLINK("https://klasma.github.io/Logging_1783/artfynd/A 29432-2026 artfynd.xlsx", "A 29432-2026")</f>
        <v/>
      </c>
      <c r="X37">
        <f>HYPERLINK("https://klasma.github.io/Logging_1783/kartor/A 29432-2026 karta.png", "A 29432-2026")</f>
        <v/>
      </c>
      <c r="Y37">
        <f>HYPERLINK("https://klasma.github.io/Logging_1783/kartor_geotiff/A 29432-2026 georefererad karta.tif", "A 29432-2026")</f>
        <v/>
      </c>
      <c r="AA37">
        <f>HYPERLINK("https://klasma.github.io/Logging_1783/klagomål/A 29432-2026 FSC-klagomål.docx", "A 29432-2026")</f>
        <v/>
      </c>
      <c r="AB37">
        <f>HYPERLINK("https://klasma.github.io/Logging_1783/klagomålsmail/A 29432-2026 FSC-klagomål mail.docx", "A 29432-2026")</f>
        <v/>
      </c>
      <c r="AC37">
        <f>HYPERLINK("https://klasma.github.io/Logging_1783/tillsyn/A 29432-2026 tillsynsbegäran.docx", "A 29432-2026")</f>
        <v/>
      </c>
      <c r="AD37">
        <f>HYPERLINK("https://klasma.github.io/Logging_1783/tillsynsmail/A 29432-2026 tillsynsbegäran mail.docx", "A 29432-2026")</f>
        <v/>
      </c>
    </row>
    <row r="38" ht="15" customHeight="1">
      <c r="A38" t="inlineStr">
        <is>
          <t>A 55484-2025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46308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HYPERLINK("https://klasma.github.io/Logging_1783/artfynd/A 55484-2025 artfynd.xlsx", "A 55484-2025")</f>
        <v/>
      </c>
      <c r="X38">
        <f>HYPERLINK("https://klasma.github.io/Logging_1783/kartor/A 55484-2025 karta.png", "A 55484-2025")</f>
        <v/>
      </c>
      <c r="Y38">
        <f>HYPERLINK("https://klasma.github.io/Logging_1783/kartor_geotiff/A 55484-2025 georefererad karta.tif", "A 55484-2025")</f>
        <v/>
      </c>
      <c r="AA38">
        <f>HYPERLINK("https://klasma.github.io/Logging_1783/klagomål/A 55484-2025 FSC-klagomål.docx", "A 55484-2025")</f>
        <v/>
      </c>
      <c r="AB38">
        <f>HYPERLINK("https://klasma.github.io/Logging_1783/klagomålsmail/A 55484-2025 FSC-klagomål mail.docx", "A 55484-2025")</f>
        <v/>
      </c>
      <c r="AC38">
        <f>HYPERLINK("https://klasma.github.io/Logging_1783/tillsyn/A 55484-2025 tillsynsbegäran.docx", "A 55484-2025")</f>
        <v/>
      </c>
      <c r="AD38">
        <f>HYPERLINK("https://klasma.github.io/Logging_1783/tillsynsmail/A 55484-2025 tillsynsbegäran mail.docx", "A 55484-2025")</f>
        <v/>
      </c>
    </row>
    <row r="39" ht="15" customHeight="1">
      <c r="A39" t="inlineStr">
        <is>
          <t>A 22484-2025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45786</v>
      </c>
      <c r="E39" s="1" t="n">
        <v>46308</v>
      </c>
      <c r="F39" t="inlineStr">
        <is>
          <t>VÄRMLANDS LÄN</t>
        </is>
      </c>
      <c r="G39" t="inlineStr">
        <is>
          <t>HAGFORS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Rödlånke</t>
        </is>
      </c>
      <c r="W39">
        <f>HYPERLINK("https://klasma.github.io/Logging_1783/artfynd/A 22484-2025 artfynd.xlsx", "A 22484-2025")</f>
        <v/>
      </c>
      <c r="X39">
        <f>HYPERLINK("https://klasma.github.io/Logging_1783/kartor/A 22484-2025 karta.png", "A 22484-2025")</f>
        <v/>
      </c>
      <c r="Y39">
        <f>HYPERLINK("https://klasma.github.io/Logging_1783/kartor_geotiff/A 22484-2025 georefererad karta.tif", "A 22484-2025")</f>
        <v/>
      </c>
      <c r="AA39">
        <f>HYPERLINK("https://klasma.github.io/Logging_1783/klagomål/A 22484-2025 FSC-klagomål.docx", "A 22484-2025")</f>
        <v/>
      </c>
      <c r="AB39">
        <f>HYPERLINK("https://klasma.github.io/Logging_1783/klagomålsmail/A 22484-2025 FSC-klagomål mail.docx", "A 22484-2025")</f>
        <v/>
      </c>
      <c r="AC39">
        <f>HYPERLINK("https://klasma.github.io/Logging_1783/tillsyn/A 22484-2025 tillsynsbegäran.docx", "A 22484-2025")</f>
        <v/>
      </c>
      <c r="AD39">
        <f>HYPERLINK("https://klasma.github.io/Logging_1783/tillsynsmail/A 22484-2025 tillsynsbegäran mail.docx", "A 22484-2025")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46308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HYPERLINK("https://klasma.github.io/Logging_1783/artfynd/A 24885-2025 artfynd.xlsx", "A 24885-2025")</f>
        <v/>
      </c>
      <c r="X40">
        <f>HYPERLINK("https://klasma.github.io/Logging_1783/kartor/A 24885-2025 karta.png", "A 24885-2025")</f>
        <v/>
      </c>
      <c r="Y40">
        <f>HYPERLINK("https://klasma.github.io/Logging_1783/kartor_geotiff/A 24885-2025 georefererad karta.tif", "A 24885-2025")</f>
        <v/>
      </c>
      <c r="AA40">
        <f>HYPERLINK("https://klasma.github.io/Logging_1783/klagomål/A 24885-2025 FSC-klagomål.docx", "A 24885-2025")</f>
        <v/>
      </c>
      <c r="AB40">
        <f>HYPERLINK("https://klasma.github.io/Logging_1783/klagomålsmail/A 24885-2025 FSC-klagomål mail.docx", "A 24885-2025")</f>
        <v/>
      </c>
      <c r="AC40">
        <f>HYPERLINK("https://klasma.github.io/Logging_1783/tillsyn/A 24885-2025 tillsynsbegäran.docx", "A 24885-2025")</f>
        <v/>
      </c>
      <c r="AD40">
        <f>HYPERLINK("https://klasma.github.io/Logging_1783/tillsynsmail/A 24885-2025 tillsynsbegäran mail.docx", "A 24885-2025")</f>
        <v/>
      </c>
    </row>
    <row r="41" ht="15" customHeight="1">
      <c r="A41" t="inlineStr">
        <is>
          <t>A 31742-2026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46227</v>
      </c>
      <c r="E41" s="1" t="n">
        <v>46308</v>
      </c>
      <c r="F41" t="inlineStr">
        <is>
          <t>VÄRMLANDS LÄN</t>
        </is>
      </c>
      <c r="G41" t="inlineStr">
        <is>
          <t>HAGFORS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HYPERLINK("https://klasma.github.io/Logging_1783/artfynd/A 31742-2026 artfynd.xlsx", "A 31742-2026")</f>
        <v/>
      </c>
      <c r="X41">
        <f>HYPERLINK("https://klasma.github.io/Logging_1783/kartor/A 31742-2026 karta.png", "A 31742-2026")</f>
        <v/>
      </c>
      <c r="Y41">
        <f>HYPERLINK("https://klasma.github.io/Logging_1783/kartor_geotiff/A 31742-2026 georefererad karta.tif", "A 31742-2026")</f>
        <v/>
      </c>
      <c r="AA41">
        <f>HYPERLINK("https://klasma.github.io/Logging_1783/klagomål/A 31742-2026 FSC-klagomål.docx", "A 31742-2026")</f>
        <v/>
      </c>
      <c r="AB41">
        <f>HYPERLINK("https://klasma.github.io/Logging_1783/klagomålsmail/A 31742-2026 FSC-klagomål mail.docx", "A 31742-2026")</f>
        <v/>
      </c>
      <c r="AC41">
        <f>HYPERLINK("https://klasma.github.io/Logging_1783/tillsyn/A 31742-2026 tillsynsbegäran.docx", "A 31742-2026")</f>
        <v/>
      </c>
      <c r="AD41">
        <f>HYPERLINK("https://klasma.github.io/Logging_1783/tillsynsmail/A 31742-2026 tillsynsbegäran mail.docx", "A 31742-2026")</f>
        <v/>
      </c>
    </row>
    <row r="42" ht="15" customHeight="1">
      <c r="A42" t="inlineStr">
        <is>
          <t>A 26624-2025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45810</v>
      </c>
      <c r="E42" s="1" t="n">
        <v>46308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HYPERLINK("https://klasma.github.io/Logging_1783/artfynd/A 26624-2025 artfynd.xlsx", "A 26624-2025")</f>
        <v/>
      </c>
      <c r="X42">
        <f>HYPERLINK("https://klasma.github.io/Logging_1783/kartor/A 26624-2025 karta.png", "A 26624-2025")</f>
        <v/>
      </c>
      <c r="Y42">
        <f>HYPERLINK("https://klasma.github.io/Logging_1783/kartor_geotiff/A 26624-2025 georefererad karta.tif", "A 26624-2025")</f>
        <v/>
      </c>
      <c r="AA42">
        <f>HYPERLINK("https://klasma.github.io/Logging_1783/klagomål/A 26624-2025 FSC-klagomål.docx", "A 26624-2025")</f>
        <v/>
      </c>
      <c r="AB42">
        <f>HYPERLINK("https://klasma.github.io/Logging_1783/klagomålsmail/A 26624-2025 FSC-klagomål mail.docx", "A 26624-2025")</f>
        <v/>
      </c>
      <c r="AC42">
        <f>HYPERLINK("https://klasma.github.io/Logging_1783/tillsyn/A 26624-2025 tillsynsbegäran.docx", "A 26624-2025")</f>
        <v/>
      </c>
      <c r="AD42">
        <f>HYPERLINK("https://klasma.github.io/Logging_1783/tillsynsmail/A 26624-2025 tillsynsbegäran mail.docx", "A 26624-2025")</f>
        <v/>
      </c>
    </row>
    <row r="43" ht="15" customHeight="1">
      <c r="A43" t="inlineStr">
        <is>
          <t>A 36223-2026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8.699999999999999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Gråspett</t>
        </is>
      </c>
      <c r="W43">
        <f>HYPERLINK("https://klasma.github.io/Logging_1783/artfynd/A 36223-2026 artfynd.xlsx", "A 36223-2026")</f>
        <v/>
      </c>
      <c r="X43">
        <f>HYPERLINK("https://klasma.github.io/Logging_1783/kartor/A 36223-2026 karta.png", "A 36223-2026")</f>
        <v/>
      </c>
      <c r="Y43">
        <f>HYPERLINK("https://klasma.github.io/Logging_1783/kartor_geotiff/A 36223-2026 georefererad karta.tif", "A 36223-2026")</f>
        <v/>
      </c>
      <c r="AA43">
        <f>HYPERLINK("https://klasma.github.io/Logging_1783/klagomål/A 36223-2026 FSC-klagomål.docx", "A 36223-2026")</f>
        <v/>
      </c>
      <c r="AB43">
        <f>HYPERLINK("https://klasma.github.io/Logging_1783/klagomålsmail/A 36223-2026 FSC-klagomål mail.docx", "A 36223-2026")</f>
        <v/>
      </c>
      <c r="AC43">
        <f>HYPERLINK("https://klasma.github.io/Logging_1783/tillsyn/A 36223-2026 tillsynsbegäran.docx", "A 36223-2026")</f>
        <v/>
      </c>
      <c r="AD43">
        <f>HYPERLINK("https://klasma.github.io/Logging_1783/tillsynsmail/A 36223-2026 tillsynsbegäran mail.docx", "A 36223-2026")</f>
        <v/>
      </c>
      <c r="AE43">
        <f>HYPERLINK("https://klasma.github.io/Logging_1783/fåglar/A 36223-2026 prioriterade fågelarter.docx", "A 36223-2026")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46308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32592-2026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46240</v>
      </c>
      <c r="E45" s="1" t="n">
        <v>46308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30.8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HYPERLINK("https://klasma.github.io/Logging_1783/artfynd/A 32592-2026 artfynd.xlsx", "A 32592-2026")</f>
        <v/>
      </c>
      <c r="X45">
        <f>HYPERLINK("https://klasma.github.io/Logging_1783/kartor/A 32592-2026 karta.png", "A 32592-2026")</f>
        <v/>
      </c>
      <c r="Y45">
        <f>HYPERLINK("https://klasma.github.io/Logging_1783/kartor_geotiff/A 32592-2026 georefererad karta.tif", "A 32592-2026")</f>
        <v/>
      </c>
      <c r="AA45">
        <f>HYPERLINK("https://klasma.github.io/Logging_1783/klagomål/A 32592-2026 FSC-klagomål.docx", "A 32592-2026")</f>
        <v/>
      </c>
      <c r="AB45">
        <f>HYPERLINK("https://klasma.github.io/Logging_1783/klagomålsmail/A 32592-2026 FSC-klagomål mail.docx", "A 32592-2026")</f>
        <v/>
      </c>
      <c r="AC45">
        <f>HYPERLINK("https://klasma.github.io/Logging_1783/tillsyn/A 32592-2026 tillsynsbegäran.docx", "A 32592-2026")</f>
        <v/>
      </c>
      <c r="AD45">
        <f>HYPERLINK("https://klasma.github.io/Logging_1783/tillsynsmail/A 32592-2026 tillsynsbegäran mail.docx", "A 32592-2026")</f>
        <v/>
      </c>
    </row>
    <row r="46" ht="15" customHeight="1">
      <c r="A46" t="inlineStr">
        <is>
          <t>A 33848-2025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45842</v>
      </c>
      <c r="E46" s="1" t="n">
        <v>46308</v>
      </c>
      <c r="F46" t="inlineStr">
        <is>
          <t>VÄRMLANDS LÄN</t>
        </is>
      </c>
      <c r="G46" t="inlineStr">
        <is>
          <t>HAGFORS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33848-2025 artfynd.xlsx", "A 33848-2025")</f>
        <v/>
      </c>
      <c r="X46">
        <f>HYPERLINK("https://klasma.github.io/Logging_1783/kartor/A 33848-2025 karta.png", "A 33848-2025")</f>
        <v/>
      </c>
      <c r="Y46">
        <f>HYPERLINK("https://klasma.github.io/Logging_1783/kartor_geotiff/A 33848-2025 georefererad karta.tif", "A 33848-2025")</f>
        <v/>
      </c>
      <c r="AA46">
        <f>HYPERLINK("https://klasma.github.io/Logging_1783/klagomål/A 33848-2025 FSC-klagomål.docx", "A 33848-2025")</f>
        <v/>
      </c>
      <c r="AB46">
        <f>HYPERLINK("https://klasma.github.io/Logging_1783/klagomålsmail/A 33848-2025 FSC-klagomål mail.docx", "A 33848-2025")</f>
        <v/>
      </c>
      <c r="AC46">
        <f>HYPERLINK("https://klasma.github.io/Logging_1783/tillsyn/A 33848-2025 tillsynsbegäran.docx", "A 33848-2025")</f>
        <v/>
      </c>
      <c r="AD46">
        <f>HYPERLINK("https://klasma.github.io/Logging_1783/tillsynsmail/A 33848-2025 tillsynsbegäran mail.docx", "A 33848-2025")</f>
        <v/>
      </c>
    </row>
    <row r="47" ht="15" customHeight="1">
      <c r="A47" t="inlineStr">
        <is>
          <t>A 33905-2025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45842</v>
      </c>
      <c r="E47" s="1" t="n">
        <v>46308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7.8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33905-2025 artfynd.xlsx", "A 33905-2025")</f>
        <v/>
      </c>
      <c r="X47">
        <f>HYPERLINK("https://klasma.github.io/Logging_1783/kartor/A 33905-2025 karta.png", "A 33905-2025")</f>
        <v/>
      </c>
      <c r="Y47">
        <f>HYPERLINK("https://klasma.github.io/Logging_1783/kartor_geotiff/A 33905-2025 georefererad karta.tif", "A 33905-2025")</f>
        <v/>
      </c>
      <c r="AA47">
        <f>HYPERLINK("https://klasma.github.io/Logging_1783/klagomål/A 33905-2025 FSC-klagomål.docx", "A 33905-2025")</f>
        <v/>
      </c>
      <c r="AB47">
        <f>HYPERLINK("https://klasma.github.io/Logging_1783/klagomålsmail/A 33905-2025 FSC-klagomål mail.docx", "A 33905-2025")</f>
        <v/>
      </c>
      <c r="AC47">
        <f>HYPERLINK("https://klasma.github.io/Logging_1783/tillsyn/A 33905-2025 tillsynsbegäran.docx", "A 33905-2025")</f>
        <v/>
      </c>
      <c r="AD47">
        <f>HYPERLINK("https://klasma.github.io/Logging_1783/tillsynsmail/A 33905-2025 tillsynsbegäran mail.docx", "A 33905-2025")</f>
        <v/>
      </c>
    </row>
    <row r="48" ht="15" customHeight="1">
      <c r="A48" t="inlineStr">
        <is>
          <t>A 20119-2025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46308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20119-2025 artfynd.xlsx", "A 20119-2025")</f>
        <v/>
      </c>
      <c r="X48">
        <f>HYPERLINK("https://klasma.github.io/Logging_1783/kartor/A 20119-2025 karta.png", "A 20119-2025")</f>
        <v/>
      </c>
      <c r="Y48">
        <f>HYPERLINK("https://klasma.github.io/Logging_1783/kartor_geotiff/A 20119-2025 georefererad karta.tif", "A 20119-2025")</f>
        <v/>
      </c>
      <c r="AA48">
        <f>HYPERLINK("https://klasma.github.io/Logging_1783/klagomål/A 20119-2025 FSC-klagomål.docx", "A 20119-2025")</f>
        <v/>
      </c>
      <c r="AB48">
        <f>HYPERLINK("https://klasma.github.io/Logging_1783/klagomålsmail/A 20119-2025 FSC-klagomål mail.docx", "A 20119-2025")</f>
        <v/>
      </c>
      <c r="AC48">
        <f>HYPERLINK("https://klasma.github.io/Logging_1783/tillsyn/A 20119-2025 tillsynsbegäran.docx", "A 20119-2025")</f>
        <v/>
      </c>
      <c r="AD48">
        <f>HYPERLINK("https://klasma.github.io/Logging_1783/tillsynsmail/A 20119-2025 tillsynsbegäran mail.docx", "A 20119-2025")</f>
        <v/>
      </c>
      <c r="AE48">
        <f>HYPERLINK("https://klasma.github.io/Logging_1783/fåglar/A 20119-2025 prioriterade fågelarter.docx", "A 20119-2025")</f>
        <v/>
      </c>
    </row>
    <row r="49" ht="15" customHeight="1">
      <c r="A49" t="inlineStr">
        <is>
          <t>A 8254-2026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46308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8254-2026 artfynd.xlsx", "A 8254-2026")</f>
        <v/>
      </c>
      <c r="X49">
        <f>HYPERLINK("https://klasma.github.io/Logging_1783/kartor/A 8254-2026 karta.png", "A 8254-2026")</f>
        <v/>
      </c>
      <c r="Y49">
        <f>HYPERLINK("https://klasma.github.io/Logging_1783/kartor_geotiff/A 8254-2026 georefererad karta.tif", "A 8254-2026")</f>
        <v/>
      </c>
      <c r="AA49">
        <f>HYPERLINK("https://klasma.github.io/Logging_1783/klagomål/A 8254-2026 FSC-klagomål.docx", "A 8254-2026")</f>
        <v/>
      </c>
      <c r="AB49">
        <f>HYPERLINK("https://klasma.github.io/Logging_1783/klagomålsmail/A 8254-2026 FSC-klagomål mail.docx", "A 8254-2026")</f>
        <v/>
      </c>
      <c r="AC49">
        <f>HYPERLINK("https://klasma.github.io/Logging_1783/tillsyn/A 8254-2026 tillsynsbegäran.docx", "A 8254-2026")</f>
        <v/>
      </c>
      <c r="AD49">
        <f>HYPERLINK("https://klasma.github.io/Logging_1783/tillsynsmail/A 8254-2026 tillsynsbegäran mail.docx", "A 8254-2026")</f>
        <v/>
      </c>
    </row>
    <row r="50" ht="15" customHeight="1">
      <c r="A50" t="inlineStr">
        <is>
          <t>A 40211-2026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46290</v>
      </c>
      <c r="E50" s="1" t="n">
        <v>46308</v>
      </c>
      <c r="F50" t="inlineStr">
        <is>
          <t>VÄRMLANDS LÄN</t>
        </is>
      </c>
      <c r="G50" t="inlineStr">
        <is>
          <t>HAGFORS</t>
        </is>
      </c>
      <c r="I50" t="n">
        <v>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HYPERLINK("https://klasma.github.io/Logging_1783/artfynd/A 40211-2026 artfynd.xlsx", "A 40211-2026")</f>
        <v/>
      </c>
      <c r="X50">
        <f>HYPERLINK("https://klasma.github.io/Logging_1783/kartor/A 40211-2026 karta.png", "A 40211-2026")</f>
        <v/>
      </c>
      <c r="Y50">
        <f>HYPERLINK("https://klasma.github.io/Logging_1783/kartor_geotiff/A 40211-2026 georefererad karta.tif", "A 40211-2026")</f>
        <v/>
      </c>
      <c r="AA50">
        <f>HYPERLINK("https://klasma.github.io/Logging_1783/klagomål/A 40211-2026 FSC-klagomål.docx", "A 40211-2026")</f>
        <v/>
      </c>
      <c r="AB50">
        <f>HYPERLINK("https://klasma.github.io/Logging_1783/klagomålsmail/A 40211-2026 FSC-klagomål mail.docx", "A 40211-2026")</f>
        <v/>
      </c>
      <c r="AC50">
        <f>HYPERLINK("https://klasma.github.io/Logging_1783/tillsyn/A 40211-2026 tillsynsbegäran.docx", "A 40211-2026")</f>
        <v/>
      </c>
      <c r="AD50">
        <f>HYPERLINK("https://klasma.github.io/Logging_1783/tillsynsmail/A 40211-2026 tillsynsbegäran mail.docx", "A 40211-2026")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46308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19362-2026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46133</v>
      </c>
      <c r="E52" s="1" t="n">
        <v>46308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19362-2026 artfynd.xlsx", "A 19362-2026")</f>
        <v/>
      </c>
      <c r="X52">
        <f>HYPERLINK("https://klasma.github.io/Logging_1783/kartor/A 19362-2026 karta.png", "A 19362-2026")</f>
        <v/>
      </c>
      <c r="Y52">
        <f>HYPERLINK("https://klasma.github.io/Logging_1783/kartor_geotiff/A 19362-2026 georefererad karta.tif", "A 19362-2026")</f>
        <v/>
      </c>
      <c r="AA52">
        <f>HYPERLINK("https://klasma.github.io/Logging_1783/klagomål/A 19362-2026 FSC-klagomål.docx", "A 19362-2026")</f>
        <v/>
      </c>
      <c r="AB52">
        <f>HYPERLINK("https://klasma.github.io/Logging_1783/klagomålsmail/A 19362-2026 FSC-klagomål mail.docx", "A 19362-2026")</f>
        <v/>
      </c>
      <c r="AC52">
        <f>HYPERLINK("https://klasma.github.io/Logging_1783/tillsyn/A 19362-2026 tillsynsbegäran.docx", "A 19362-2026")</f>
        <v/>
      </c>
      <c r="AD52">
        <f>HYPERLINK("https://klasma.github.io/Logging_1783/tillsynsmail/A 19362-2026 tillsynsbegäran mail.docx", "A 19362-2026")</f>
        <v/>
      </c>
    </row>
    <row r="53" ht="15" customHeight="1">
      <c r="A53" t="inlineStr">
        <is>
          <t>A 3199-2022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46308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5.4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Tofsmes</t>
        </is>
      </c>
      <c r="W53">
        <f>HYPERLINK("https://klasma.github.io/Logging_1783/artfynd/A 3199-2022 artfynd.xlsx", "A 3199-2022")</f>
        <v/>
      </c>
      <c r="X53">
        <f>HYPERLINK("https://klasma.github.io/Logging_1783/kartor/A 3199-2022 karta.png", "A 3199-2022")</f>
        <v/>
      </c>
      <c r="Y53">
        <f>HYPERLINK("https://klasma.github.io/Logging_1783/kartor_geotiff/A 3199-2022 georefererad karta.tif", "A 3199-2022")</f>
        <v/>
      </c>
      <c r="AA53">
        <f>HYPERLINK("https://klasma.github.io/Logging_1783/klagomål/A 3199-2022 FSC-klagomål.docx", "A 3199-2022")</f>
        <v/>
      </c>
      <c r="AB53">
        <f>HYPERLINK("https://klasma.github.io/Logging_1783/klagomålsmail/A 3199-2022 FSC-klagomål mail.docx", "A 3199-2022")</f>
        <v/>
      </c>
      <c r="AC53">
        <f>HYPERLINK("https://klasma.github.io/Logging_1783/tillsyn/A 3199-2022 tillsynsbegäran.docx", "A 3199-2022")</f>
        <v/>
      </c>
      <c r="AD53">
        <f>HYPERLINK("https://klasma.github.io/Logging_1783/tillsynsmail/A 3199-2022 tillsynsbegäran mail.docx", "A 3199-2022")</f>
        <v/>
      </c>
    </row>
    <row r="54" ht="15" customHeight="1">
      <c r="A54" t="inlineStr">
        <is>
          <t>A 35256-2026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46308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35256-2026 artfynd.xlsx", "A 35256-2026")</f>
        <v/>
      </c>
      <c r="X54">
        <f>HYPERLINK("https://klasma.github.io/Logging_1783/kartor/A 35256-2026 karta.png", "A 35256-2026")</f>
        <v/>
      </c>
      <c r="Y54">
        <f>HYPERLINK("https://klasma.github.io/Logging_1783/kartor_geotiff/A 35256-2026 georefererad karta.tif", "A 35256-2026")</f>
        <v/>
      </c>
      <c r="AA54">
        <f>HYPERLINK("https://klasma.github.io/Logging_1783/klagomål/A 35256-2026 FSC-klagomål.docx", "A 35256-2026")</f>
        <v/>
      </c>
      <c r="AB54">
        <f>HYPERLINK("https://klasma.github.io/Logging_1783/klagomålsmail/A 35256-2026 FSC-klagomål mail.docx", "A 35256-2026")</f>
        <v/>
      </c>
      <c r="AC54">
        <f>HYPERLINK("https://klasma.github.io/Logging_1783/tillsyn/A 35256-2026 tillsynsbegäran.docx", "A 35256-2026")</f>
        <v/>
      </c>
      <c r="AD54">
        <f>HYPERLINK("https://klasma.github.io/Logging_1783/tillsynsmail/A 35256-2026 tillsynsbegäran mail.docx", "A 35256-2026")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46308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37152-2023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46308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0.5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Hökuggla</t>
        </is>
      </c>
      <c r="W56">
        <f>HYPERLINK("https://klasma.github.io/Logging_1783/artfynd/A 37152-2023 artfynd.xlsx", "A 37152-2023")</f>
        <v/>
      </c>
      <c r="X56">
        <f>HYPERLINK("https://klasma.github.io/Logging_1783/kartor/A 37152-2023 karta.png", "A 37152-2023")</f>
        <v/>
      </c>
      <c r="Y56">
        <f>HYPERLINK("https://klasma.github.io/Logging_1783/kartor_geotiff/A 37152-2023 georefererad karta.tif", "A 37152-2023")</f>
        <v/>
      </c>
      <c r="AA56">
        <f>HYPERLINK("https://klasma.github.io/Logging_1783/klagomål/A 37152-2023 FSC-klagomål.docx", "A 37152-2023")</f>
        <v/>
      </c>
      <c r="AB56">
        <f>HYPERLINK("https://klasma.github.io/Logging_1783/klagomålsmail/A 37152-2023 FSC-klagomål mail.docx", "A 37152-2023")</f>
        <v/>
      </c>
      <c r="AC56">
        <f>HYPERLINK("https://klasma.github.io/Logging_1783/tillsyn/A 37152-2023 tillsynsbegäran.docx", "A 37152-2023")</f>
        <v/>
      </c>
      <c r="AD56">
        <f>HYPERLINK("https://klasma.github.io/Logging_1783/tillsynsmail/A 37152-2023 tillsynsbegäran mail.docx", "A 37152-2023")</f>
        <v/>
      </c>
      <c r="AE56">
        <f>HYPERLINK("https://klasma.github.io/Logging_1783/fåglar/A 37152-2023 prioriterade fågelarter.docx", "A 37152-2023")</f>
        <v/>
      </c>
    </row>
    <row r="57" ht="15" customHeight="1">
      <c r="A57" t="inlineStr">
        <is>
          <t>A 34158-2025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46308</v>
      </c>
      <c r="F57" t="inlineStr">
        <is>
          <t>VÄRMLANDS LÄN</t>
        </is>
      </c>
      <c r="G57" t="inlineStr">
        <is>
          <t>HAGFORS</t>
        </is>
      </c>
      <c r="I57" t="n">
        <v>5.8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Korallblylav</t>
        </is>
      </c>
      <c r="W57">
        <f>HYPERLINK("https://klasma.github.io/Logging_1783/artfynd/A 34158-2025 artfynd.xlsx", "A 34158-2025")</f>
        <v/>
      </c>
      <c r="X57">
        <f>HYPERLINK("https://klasma.github.io/Logging_1783/kartor/A 34158-2025 karta.png", "A 34158-2025")</f>
        <v/>
      </c>
      <c r="Y57">
        <f>HYPERLINK("https://klasma.github.io/Logging_1783/kartor_geotiff/A 34158-2025 georefererad karta.tif", "A 34158-2025")</f>
        <v/>
      </c>
      <c r="AA57">
        <f>HYPERLINK("https://klasma.github.io/Logging_1783/klagomål/A 34158-2025 FSC-klagomål.docx", "A 34158-2025")</f>
        <v/>
      </c>
      <c r="AB57">
        <f>HYPERLINK("https://klasma.github.io/Logging_1783/klagomålsmail/A 34158-2025 FSC-klagomål mail.docx", "A 34158-2025")</f>
        <v/>
      </c>
      <c r="AC57">
        <f>HYPERLINK("https://klasma.github.io/Logging_1783/tillsyn/A 34158-2025 tillsynsbegäran.docx", "A 34158-2025")</f>
        <v/>
      </c>
      <c r="AD57">
        <f>HYPERLINK("https://klasma.github.io/Logging_1783/tillsynsmail/A 34158-2025 tillsynsbegäran mail.docx", "A 34158-2025")</f>
        <v/>
      </c>
    </row>
    <row r="58" ht="15" customHeight="1">
      <c r="A58" t="inlineStr">
        <is>
          <t>A 21309-2023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46308</v>
      </c>
      <c r="F58" t="inlineStr">
        <is>
          <t>VÄRMLANDS LÄN</t>
        </is>
      </c>
      <c r="G58" t="inlineStr">
        <is>
          <t>HAGFORS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Kattfot</t>
        </is>
      </c>
      <c r="W58">
        <f>HYPERLINK("https://klasma.github.io/Logging_1783/artfynd/A 21309-2023 artfynd.xlsx", "A 21309-2023")</f>
        <v/>
      </c>
      <c r="X58">
        <f>HYPERLINK("https://klasma.github.io/Logging_1783/kartor/A 21309-2023 karta.png", "A 21309-2023")</f>
        <v/>
      </c>
      <c r="Y58">
        <f>HYPERLINK("https://klasma.github.io/Logging_1783/kartor_geotiff/A 21309-2023 georefererad karta.tif", "A 21309-2023")</f>
        <v/>
      </c>
      <c r="AA58">
        <f>HYPERLINK("https://klasma.github.io/Logging_1783/klagomål/A 21309-2023 FSC-klagomål.docx", "A 21309-2023")</f>
        <v/>
      </c>
      <c r="AB58">
        <f>HYPERLINK("https://klasma.github.io/Logging_1783/klagomålsmail/A 21309-2023 FSC-klagomål mail.docx", "A 21309-2023")</f>
        <v/>
      </c>
      <c r="AC58">
        <f>HYPERLINK("https://klasma.github.io/Logging_1783/tillsyn/A 21309-2023 tillsynsbegäran.docx", "A 21309-2023")</f>
        <v/>
      </c>
      <c r="AD58">
        <f>HYPERLINK("https://klasma.github.io/Logging_1783/tillsynsmail/A 21309-2023 tillsynsbegäran mail.docx", "A 21309-2023")</f>
        <v/>
      </c>
    </row>
    <row r="59" ht="15" customHeight="1">
      <c r="A59" t="inlineStr">
        <is>
          <t>A 51194-2022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46308</v>
      </c>
      <c r="F59" t="inlineStr">
        <is>
          <t>VÄRMLANDS LÄN</t>
        </is>
      </c>
      <c r="G59" t="inlineStr">
        <is>
          <t>HAGFORS</t>
        </is>
      </c>
      <c r="I59" t="n">
        <v>1.6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HYPERLINK("https://klasma.github.io/Logging_1783/artfynd/A 51194-2022 artfynd.xlsx", "A 51194-2022")</f>
        <v/>
      </c>
      <c r="X59">
        <f>HYPERLINK("https://klasma.github.io/Logging_1783/kartor/A 51194-2022 karta.png", "A 51194-2022")</f>
        <v/>
      </c>
      <c r="Y59">
        <f>HYPERLINK("https://klasma.github.io/Logging_1783/kartor_geotiff/A 51194-2022 georefererad karta.tif", "A 51194-2022")</f>
        <v/>
      </c>
      <c r="AA59">
        <f>HYPERLINK("https://klasma.github.io/Logging_1783/klagomål/A 51194-2022 FSC-klagomål.docx", "A 51194-2022")</f>
        <v/>
      </c>
      <c r="AB59">
        <f>HYPERLINK("https://klasma.github.io/Logging_1783/klagomålsmail/A 51194-2022 FSC-klagomål mail.docx", "A 51194-2022")</f>
        <v/>
      </c>
      <c r="AC59">
        <f>HYPERLINK("https://klasma.github.io/Logging_1783/tillsyn/A 51194-2022 tillsynsbegäran.docx", "A 51194-2022")</f>
        <v/>
      </c>
      <c r="AD59">
        <f>HYPERLINK("https://klasma.github.io/Logging_1783/tillsynsmail/A 51194-2022 tillsynsbegäran mail.docx", "A 51194-2022")</f>
        <v/>
      </c>
    </row>
    <row r="60" ht="15" customHeight="1">
      <c r="A60" t="inlineStr">
        <is>
          <t>A 44095-2023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46308</v>
      </c>
      <c r="F60" t="inlineStr">
        <is>
          <t>VÄRMLANDS LÄN</t>
        </is>
      </c>
      <c r="G60" t="inlineStr">
        <is>
          <t>HAGFORS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44095-2023 artfynd.xlsx", "A 44095-2023")</f>
        <v/>
      </c>
      <c r="X60">
        <f>HYPERLINK("https://klasma.github.io/Logging_1783/kartor/A 44095-2023 karta.png", "A 44095-2023")</f>
        <v/>
      </c>
      <c r="Y60">
        <f>HYPERLINK("https://klasma.github.io/Logging_1783/kartor_geotiff/A 44095-2023 georefererad karta.tif", "A 44095-2023")</f>
        <v/>
      </c>
      <c r="AA60">
        <f>HYPERLINK("https://klasma.github.io/Logging_1783/klagomål/A 44095-2023 FSC-klagomål.docx", "A 44095-2023")</f>
        <v/>
      </c>
      <c r="AB60">
        <f>HYPERLINK("https://klasma.github.io/Logging_1783/klagomålsmail/A 44095-2023 FSC-klagomål mail.docx", "A 44095-2023")</f>
        <v/>
      </c>
      <c r="AC60">
        <f>HYPERLINK("https://klasma.github.io/Logging_1783/tillsyn/A 44095-2023 tillsynsbegäran.docx", "A 44095-2023")</f>
        <v/>
      </c>
      <c r="AD60">
        <f>HYPERLINK("https://klasma.github.io/Logging_1783/tillsynsmail/A 44095-2023 tillsynsbegäran mail.docx", "A 44095-2023")</f>
        <v/>
      </c>
    </row>
    <row r="61" ht="15" customHeight="1">
      <c r="A61" t="inlineStr">
        <is>
          <t>A 16319-2023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46308</v>
      </c>
      <c r="F61" t="inlineStr">
        <is>
          <t>VÄRMLANDS LÄN</t>
        </is>
      </c>
      <c r="G61" t="inlineStr">
        <is>
          <t>HAGFORS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HYPERLINK("https://klasma.github.io/Logging_1783/artfynd/A 16319-2023 artfynd.xlsx", "A 16319-2023")</f>
        <v/>
      </c>
      <c r="X61">
        <f>HYPERLINK("https://klasma.github.io/Logging_1783/kartor/A 16319-2023 karta.png", "A 16319-2023")</f>
        <v/>
      </c>
      <c r="Y61">
        <f>HYPERLINK("https://klasma.github.io/Logging_1783/kartor_geotiff/A 16319-2023 georefererad karta.tif", "A 16319-2023")</f>
        <v/>
      </c>
      <c r="AA61">
        <f>HYPERLINK("https://klasma.github.io/Logging_1783/klagomål/A 16319-2023 FSC-klagomål.docx", "A 16319-2023")</f>
        <v/>
      </c>
      <c r="AB61">
        <f>HYPERLINK("https://klasma.github.io/Logging_1783/klagomålsmail/A 16319-2023 FSC-klagomål mail.docx", "A 16319-2023")</f>
        <v/>
      </c>
      <c r="AC61">
        <f>HYPERLINK("https://klasma.github.io/Logging_1783/tillsyn/A 16319-2023 tillsynsbegäran.docx", "A 16319-2023")</f>
        <v/>
      </c>
      <c r="AD61">
        <f>HYPERLINK("https://klasma.github.io/Logging_1783/tillsynsmail/A 16319-2023 tillsynsbegäran mail.docx", "A 16319-2023")</f>
        <v/>
      </c>
    </row>
    <row r="62" ht="15" customHeight="1">
      <c r="A62" t="inlineStr">
        <is>
          <t>A 30524-2022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46308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Kolflarnlav</t>
        </is>
      </c>
      <c r="W62">
        <f>HYPERLINK("https://klasma.github.io/Logging_1783/artfynd/A 30524-2022 artfynd.xlsx", "A 30524-2022")</f>
        <v/>
      </c>
      <c r="X62">
        <f>HYPERLINK("https://klasma.github.io/Logging_1783/kartor/A 30524-2022 karta.png", "A 30524-2022")</f>
        <v/>
      </c>
      <c r="Y62">
        <f>HYPERLINK("https://klasma.github.io/Logging_1783/kartor_geotiff/A 30524-2022 georefererad karta.tif", "A 30524-2022")</f>
        <v/>
      </c>
      <c r="AA62">
        <f>HYPERLINK("https://klasma.github.io/Logging_1783/klagomål/A 30524-2022 FSC-klagomål.docx", "A 30524-2022")</f>
        <v/>
      </c>
      <c r="AB62">
        <f>HYPERLINK("https://klasma.github.io/Logging_1783/klagomålsmail/A 30524-2022 FSC-klagomål mail.docx", "A 30524-2022")</f>
        <v/>
      </c>
      <c r="AC62">
        <f>HYPERLINK("https://klasma.github.io/Logging_1783/tillsyn/A 30524-2022 tillsynsbegäran.docx", "A 30524-2022")</f>
        <v/>
      </c>
      <c r="AD62">
        <f>HYPERLINK("https://klasma.github.io/Logging_1783/tillsynsmail/A 30524-2022 tillsynsbegäran mail.docx", "A 30524-2022")</f>
        <v/>
      </c>
    </row>
    <row r="63" ht="15" customHeight="1">
      <c r="A63" t="inlineStr">
        <is>
          <t>A 38267-2024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46308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HYPERLINK("https://klasma.github.io/Logging_1783/artfynd/A 38267-2024 artfynd.xlsx", "A 38267-2024")</f>
        <v/>
      </c>
      <c r="X63">
        <f>HYPERLINK("https://klasma.github.io/Logging_1783/kartor/A 38267-2024 karta.png", "A 38267-2024")</f>
        <v/>
      </c>
      <c r="Y63">
        <f>HYPERLINK("https://klasma.github.io/Logging_1783/kartor_geotiff/A 38267-2024 georefererad karta.tif", "A 38267-2024")</f>
        <v/>
      </c>
      <c r="AA63">
        <f>HYPERLINK("https://klasma.github.io/Logging_1783/klagomål/A 38267-2024 FSC-klagomål.docx", "A 38267-2024")</f>
        <v/>
      </c>
      <c r="AB63">
        <f>HYPERLINK("https://klasma.github.io/Logging_1783/klagomålsmail/A 38267-2024 FSC-klagomål mail.docx", "A 38267-2024")</f>
        <v/>
      </c>
      <c r="AC63">
        <f>HYPERLINK("https://klasma.github.io/Logging_1783/tillsyn/A 38267-2024 tillsynsbegäran.docx", "A 38267-2024")</f>
        <v/>
      </c>
      <c r="AD63">
        <f>HYPERLINK("https://klasma.github.io/Logging_1783/tillsynsmail/A 38267-2024 tillsynsbegäran mail.docx", "A 38267-2024")</f>
        <v/>
      </c>
    </row>
    <row r="64" ht="15" customHeight="1">
      <c r="A64" t="inlineStr">
        <is>
          <t>A 56083-2022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46308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19.1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HYPERLINK("https://klasma.github.io/Logging_1783/artfynd/A 56083-2022 artfynd.xlsx", "A 56083-2022")</f>
        <v/>
      </c>
      <c r="X64">
        <f>HYPERLINK("https://klasma.github.io/Logging_1783/kartor/A 56083-2022 karta.png", "A 56083-2022")</f>
        <v/>
      </c>
      <c r="Y64">
        <f>HYPERLINK("https://klasma.github.io/Logging_1783/kartor_geotiff/A 56083-2022 georefererad karta.tif", "A 56083-2022")</f>
        <v/>
      </c>
      <c r="AA64">
        <f>HYPERLINK("https://klasma.github.io/Logging_1783/klagomål/A 56083-2022 FSC-klagomål.docx", "A 56083-2022")</f>
        <v/>
      </c>
      <c r="AB64">
        <f>HYPERLINK("https://klasma.github.io/Logging_1783/klagomålsmail/A 56083-2022 FSC-klagomål mail.docx", "A 56083-2022")</f>
        <v/>
      </c>
      <c r="AC64">
        <f>HYPERLINK("https://klasma.github.io/Logging_1783/tillsyn/A 56083-2022 tillsynsbegäran.docx", "A 56083-2022")</f>
        <v/>
      </c>
      <c r="AD64">
        <f>HYPERLINK("https://klasma.github.io/Logging_1783/tillsynsmail/A 56083-2022 tillsynsbegäran mail.docx", "A 56083-2022")</f>
        <v/>
      </c>
    </row>
    <row r="65" ht="15" customHeight="1">
      <c r="A65" t="inlineStr">
        <is>
          <t>A 6986-2022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46308</v>
      </c>
      <c r="F65" t="inlineStr">
        <is>
          <t>VÄRMLANDS LÄN</t>
        </is>
      </c>
      <c r="G65" t="inlineStr">
        <is>
          <t>HAGFORS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6986-2022 artfynd.xlsx", "A 6986-2022")</f>
        <v/>
      </c>
      <c r="X65">
        <f>HYPERLINK("https://klasma.github.io/Logging_1783/kartor/A 6986-2022 karta.png", "A 6986-2022")</f>
        <v/>
      </c>
      <c r="Y65">
        <f>HYPERLINK("https://klasma.github.io/Logging_1783/kartor_geotiff/A 6986-2022 georefererad karta.tif", "A 6986-2022")</f>
        <v/>
      </c>
      <c r="AA65">
        <f>HYPERLINK("https://klasma.github.io/Logging_1783/klagomål/A 6986-2022 FSC-klagomål.docx", "A 6986-2022")</f>
        <v/>
      </c>
      <c r="AB65">
        <f>HYPERLINK("https://klasma.github.io/Logging_1783/klagomålsmail/A 6986-2022 FSC-klagomål mail.docx", "A 6986-2022")</f>
        <v/>
      </c>
      <c r="AC65">
        <f>HYPERLINK("https://klasma.github.io/Logging_1783/tillsyn/A 6986-2022 tillsynsbegäran.docx", "A 6986-2022")</f>
        <v/>
      </c>
      <c r="AD65">
        <f>HYPERLINK("https://klasma.github.io/Logging_1783/tillsynsmail/A 6986-2022 tillsynsbegäran mail.docx", "A 6986-2022")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46308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46308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46308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46308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46308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46308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46308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46308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46308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46308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46308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46308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46308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46308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46308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46308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46308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46308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46308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46308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46308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46308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46308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46308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46308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46308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46308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46308</v>
      </c>
      <c r="F93" t="inlineStr">
        <is>
          <t>VÄRMLANDS LÄN</t>
        </is>
      </c>
      <c r="G93" t="inlineStr">
        <is>
          <t>HAGFORS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46308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44699</v>
      </c>
      <c r="E95" s="1" t="n">
        <v>46308</v>
      </c>
      <c r="F95" t="inlineStr">
        <is>
          <t>VÄRMLANDS LÄN</t>
        </is>
      </c>
      <c r="G95" t="inlineStr">
        <is>
          <t>HAGFORS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46308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46308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46308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46308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46308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46308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46308</v>
      </c>
      <c r="F102" t="inlineStr">
        <is>
          <t>VÄRMLANDS LÄN</t>
        </is>
      </c>
      <c r="G102" t="inlineStr">
        <is>
          <t>HAGFORS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46308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46308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46308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46308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46308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46308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46308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46308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46308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46308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45703</v>
      </c>
      <c r="E113" s="1" t="n">
        <v>46308</v>
      </c>
      <c r="F113" t="inlineStr">
        <is>
          <t>VÄRMLANDS LÄN</t>
        </is>
      </c>
      <c r="G113" t="inlineStr">
        <is>
          <t>HAGFORS</t>
        </is>
      </c>
      <c r="H113" t="inlineStr">
        <is>
          <t>Kyrkan</t>
        </is>
      </c>
      <c r="I113" t="n">
        <v>15.9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17329-2024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45414</v>
      </c>
      <c r="E114" s="1" t="n">
        <v>46308</v>
      </c>
      <c r="F114" t="inlineStr">
        <is>
          <t>VÄRMLANDS LÄN</t>
        </is>
      </c>
      <c r="G114" t="inlineStr">
        <is>
          <t>HAGFORS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61232-2024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45645</v>
      </c>
      <c r="E115" s="1" t="n">
        <v>46308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45891</v>
      </c>
      <c r="E116" s="1" t="n">
        <v>46308</v>
      </c>
      <c r="F116" t="inlineStr">
        <is>
          <t>VÄRMLANDS LÄN</t>
        </is>
      </c>
      <c r="G116" t="inlineStr">
        <is>
          <t>HAGFORS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46308</v>
      </c>
      <c r="F117" t="inlineStr">
        <is>
          <t>VÄRMLANDS LÄN</t>
        </is>
      </c>
      <c r="G117" t="inlineStr">
        <is>
          <t>HAGFORS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46308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46308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45739</v>
      </c>
      <c r="E120" s="1" t="n">
        <v>46308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46308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45729</v>
      </c>
      <c r="E122" s="1" t="n">
        <v>46308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46308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46308</v>
      </c>
      <c r="F124" t="inlineStr">
        <is>
          <t>VÄRMLANDS LÄN</t>
        </is>
      </c>
      <c r="G124" t="inlineStr">
        <is>
          <t>HAGFORS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46308</v>
      </c>
      <c r="F125" t="inlineStr">
        <is>
          <t>VÄRMLANDS LÄN</t>
        </is>
      </c>
      <c r="G125" t="inlineStr">
        <is>
          <t>HAGFORS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46308</v>
      </c>
      <c r="F126" t="inlineStr">
        <is>
          <t>VÄRMLANDS LÄN</t>
        </is>
      </c>
      <c r="G126" t="inlineStr">
        <is>
          <t>HAGFORS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46308</v>
      </c>
      <c r="F127" t="inlineStr">
        <is>
          <t>VÄRMLANDS LÄN</t>
        </is>
      </c>
      <c r="G127" t="inlineStr">
        <is>
          <t>HAGFORS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41739-2025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45902</v>
      </c>
      <c r="E128" s="1" t="n">
        <v>46308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46308</v>
      </c>
      <c r="F129" t="inlineStr">
        <is>
          <t>VÄRMLANDS LÄN</t>
        </is>
      </c>
      <c r="G129" t="inlineStr">
        <is>
          <t>HAGFORS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46308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46308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46308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46308</v>
      </c>
      <c r="F133" t="inlineStr">
        <is>
          <t>VÄRMLANDS LÄN</t>
        </is>
      </c>
      <c r="G133" t="inlineStr">
        <is>
          <t>HAGFORS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46308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46308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46308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46308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46308</v>
      </c>
      <c r="F138" t="inlineStr">
        <is>
          <t>VÄRMLANDS LÄN</t>
        </is>
      </c>
      <c r="G138" t="inlineStr">
        <is>
          <t>HAGFORS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46308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44595</v>
      </c>
      <c r="E140" s="1" t="n">
        <v>46308</v>
      </c>
      <c r="F140" t="inlineStr">
        <is>
          <t>VÄRMLANDS LÄN</t>
        </is>
      </c>
      <c r="G140" t="inlineStr">
        <is>
          <t>HAGFORS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46308</v>
      </c>
      <c r="F141" t="inlineStr">
        <is>
          <t>VÄRMLANDS LÄN</t>
        </is>
      </c>
      <c r="G141" t="inlineStr">
        <is>
          <t>HAGFORS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46308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46308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24677-2026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46171</v>
      </c>
      <c r="E144" s="1" t="n">
        <v>46308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24761-2026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46171</v>
      </c>
      <c r="E145" s="1" t="n">
        <v>46308</v>
      </c>
      <c r="F145" t="inlineStr">
        <is>
          <t>VÄRMLANDS LÄN</t>
        </is>
      </c>
      <c r="G145" t="inlineStr">
        <is>
          <t>HAGFORS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46308</v>
      </c>
      <c r="F146" t="inlineStr">
        <is>
          <t>VÄRMLANDS LÄN</t>
        </is>
      </c>
      <c r="G146" t="inlineStr">
        <is>
          <t>HAGFORS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45335</v>
      </c>
      <c r="E147" s="1" t="n">
        <v>46308</v>
      </c>
      <c r="F147" t="inlineStr">
        <is>
          <t>VÄRMLANDS LÄN</t>
        </is>
      </c>
      <c r="G147" t="inlineStr">
        <is>
          <t>HAGFORS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60167-2023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45258</v>
      </c>
      <c r="E148" s="1" t="n">
        <v>46308</v>
      </c>
      <c r="F148" t="inlineStr">
        <is>
          <t>VÄRMLANDS LÄN</t>
        </is>
      </c>
      <c r="G148" t="inlineStr">
        <is>
          <t>HAGFORS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60178-2023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45258</v>
      </c>
      <c r="E149" s="1" t="n">
        <v>46308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24628-2026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46171</v>
      </c>
      <c r="E150" s="1" t="n">
        <v>46308</v>
      </c>
      <c r="F150" t="inlineStr">
        <is>
          <t>VÄRMLANDS LÄN</t>
        </is>
      </c>
      <c r="G150" t="inlineStr">
        <is>
          <t>HAGFORS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46171</v>
      </c>
      <c r="E151" s="1" t="n">
        <v>46308</v>
      </c>
      <c r="F151" t="inlineStr">
        <is>
          <t>VÄRMLANDS LÄN</t>
        </is>
      </c>
      <c r="G151" t="inlineStr">
        <is>
          <t>HAGFORS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46308</v>
      </c>
      <c r="F152" t="inlineStr">
        <is>
          <t>VÄRMLANDS LÄN</t>
        </is>
      </c>
      <c r="G152" t="inlineStr">
        <is>
          <t>HAGFORS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24699-2026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46171</v>
      </c>
      <c r="E153" s="1" t="n">
        <v>46308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46308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45029</v>
      </c>
      <c r="E155" s="1" t="n">
        <v>46308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46308</v>
      </c>
      <c r="F156" t="inlineStr">
        <is>
          <t>VÄRMLANDS LÄN</t>
        </is>
      </c>
      <c r="G156" t="inlineStr">
        <is>
          <t>HAGFORS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24626-2026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46171</v>
      </c>
      <c r="E157" s="1" t="n">
        <v>46308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46308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46308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46308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46308</v>
      </c>
      <c r="F161" t="inlineStr">
        <is>
          <t>VÄRMLANDS LÄN</t>
        </is>
      </c>
      <c r="G161" t="inlineStr">
        <is>
          <t>HAGFORS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46308</v>
      </c>
      <c r="F162" t="inlineStr">
        <is>
          <t>VÄRMLANDS LÄN</t>
        </is>
      </c>
      <c r="G162" t="inlineStr">
        <is>
          <t>HAGFORS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46176</v>
      </c>
      <c r="E163" s="1" t="n">
        <v>46308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46308</v>
      </c>
      <c r="F164" t="inlineStr">
        <is>
          <t>VÄRMLANDS LÄN</t>
        </is>
      </c>
      <c r="G164" t="inlineStr">
        <is>
          <t>HAGFORS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46308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45922</v>
      </c>
      <c r="E166" s="1" t="n">
        <v>46308</v>
      </c>
      <c r="F166" t="inlineStr">
        <is>
          <t>VÄRMLANDS LÄN</t>
        </is>
      </c>
      <c r="G166" t="inlineStr">
        <is>
          <t>HAGFORS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46308</v>
      </c>
      <c r="F167" t="inlineStr">
        <is>
          <t>VÄRMLANDS LÄN</t>
        </is>
      </c>
      <c r="G167" t="inlineStr">
        <is>
          <t>HAGFORS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46308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46308</v>
      </c>
      <c r="F169" t="inlineStr">
        <is>
          <t>VÄRMLANDS LÄN</t>
        </is>
      </c>
      <c r="G169" t="inlineStr">
        <is>
          <t>HAGFORS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45172</v>
      </c>
      <c r="E170" s="1" t="n">
        <v>46308</v>
      </c>
      <c r="F170" t="inlineStr">
        <is>
          <t>VÄRMLANDS LÄN</t>
        </is>
      </c>
      <c r="G170" t="inlineStr">
        <is>
          <t>HAGFORS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46308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46308</v>
      </c>
      <c r="F172" t="inlineStr">
        <is>
          <t>VÄRMLANDS LÄN</t>
        </is>
      </c>
      <c r="G172" t="inlineStr">
        <is>
          <t>HAGFORS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46308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30520-2024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45492</v>
      </c>
      <c r="E174" s="1" t="n">
        <v>46308</v>
      </c>
      <c r="F174" t="inlineStr">
        <is>
          <t>VÄRMLANDS LÄN</t>
        </is>
      </c>
      <c r="G174" t="inlineStr">
        <is>
          <t>HAGFORS</t>
        </is>
      </c>
      <c r="H174" t="inlineStr">
        <is>
          <t>Kyrkan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46308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46308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10.7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46308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45928</v>
      </c>
      <c r="E178" s="1" t="n">
        <v>46308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46308</v>
      </c>
      <c r="F179" t="inlineStr">
        <is>
          <t>VÄRMLANDS LÄN</t>
        </is>
      </c>
      <c r="G179" t="inlineStr">
        <is>
          <t>HAGFORS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46182</v>
      </c>
      <c r="E180" s="1" t="n">
        <v>46308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45927</v>
      </c>
      <c r="E181" s="1" t="n">
        <v>46308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45927</v>
      </c>
      <c r="E182" s="1" t="n">
        <v>46308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44622</v>
      </c>
      <c r="E183" s="1" t="n">
        <v>46308</v>
      </c>
      <c r="F183" t="inlineStr">
        <is>
          <t>VÄRMLANDS LÄN</t>
        </is>
      </c>
      <c r="G183" t="inlineStr">
        <is>
          <t>HAGFORS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46308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46181</v>
      </c>
      <c r="E185" s="1" t="n">
        <v>46308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46308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46182</v>
      </c>
      <c r="E187" s="1" t="n">
        <v>46308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46308</v>
      </c>
      <c r="F188" t="inlineStr">
        <is>
          <t>VÄRMLANDS LÄN</t>
        </is>
      </c>
      <c r="G188" t="inlineStr">
        <is>
          <t>HAGFORS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45933</v>
      </c>
      <c r="E189" s="1" t="n">
        <v>46308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44851</v>
      </c>
      <c r="E190" s="1" t="n">
        <v>46308</v>
      </c>
      <c r="F190" t="inlineStr">
        <is>
          <t>VÄRMLANDS LÄN</t>
        </is>
      </c>
      <c r="G190" t="inlineStr">
        <is>
          <t>HAGFORS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46308</v>
      </c>
      <c r="F191" t="inlineStr">
        <is>
          <t>VÄRMLANDS LÄN</t>
        </is>
      </c>
      <c r="G191" t="inlineStr">
        <is>
          <t>HAGFORS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46308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33.4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45510</v>
      </c>
      <c r="E193" s="1" t="n">
        <v>46308</v>
      </c>
      <c r="F193" t="inlineStr">
        <is>
          <t>VÄRMLANDS LÄN</t>
        </is>
      </c>
      <c r="G193" t="inlineStr">
        <is>
          <t>HAGFORS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46308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48134-2025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45933</v>
      </c>
      <c r="E195" s="1" t="n">
        <v>46308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45933</v>
      </c>
      <c r="E196" s="1" t="n">
        <v>46308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9.699999999999999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48176-2025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45933</v>
      </c>
      <c r="E197" s="1" t="n">
        <v>46308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45618</v>
      </c>
      <c r="E198" s="1" t="n">
        <v>46308</v>
      </c>
      <c r="F198" t="inlineStr">
        <is>
          <t>VÄRMLANDS LÄN</t>
        </is>
      </c>
      <c r="G198" t="inlineStr">
        <is>
          <t>HAGFORS</t>
        </is>
      </c>
      <c r="H198" t="inlineStr">
        <is>
          <t>Kyrkan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46308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45933</v>
      </c>
      <c r="E200" s="1" t="n">
        <v>46308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46308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46308</v>
      </c>
      <c r="F202" t="inlineStr">
        <is>
          <t>VÄRMLANDS LÄN</t>
        </is>
      </c>
      <c r="G202" t="inlineStr">
        <is>
          <t>HAGFORS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46308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46308</v>
      </c>
      <c r="F204" t="inlineStr">
        <is>
          <t>VÄRMLANDS LÄN</t>
        </is>
      </c>
      <c r="G204" t="inlineStr">
        <is>
          <t>HAGFORS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46308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46308</v>
      </c>
      <c r="F206" t="inlineStr">
        <is>
          <t>VÄRMLANDS LÄN</t>
        </is>
      </c>
      <c r="G206" t="inlineStr">
        <is>
          <t>HAGFORS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46308</v>
      </c>
      <c r="F207" t="inlineStr">
        <is>
          <t>VÄRMLANDS LÄN</t>
        </is>
      </c>
      <c r="G207" t="inlineStr">
        <is>
          <t>HAGFORS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46308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45489</v>
      </c>
      <c r="E209" s="1" t="n">
        <v>46308</v>
      </c>
      <c r="F209" t="inlineStr">
        <is>
          <t>VÄRMLANDS LÄN</t>
        </is>
      </c>
      <c r="G209" t="inlineStr">
        <is>
          <t>HAGFORS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45308</v>
      </c>
      <c r="E210" s="1" t="n">
        <v>46308</v>
      </c>
      <c r="F210" t="inlineStr">
        <is>
          <t>VÄRMLANDS LÄN</t>
        </is>
      </c>
      <c r="G210" t="inlineStr">
        <is>
          <t>HAGFORS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46308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17.2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45939</v>
      </c>
      <c r="E212" s="1" t="n">
        <v>46308</v>
      </c>
      <c r="F212" t="inlineStr">
        <is>
          <t>VÄRMLANDS LÄN</t>
        </is>
      </c>
      <c r="G212" t="inlineStr">
        <is>
          <t>HAGFORS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46308</v>
      </c>
      <c r="F213" t="inlineStr">
        <is>
          <t>VÄRMLANDS LÄN</t>
        </is>
      </c>
      <c r="G213" t="inlineStr">
        <is>
          <t>HAGFORS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46308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45941</v>
      </c>
      <c r="E215" s="1" t="n">
        <v>46308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46308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46308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46185</v>
      </c>
      <c r="E218" s="1" t="n">
        <v>46308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46308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46308</v>
      </c>
      <c r="F220" t="inlineStr">
        <is>
          <t>VÄRMLANDS LÄN</t>
        </is>
      </c>
      <c r="G220" t="inlineStr">
        <is>
          <t>HAGFORS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46308</v>
      </c>
      <c r="F221" t="inlineStr">
        <is>
          <t>VÄRMLANDS LÄN</t>
        </is>
      </c>
      <c r="G221" t="inlineStr">
        <is>
          <t>HAGFORS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43998-2024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46308</v>
      </c>
      <c r="F222" t="inlineStr">
        <is>
          <t>VÄRMLANDS LÄN</t>
        </is>
      </c>
      <c r="G222" t="inlineStr">
        <is>
          <t>HAGFORS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46308</v>
      </c>
      <c r="F223" t="inlineStr">
        <is>
          <t>VÄRMLANDS LÄN</t>
        </is>
      </c>
      <c r="G223" t="inlineStr">
        <is>
          <t>HAGFORS</t>
        </is>
      </c>
      <c r="H223" t="inlineStr">
        <is>
          <t>Kommuner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44839</v>
      </c>
      <c r="E224" s="1" t="n">
        <v>46308</v>
      </c>
      <c r="F224" t="inlineStr">
        <is>
          <t>VÄRMLANDS LÄN</t>
        </is>
      </c>
      <c r="G224" t="inlineStr">
        <is>
          <t>HAGFORS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46308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46189</v>
      </c>
      <c r="E226" s="1" t="n">
        <v>46308</v>
      </c>
      <c r="F226" t="inlineStr">
        <is>
          <t>VÄRMLANDS LÄN</t>
        </is>
      </c>
      <c r="G226" t="inlineStr">
        <is>
          <t>HAGFORS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45947</v>
      </c>
      <c r="E227" s="1" t="n">
        <v>46308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9.300000000000001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46308</v>
      </c>
      <c r="F228" t="inlineStr">
        <is>
          <t>VÄRMLANDS LÄN</t>
        </is>
      </c>
      <c r="G228" t="inlineStr">
        <is>
          <t>HAGFORS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46308</v>
      </c>
      <c r="F229" t="inlineStr">
        <is>
          <t>VÄRMLANDS LÄN</t>
        </is>
      </c>
      <c r="G229" t="inlineStr">
        <is>
          <t>HAGFORS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46308</v>
      </c>
      <c r="F230" t="inlineStr">
        <is>
          <t>VÄRMLANDS LÄN</t>
        </is>
      </c>
      <c r="G230" t="inlineStr">
        <is>
          <t>HAGFORS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46308</v>
      </c>
      <c r="F231" t="inlineStr">
        <is>
          <t>VÄRMLANDS LÄN</t>
        </is>
      </c>
      <c r="G231" t="inlineStr">
        <is>
          <t>HAGFORS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46308</v>
      </c>
      <c r="F232" t="inlineStr">
        <is>
          <t>VÄRMLANDS LÄN</t>
        </is>
      </c>
      <c r="G232" t="inlineStr">
        <is>
          <t>HAGFORS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46189</v>
      </c>
      <c r="E233" s="1" t="n">
        <v>46308</v>
      </c>
      <c r="F233" t="inlineStr">
        <is>
          <t>VÄRMLANDS LÄN</t>
        </is>
      </c>
      <c r="G233" t="inlineStr">
        <is>
          <t>HAGFORS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46308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42170-2024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46308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46308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46308</v>
      </c>
      <c r="F237" t="inlineStr">
        <is>
          <t>VÄRMLANDS LÄN</t>
        </is>
      </c>
      <c r="G237" t="inlineStr">
        <is>
          <t>HAGFORS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45949</v>
      </c>
      <c r="E238" s="1" t="n">
        <v>46308</v>
      </c>
      <c r="F238" t="inlineStr">
        <is>
          <t>VÄRMLANDS LÄN</t>
        </is>
      </c>
      <c r="G238" t="inlineStr">
        <is>
          <t>HAGFORS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44603</v>
      </c>
      <c r="E239" s="1" t="n">
        <v>46308</v>
      </c>
      <c r="F239" t="inlineStr">
        <is>
          <t>VÄRMLANDS LÄN</t>
        </is>
      </c>
      <c r="G239" t="inlineStr">
        <is>
          <t>HAGFORS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46308</v>
      </c>
      <c r="F240" t="inlineStr">
        <is>
          <t>VÄRMLANDS LÄN</t>
        </is>
      </c>
      <c r="G240" t="inlineStr">
        <is>
          <t>HAGFORS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27799-2026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46191</v>
      </c>
      <c r="E241" s="1" t="n">
        <v>46308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46308</v>
      </c>
      <c r="F242" t="inlineStr">
        <is>
          <t>VÄRMLANDS LÄN</t>
        </is>
      </c>
      <c r="G242" t="inlineStr">
        <is>
          <t>HAGFORS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46308</v>
      </c>
      <c r="F243" t="inlineStr">
        <is>
          <t>VÄRMLANDS LÄN</t>
        </is>
      </c>
      <c r="G243" t="inlineStr">
        <is>
          <t>HAGFORS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46308</v>
      </c>
      <c r="F244" t="inlineStr">
        <is>
          <t>VÄRMLANDS LÄN</t>
        </is>
      </c>
      <c r="G244" t="inlineStr">
        <is>
          <t>HAGFORS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46308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46308</v>
      </c>
      <c r="F246" t="inlineStr">
        <is>
          <t>VÄRMLANDS LÄN</t>
        </is>
      </c>
      <c r="G246" t="inlineStr">
        <is>
          <t>HAGFORS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46308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52479-2025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45954</v>
      </c>
      <c r="E248" s="1" t="n">
        <v>46308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46308</v>
      </c>
      <c r="F249" t="inlineStr">
        <is>
          <t>VÄRMLANDS LÄN</t>
        </is>
      </c>
      <c r="G249" t="inlineStr">
        <is>
          <t>HAGFORS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45954</v>
      </c>
      <c r="E250" s="1" t="n">
        <v>46308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9.800000000000001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52462-2025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45954</v>
      </c>
      <c r="E251" s="1" t="n">
        <v>46308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17305-2023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45035</v>
      </c>
      <c r="E252" s="1" t="n">
        <v>46308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46198</v>
      </c>
      <c r="E253" s="1" t="n">
        <v>46308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44770</v>
      </c>
      <c r="E254" s="1" t="n">
        <v>46308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28720-2026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46308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28748-2026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46308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59552-2024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45638</v>
      </c>
      <c r="E257" s="1" t="n">
        <v>46308</v>
      </c>
      <c r="F257" t="inlineStr">
        <is>
          <t>VÄRMLANDS LÄN</t>
        </is>
      </c>
      <c r="G257" t="inlineStr">
        <is>
          <t>HAGFORS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46308</v>
      </c>
      <c r="F258" t="inlineStr">
        <is>
          <t>VÄRMLANDS LÄN</t>
        </is>
      </c>
      <c r="G258" t="inlineStr">
        <is>
          <t>HAGFORS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53620-2025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46308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46308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45777</v>
      </c>
      <c r="E261" s="1" t="n">
        <v>46308</v>
      </c>
      <c r="F261" t="inlineStr">
        <is>
          <t>VÄRMLANDS LÄN</t>
        </is>
      </c>
      <c r="G261" t="inlineStr">
        <is>
          <t>HAGFORS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46308</v>
      </c>
      <c r="F262" t="inlineStr">
        <is>
          <t>VÄRMLANDS LÄN</t>
        </is>
      </c>
      <c r="G262" t="inlineStr">
        <is>
          <t>HAGFORS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46200</v>
      </c>
      <c r="E263" s="1" t="n">
        <v>46308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46200</v>
      </c>
      <c r="E264" s="1" t="n">
        <v>46308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27855-2026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46191</v>
      </c>
      <c r="E265" s="1" t="n">
        <v>46308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46308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46308</v>
      </c>
      <c r="F267" t="inlineStr">
        <is>
          <t>VÄRMLANDS LÄN</t>
        </is>
      </c>
      <c r="G267" t="inlineStr">
        <is>
          <t>HAGFORS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45783</v>
      </c>
      <c r="E268" s="1" t="n">
        <v>46308</v>
      </c>
      <c r="F268" t="inlineStr">
        <is>
          <t>VÄRMLANDS LÄN</t>
        </is>
      </c>
      <c r="G268" t="inlineStr">
        <is>
          <t>HAGFORS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46204</v>
      </c>
      <c r="E269" s="1" t="n">
        <v>46308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46308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46308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24680-2024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46308</v>
      </c>
      <c r="F272" t="inlineStr">
        <is>
          <t>VÄRMLANDS LÄN</t>
        </is>
      </c>
      <c r="G272" t="inlineStr">
        <is>
          <t>HAGFORS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55001-2025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46308</v>
      </c>
      <c r="F273" t="inlineStr">
        <is>
          <t>VÄRMLANDS LÄN</t>
        </is>
      </c>
      <c r="G273" t="inlineStr">
        <is>
          <t>HAGFORS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46308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17833-2022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44683</v>
      </c>
      <c r="E275" s="1" t="n">
        <v>46308</v>
      </c>
      <c r="F275" t="inlineStr">
        <is>
          <t>VÄRMLANDS LÄN</t>
        </is>
      </c>
      <c r="G275" t="inlineStr">
        <is>
          <t>HAGFORS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46308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46308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46308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55190-2025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46308</v>
      </c>
      <c r="F279" t="inlineStr">
        <is>
          <t>VÄRMLANDS LÄN</t>
        </is>
      </c>
      <c r="G279" t="inlineStr">
        <is>
          <t>HAGFORS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46308</v>
      </c>
      <c r="F280" t="inlineStr">
        <is>
          <t>VÄRMLANDS LÄN</t>
        </is>
      </c>
      <c r="G280" t="inlineStr">
        <is>
          <t>HAGFORS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46308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46203</v>
      </c>
      <c r="E282" s="1" t="n">
        <v>46308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46308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46203</v>
      </c>
      <c r="E284" s="1" t="n">
        <v>46308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11.8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46308</v>
      </c>
      <c r="F285" t="inlineStr">
        <is>
          <t>VÄRMLANDS LÄN</t>
        </is>
      </c>
      <c r="G285" t="inlineStr">
        <is>
          <t>HAGFORS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46308</v>
      </c>
      <c r="F286" t="inlineStr">
        <is>
          <t>VÄRMLANDS LÄN</t>
        </is>
      </c>
      <c r="G286" t="inlineStr">
        <is>
          <t>HAGFORS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46308</v>
      </c>
      <c r="F287" t="inlineStr">
        <is>
          <t>VÄRMLANDS LÄN</t>
        </is>
      </c>
      <c r="G287" t="inlineStr">
        <is>
          <t>HAGFORS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46308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46308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46308</v>
      </c>
      <c r="F290" t="inlineStr">
        <is>
          <t>VÄRMLANDS LÄN</t>
        </is>
      </c>
      <c r="G290" t="inlineStr">
        <is>
          <t>HAGFORS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29950-2026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46205</v>
      </c>
      <c r="E291" s="1" t="n">
        <v>46308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46308</v>
      </c>
      <c r="F292" t="inlineStr">
        <is>
          <t>VÄRMLANDS LÄN</t>
        </is>
      </c>
      <c r="G292" t="inlineStr">
        <is>
          <t>HAGFORS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46308</v>
      </c>
      <c r="F293" t="inlineStr">
        <is>
          <t>VÄRMLANDS LÄN</t>
        </is>
      </c>
      <c r="G293" t="inlineStr">
        <is>
          <t>HAGFORS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46308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45786</v>
      </c>
      <c r="E295" s="1" t="n">
        <v>46308</v>
      </c>
      <c r="F295" t="inlineStr">
        <is>
          <t>VÄRMLANDS LÄN</t>
        </is>
      </c>
      <c r="G295" t="inlineStr">
        <is>
          <t>HAGFORS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46308</v>
      </c>
      <c r="F296" t="inlineStr">
        <is>
          <t>VÄRMLANDS LÄN</t>
        </is>
      </c>
      <c r="G296" t="inlineStr">
        <is>
          <t>HAGFORS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46308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46209</v>
      </c>
      <c r="E298" s="1" t="n">
        <v>46308</v>
      </c>
      <c r="F298" t="inlineStr">
        <is>
          <t>VÄRMLANDS LÄN</t>
        </is>
      </c>
      <c r="G298" t="inlineStr">
        <is>
          <t>HAGFORS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46209</v>
      </c>
      <c r="E299" s="1" t="n">
        <v>46308</v>
      </c>
      <c r="F299" t="inlineStr">
        <is>
          <t>VÄRMLANDS LÄN</t>
        </is>
      </c>
      <c r="G299" t="inlineStr">
        <is>
          <t>HAGFORS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23268-2025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45791</v>
      </c>
      <c r="E300" s="1" t="n">
        <v>46308</v>
      </c>
      <c r="F300" t="inlineStr">
        <is>
          <t>VÄRMLANDS LÄN</t>
        </is>
      </c>
      <c r="G300" t="inlineStr">
        <is>
          <t>HAGFORS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45790</v>
      </c>
      <c r="E301" s="1" t="n">
        <v>46308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46209</v>
      </c>
      <c r="E302" s="1" t="n">
        <v>46308</v>
      </c>
      <c r="F302" t="inlineStr">
        <is>
          <t>VÄRMLANDS LÄN</t>
        </is>
      </c>
      <c r="G302" t="inlineStr">
        <is>
          <t>HAGFORS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46308</v>
      </c>
      <c r="F303" t="inlineStr">
        <is>
          <t>VÄRMLANDS LÄN</t>
        </is>
      </c>
      <c r="G303" t="inlineStr">
        <is>
          <t>HAGFORS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38239-2024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46308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46308</v>
      </c>
      <c r="F305" t="inlineStr">
        <is>
          <t>VÄRMLANDS LÄN</t>
        </is>
      </c>
      <c r="G305" t="inlineStr">
        <is>
          <t>HAGFORS</t>
        </is>
      </c>
      <c r="H305" t="inlineStr">
        <is>
          <t>Kyrkan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46308</v>
      </c>
      <c r="F306" t="inlineStr">
        <is>
          <t>VÄRMLANDS LÄN</t>
        </is>
      </c>
      <c r="G306" t="inlineStr">
        <is>
          <t>HAGFORS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30629-2026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46211</v>
      </c>
      <c r="E307" s="1" t="n">
        <v>46308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46308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30914-2026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46213</v>
      </c>
      <c r="E309" s="1" t="n">
        <v>46308</v>
      </c>
      <c r="F309" t="inlineStr">
        <is>
          <t>VÄRMLANDS LÄN</t>
        </is>
      </c>
      <c r="G309" t="inlineStr">
        <is>
          <t>HAGFORS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55950-2024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46308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23556-2025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45792</v>
      </c>
      <c r="E311" s="1" t="n">
        <v>46308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46308</v>
      </c>
      <c r="F312" t="inlineStr">
        <is>
          <t>VÄRMLANDS LÄN</t>
        </is>
      </c>
      <c r="G312" t="inlineStr">
        <is>
          <t>HAGFORS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45793</v>
      </c>
      <c r="E313" s="1" t="n">
        <v>46308</v>
      </c>
      <c r="F313" t="inlineStr">
        <is>
          <t>VÄRMLANDS LÄN</t>
        </is>
      </c>
      <c r="G313" t="inlineStr">
        <is>
          <t>HAGFORS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45793</v>
      </c>
      <c r="E314" s="1" t="n">
        <v>46308</v>
      </c>
      <c r="F314" t="inlineStr">
        <is>
          <t>VÄRMLANDS LÄN</t>
        </is>
      </c>
      <c r="G314" t="inlineStr">
        <is>
          <t>HAGFORS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46308</v>
      </c>
      <c r="F315" t="inlineStr">
        <is>
          <t>VÄRMLANDS LÄN</t>
        </is>
      </c>
      <c r="G315" t="inlineStr">
        <is>
          <t>HAGFORS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45615</v>
      </c>
      <c r="E316" s="1" t="n">
        <v>46308</v>
      </c>
      <c r="F316" t="inlineStr">
        <is>
          <t>VÄRMLANDS LÄN</t>
        </is>
      </c>
      <c r="G316" t="inlineStr">
        <is>
          <t>HAGFORS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45754</v>
      </c>
      <c r="E317" s="1" t="n">
        <v>46308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15643-2024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45404</v>
      </c>
      <c r="E318" s="1" t="n">
        <v>46308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59047-2025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45988</v>
      </c>
      <c r="E319" s="1" t="n">
        <v>46308</v>
      </c>
      <c r="F319" t="inlineStr">
        <is>
          <t>VÄRMLANDS LÄN</t>
        </is>
      </c>
      <c r="G319" t="inlineStr">
        <is>
          <t>HAGFORS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24434-2025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45797</v>
      </c>
      <c r="E320" s="1" t="n">
        <v>46308</v>
      </c>
      <c r="F320" t="inlineStr">
        <is>
          <t>VÄRMLANDS LÄN</t>
        </is>
      </c>
      <c r="G320" t="inlineStr">
        <is>
          <t>HAGFORS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24435-2025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45797</v>
      </c>
      <c r="E321" s="1" t="n">
        <v>46308</v>
      </c>
      <c r="F321" t="inlineStr">
        <is>
          <t>VÄRMLANDS LÄN</t>
        </is>
      </c>
      <c r="G321" t="inlineStr">
        <is>
          <t>HAGFORS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24438-2025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45797</v>
      </c>
      <c r="E322" s="1" t="n">
        <v>46308</v>
      </c>
      <c r="F322" t="inlineStr">
        <is>
          <t>VÄRMLANDS LÄN</t>
        </is>
      </c>
      <c r="G322" t="inlineStr">
        <is>
          <t>HAGFORS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46308</v>
      </c>
      <c r="F323" t="inlineStr">
        <is>
          <t>VÄRMLANDS LÄN</t>
        </is>
      </c>
      <c r="G323" t="inlineStr">
        <is>
          <t>HAGFORS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46308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46308</v>
      </c>
      <c r="F325" t="inlineStr">
        <is>
          <t>VÄRMLANDS LÄN</t>
        </is>
      </c>
      <c r="G325" t="inlineStr">
        <is>
          <t>HAGFORS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46308</v>
      </c>
      <c r="F326" t="inlineStr">
        <is>
          <t>VÄRMLANDS LÄN</t>
        </is>
      </c>
      <c r="G326" t="inlineStr">
        <is>
          <t>HAGFORS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46308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46269</v>
      </c>
      <c r="E328" s="1" t="n">
        <v>46308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36240-2026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46268</v>
      </c>
      <c r="E329" s="1" t="n">
        <v>46308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8.800000000000001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46268</v>
      </c>
      <c r="E330" s="1" t="n">
        <v>46308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46308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46226</v>
      </c>
      <c r="E332" s="1" t="n">
        <v>46308</v>
      </c>
      <c r="F332" t="inlineStr">
        <is>
          <t>VÄRMLANDS LÄN</t>
        </is>
      </c>
      <c r="G332" t="inlineStr">
        <is>
          <t>HAGFORS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46308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46225</v>
      </c>
      <c r="E334" s="1" t="n">
        <v>46308</v>
      </c>
      <c r="F334" t="inlineStr">
        <is>
          <t>VÄRMLANDS LÄN</t>
        </is>
      </c>
      <c r="G334" t="inlineStr">
        <is>
          <t>HAGFORS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46308</v>
      </c>
      <c r="F335" t="inlineStr">
        <is>
          <t>VÄRMLANDS LÄN</t>
        </is>
      </c>
      <c r="G335" t="inlineStr">
        <is>
          <t>HAGFORS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46308</v>
      </c>
      <c r="F336" t="inlineStr">
        <is>
          <t>VÄRMLANDS LÄN</t>
        </is>
      </c>
      <c r="G336" t="inlineStr">
        <is>
          <t>HAGFORS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60648-2025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45996</v>
      </c>
      <c r="E337" s="1" t="n">
        <v>46308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31672-2026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46225</v>
      </c>
      <c r="E338" s="1" t="n">
        <v>46308</v>
      </c>
      <c r="F338" t="inlineStr">
        <is>
          <t>VÄRMLANDS LÄN</t>
        </is>
      </c>
      <c r="G338" t="inlineStr">
        <is>
          <t>HAGFORS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46269</v>
      </c>
      <c r="E339" s="1" t="n">
        <v>46308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46272</v>
      </c>
      <c r="E340" s="1" t="n">
        <v>46308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8.800000000000001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46272</v>
      </c>
      <c r="E341" s="1" t="n">
        <v>46308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26463-2025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45807</v>
      </c>
      <c r="E342" s="1" t="n">
        <v>46308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46308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45546</v>
      </c>
      <c r="E344" s="1" t="n">
        <v>46308</v>
      </c>
      <c r="F344" t="inlineStr">
        <is>
          <t>VÄRMLANDS LÄN</t>
        </is>
      </c>
      <c r="G344" t="inlineStr">
        <is>
          <t>HAGFORS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46272</v>
      </c>
      <c r="E345" s="1" t="n">
        <v>46308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45811</v>
      </c>
      <c r="E346" s="1" t="n">
        <v>46308</v>
      </c>
      <c r="F346" t="inlineStr">
        <is>
          <t>VÄRMLANDS LÄN</t>
        </is>
      </c>
      <c r="G346" t="inlineStr">
        <is>
          <t>HAGFORS</t>
        </is>
      </c>
      <c r="I346" t="n">
        <v>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52383-2024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46308</v>
      </c>
      <c r="F347" t="inlineStr">
        <is>
          <t>VÄRMLANDS LÄN</t>
        </is>
      </c>
      <c r="G347" t="inlineStr">
        <is>
          <t>HAGFORS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36728-2026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46272</v>
      </c>
      <c r="E348" s="1" t="n">
        <v>46308</v>
      </c>
      <c r="F348" t="inlineStr">
        <is>
          <t>VÄRMLANDS LÄN</t>
        </is>
      </c>
      <c r="G348" t="inlineStr">
        <is>
          <t>HAGFORS</t>
        </is>
      </c>
      <c r="H348" t="inlineStr">
        <is>
          <t>Kyrkan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61843-2025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46003</v>
      </c>
      <c r="E349" s="1" t="n">
        <v>46308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46308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61718-2025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46002</v>
      </c>
      <c r="E351" s="1" t="n">
        <v>46308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26617-2025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45810</v>
      </c>
      <c r="E352" s="1" t="n">
        <v>46308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46308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46003</v>
      </c>
      <c r="E354" s="1" t="n">
        <v>46308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46268</v>
      </c>
      <c r="E355" s="1" t="n">
        <v>46308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61910-2025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46003</v>
      </c>
      <c r="E356" s="1" t="n">
        <v>46308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46308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26980-2025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46308</v>
      </c>
      <c r="F358" t="inlineStr">
        <is>
          <t>VÄRMLANDS LÄN</t>
        </is>
      </c>
      <c r="G358" t="inlineStr">
        <is>
          <t>HAGFORS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45811</v>
      </c>
      <c r="E359" s="1" t="n">
        <v>46308</v>
      </c>
      <c r="F359" t="inlineStr">
        <is>
          <t>VÄRMLANDS LÄN</t>
        </is>
      </c>
      <c r="G359" t="inlineStr">
        <is>
          <t>HAGFORS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46308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46308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62240-2025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46308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45812</v>
      </c>
      <c r="E363" s="1" t="n">
        <v>46308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46308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46308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62168-2025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46006</v>
      </c>
      <c r="E366" s="1" t="n">
        <v>46308</v>
      </c>
      <c r="F366" t="inlineStr">
        <is>
          <t>VÄRMLANDS LÄN</t>
        </is>
      </c>
      <c r="G366" t="inlineStr">
        <is>
          <t>HAGFORS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46308</v>
      </c>
      <c r="F367" t="inlineStr">
        <is>
          <t>VÄRMLANDS LÄN</t>
        </is>
      </c>
      <c r="G367" t="inlineStr">
        <is>
          <t>HAGFORS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46308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45811</v>
      </c>
      <c r="E369" s="1" t="n">
        <v>46308</v>
      </c>
      <c r="F369" t="inlineStr">
        <is>
          <t>VÄRMLANDS LÄN</t>
        </is>
      </c>
      <c r="G369" t="inlineStr">
        <is>
          <t>HAGFORS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46275</v>
      </c>
      <c r="E370" s="1" t="n">
        <v>46308</v>
      </c>
      <c r="F370" t="inlineStr">
        <is>
          <t>VÄRMLANDS LÄN</t>
        </is>
      </c>
      <c r="G370" t="inlineStr">
        <is>
          <t>HAGFORS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45812</v>
      </c>
      <c r="E371" s="1" t="n">
        <v>46308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45812</v>
      </c>
      <c r="E372" s="1" t="n">
        <v>46308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46274</v>
      </c>
      <c r="E373" s="1" t="n">
        <v>46308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46274</v>
      </c>
      <c r="E374" s="1" t="n">
        <v>46308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46275</v>
      </c>
      <c r="E375" s="1" t="n">
        <v>46308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46308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62632-2025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46308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46308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46308</v>
      </c>
      <c r="F379" t="inlineStr">
        <is>
          <t>VÄRMLANDS LÄN</t>
        </is>
      </c>
      <c r="G379" t="inlineStr">
        <is>
          <t>HAGFORS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36110-2026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46267</v>
      </c>
      <c r="E380" s="1" t="n">
        <v>46308</v>
      </c>
      <c r="F380" t="inlineStr">
        <is>
          <t>VÄRMLANDS LÄN</t>
        </is>
      </c>
      <c r="G380" t="inlineStr">
        <is>
          <t>HAGFORS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46308</v>
      </c>
      <c r="F381" t="inlineStr">
        <is>
          <t>VÄRMLANDS LÄN</t>
        </is>
      </c>
      <c r="G381" t="inlineStr">
        <is>
          <t>HAGFORS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46275</v>
      </c>
      <c r="E382" s="1" t="n">
        <v>46308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46308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46308</v>
      </c>
      <c r="F384" t="inlineStr">
        <is>
          <t>VÄRMLANDS LÄN</t>
        </is>
      </c>
      <c r="G384" t="inlineStr">
        <is>
          <t>HAGFORS</t>
        </is>
      </c>
      <c r="H384" t="inlineStr">
        <is>
          <t>Kyrkan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63361-2025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46308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8820-2024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46308</v>
      </c>
      <c r="F386" t="inlineStr">
        <is>
          <t>VÄRMLANDS LÄN</t>
        </is>
      </c>
      <c r="G386" t="inlineStr">
        <is>
          <t>HAGFORS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46308</v>
      </c>
      <c r="F387" t="inlineStr">
        <is>
          <t>VÄRMLANDS LÄN</t>
        </is>
      </c>
      <c r="G387" t="inlineStr">
        <is>
          <t>HAGFORS</t>
        </is>
      </c>
      <c r="H387" t="inlineStr">
        <is>
          <t>Kyrkan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46308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45821</v>
      </c>
      <c r="E389" s="1" t="n">
        <v>46308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46308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46308</v>
      </c>
      <c r="F391" t="inlineStr">
        <is>
          <t>VÄRMLANDS LÄN</t>
        </is>
      </c>
      <c r="G391" t="inlineStr">
        <is>
          <t>HAGFORS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32043-2026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46233</v>
      </c>
      <c r="E392" s="1" t="n">
        <v>46308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45821</v>
      </c>
      <c r="E393" s="1" t="n">
        <v>46308</v>
      </c>
      <c r="F393" t="inlineStr">
        <is>
          <t>VÄRMLANDS LÄN</t>
        </is>
      </c>
      <c r="G393" t="inlineStr">
        <is>
          <t>HAGFORS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46233</v>
      </c>
      <c r="E394" s="1" t="n">
        <v>46308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46279</v>
      </c>
      <c r="E395" s="1" t="n">
        <v>46308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46308</v>
      </c>
      <c r="F396" t="inlineStr">
        <is>
          <t>VÄRMLANDS LÄN</t>
        </is>
      </c>
      <c r="G396" t="inlineStr">
        <is>
          <t>HAGFORS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46020</v>
      </c>
      <c r="E397" s="1" t="n">
        <v>46308</v>
      </c>
      <c r="F397" t="inlineStr">
        <is>
          <t>VÄRMLANDS LÄN</t>
        </is>
      </c>
      <c r="G397" t="inlineStr">
        <is>
          <t>HAGFORS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46308</v>
      </c>
      <c r="F398" t="inlineStr">
        <is>
          <t>VÄRMLANDS LÄN</t>
        </is>
      </c>
      <c r="G398" t="inlineStr">
        <is>
          <t>HAGFORS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46279</v>
      </c>
      <c r="E399" s="1" t="n">
        <v>46308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46018</v>
      </c>
      <c r="E400" s="1" t="n">
        <v>46308</v>
      </c>
      <c r="F400" t="inlineStr">
        <is>
          <t>VÄRMLANDS LÄN</t>
        </is>
      </c>
      <c r="G400" t="inlineStr">
        <is>
          <t>HAGFORS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46018</v>
      </c>
      <c r="E401" s="1" t="n">
        <v>46308</v>
      </c>
      <c r="F401" t="inlineStr">
        <is>
          <t>VÄRMLANDS LÄN</t>
        </is>
      </c>
      <c r="G401" t="inlineStr">
        <is>
          <t>HAGFORS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46020</v>
      </c>
      <c r="E402" s="1" t="n">
        <v>46308</v>
      </c>
      <c r="F402" t="inlineStr">
        <is>
          <t>VÄRMLANDS LÄN</t>
        </is>
      </c>
      <c r="G402" t="inlineStr">
        <is>
          <t>HAGFORS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46308</v>
      </c>
      <c r="F403" t="inlineStr">
        <is>
          <t>VÄRMLANDS LÄN</t>
        </is>
      </c>
      <c r="G403" t="inlineStr">
        <is>
          <t>HAGFORS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45826</v>
      </c>
      <c r="E404" s="1" t="n">
        <v>46308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45826</v>
      </c>
      <c r="E405" s="1" t="n">
        <v>46308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46308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46280</v>
      </c>
      <c r="E407" s="1" t="n">
        <v>46308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46308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48807-2025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45937</v>
      </c>
      <c r="E409" s="1" t="n">
        <v>46308</v>
      </c>
      <c r="F409" t="inlineStr">
        <is>
          <t>VÄRMLANDS LÄN</t>
        </is>
      </c>
      <c r="G409" t="inlineStr">
        <is>
          <t>HAGFORS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46308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38031-2026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46280</v>
      </c>
      <c r="E411" s="1" t="n">
        <v>46308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46030</v>
      </c>
      <c r="E412" s="1" t="n">
        <v>46308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46308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46308</v>
      </c>
      <c r="F414" t="inlineStr">
        <is>
          <t>VÄRMLANDS LÄN</t>
        </is>
      </c>
      <c r="G414" t="inlineStr">
        <is>
          <t>HAGFORS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46280</v>
      </c>
      <c r="E415" s="1" t="n">
        <v>46308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46280</v>
      </c>
      <c r="E416" s="1" t="n">
        <v>46308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55137-2024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45621</v>
      </c>
      <c r="E417" s="1" t="n">
        <v>46308</v>
      </c>
      <c r="F417" t="inlineStr">
        <is>
          <t>VÄRMLANDS LÄN</t>
        </is>
      </c>
      <c r="G417" t="inlineStr">
        <is>
          <t>HAGFORS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46308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46282</v>
      </c>
      <c r="E420" s="1" t="n">
        <v>46308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46283</v>
      </c>
      <c r="E421" s="1" t="n">
        <v>46308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46282</v>
      </c>
      <c r="E422" s="1" t="n">
        <v>46308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38687-2026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46283</v>
      </c>
      <c r="E423" s="1" t="n">
        <v>46308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46239</v>
      </c>
      <c r="E424" s="1" t="n">
        <v>46308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46282</v>
      </c>
      <c r="E425" s="1" t="n">
        <v>46308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46239</v>
      </c>
      <c r="E426" s="1" t="n">
        <v>46308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46239</v>
      </c>
      <c r="E427" s="1" t="n">
        <v>46308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19.3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46308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46283</v>
      </c>
      <c r="E429" s="1" t="n">
        <v>46308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33440-2025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45841</v>
      </c>
      <c r="E430" s="1" t="n">
        <v>46308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33454-2025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45841</v>
      </c>
      <c r="E431" s="1" t="n">
        <v>46308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46239</v>
      </c>
      <c r="E432" s="1" t="n">
        <v>46308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46282</v>
      </c>
      <c r="E433" s="1" t="n">
        <v>46308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45845</v>
      </c>
      <c r="E434" s="1" t="n">
        <v>46308</v>
      </c>
      <c r="F434" t="inlineStr">
        <is>
          <t>VÄRMLANDS LÄN</t>
        </is>
      </c>
      <c r="G434" t="inlineStr">
        <is>
          <t>HAGFORS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45845</v>
      </c>
      <c r="E435" s="1" t="n">
        <v>46308</v>
      </c>
      <c r="F435" t="inlineStr">
        <is>
          <t>VÄRMLANDS LÄN</t>
        </is>
      </c>
      <c r="G435" t="inlineStr">
        <is>
          <t>HAGFORS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38412-2026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46282</v>
      </c>
      <c r="E436" s="1" t="n">
        <v>46308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46308</v>
      </c>
      <c r="F437" t="inlineStr">
        <is>
          <t>VÄRMLANDS LÄN</t>
        </is>
      </c>
      <c r="G437" t="inlineStr">
        <is>
          <t>HAGFORS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46282</v>
      </c>
      <c r="E438" s="1" t="n">
        <v>46308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39070-2026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46287</v>
      </c>
      <c r="E439" s="1" t="n">
        <v>46308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45575</v>
      </c>
      <c r="E440" s="1" t="n">
        <v>46308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19515-2025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45770</v>
      </c>
      <c r="E441" s="1" t="n">
        <v>46308</v>
      </c>
      <c r="F441" t="inlineStr">
        <is>
          <t>VÄRMLANDS LÄN</t>
        </is>
      </c>
      <c r="G441" t="inlineStr">
        <is>
          <t>HAGFORS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46308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46287</v>
      </c>
      <c r="E443" s="1" t="n">
        <v>46308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46308</v>
      </c>
      <c r="F444" t="inlineStr">
        <is>
          <t>VÄRMLANDS LÄN</t>
        </is>
      </c>
      <c r="G444" t="inlineStr">
        <is>
          <t>HAGFORS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46308</v>
      </c>
      <c r="F445" t="inlineStr">
        <is>
          <t>VÄRMLANDS LÄN</t>
        </is>
      </c>
      <c r="G445" t="inlineStr">
        <is>
          <t>HAGFORS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46241</v>
      </c>
      <c r="E446" s="1" t="n">
        <v>46308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15886-2022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44664</v>
      </c>
      <c r="E447" s="1" t="n">
        <v>46308</v>
      </c>
      <c r="F447" t="inlineStr">
        <is>
          <t>VÄRMLANDS LÄN</t>
        </is>
      </c>
      <c r="G447" t="inlineStr">
        <is>
          <t>HAGFORS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46308</v>
      </c>
      <c r="F448" t="inlineStr">
        <is>
          <t>VÄRMLANDS LÄN</t>
        </is>
      </c>
      <c r="G448" t="inlineStr">
        <is>
          <t>HAGFORS</t>
        </is>
      </c>
      <c r="I448" t="n">
        <v>13.1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46308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45784</v>
      </c>
      <c r="E450" s="1" t="n">
        <v>46308</v>
      </c>
      <c r="F450" t="inlineStr">
        <is>
          <t>VÄRMLANDS LÄN</t>
        </is>
      </c>
      <c r="G450" t="inlineStr">
        <is>
          <t>HAGFORS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45037</v>
      </c>
      <c r="E451" s="1" t="n">
        <v>46308</v>
      </c>
      <c r="F451" t="inlineStr">
        <is>
          <t>VÄRMLANDS LÄN</t>
        </is>
      </c>
      <c r="G451" t="inlineStr">
        <is>
          <t>HAGFORS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46241</v>
      </c>
      <c r="E452" s="1" t="n">
        <v>46308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46308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46287</v>
      </c>
      <c r="E454" s="1" t="n">
        <v>46308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46308</v>
      </c>
      <c r="F455" t="inlineStr">
        <is>
          <t>VÄRMLANDS LÄN</t>
        </is>
      </c>
      <c r="G455" t="inlineStr">
        <is>
          <t>HAGFORS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45854</v>
      </c>
      <c r="E456" s="1" t="n">
        <v>46308</v>
      </c>
      <c r="F456" t="inlineStr">
        <is>
          <t>VÄRMLANDS LÄN</t>
        </is>
      </c>
      <c r="G456" t="inlineStr">
        <is>
          <t>HAGFORS</t>
        </is>
      </c>
      <c r="H456" t="inlineStr">
        <is>
          <t>Kyrkan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46308</v>
      </c>
      <c r="F457" t="inlineStr">
        <is>
          <t>VÄRMLANDS LÄN</t>
        </is>
      </c>
      <c r="G457" t="inlineStr">
        <is>
          <t>HAGFORS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46308</v>
      </c>
      <c r="F458" t="inlineStr">
        <is>
          <t>VÄRMLANDS LÄN</t>
        </is>
      </c>
      <c r="G458" t="inlineStr">
        <is>
          <t>HAGFORS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35289-2025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45854</v>
      </c>
      <c r="E459" s="1" t="n">
        <v>46308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45793</v>
      </c>
      <c r="E460" s="1" t="n">
        <v>46308</v>
      </c>
      <c r="F460" t="inlineStr">
        <is>
          <t>VÄRMLANDS LÄN</t>
        </is>
      </c>
      <c r="G460" t="inlineStr">
        <is>
          <t>HAGFORS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46308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46308</v>
      </c>
      <c r="F462" t="inlineStr">
        <is>
          <t>VÄRMLANDS LÄN</t>
        </is>
      </c>
      <c r="G462" t="inlineStr">
        <is>
          <t>HAGFORS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46308</v>
      </c>
      <c r="F463" t="inlineStr">
        <is>
          <t>VÄRMLANDS LÄN</t>
        </is>
      </c>
      <c r="G463" t="inlineStr">
        <is>
          <t>HAGFORS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46308</v>
      </c>
      <c r="F464" t="inlineStr">
        <is>
          <t>VÄRMLANDS LÄN</t>
        </is>
      </c>
      <c r="G464" t="inlineStr">
        <is>
          <t>HAGFORS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46308</v>
      </c>
      <c r="F465" t="inlineStr">
        <is>
          <t>VÄRMLANDS LÄN</t>
        </is>
      </c>
      <c r="G465" t="inlineStr">
        <is>
          <t>HAGFORS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46052</v>
      </c>
      <c r="E466" s="1" t="n">
        <v>46308</v>
      </c>
      <c r="F466" t="inlineStr">
        <is>
          <t>VÄRMLANDS LÄN</t>
        </is>
      </c>
      <c r="G466" t="inlineStr">
        <is>
          <t>HAGFORS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46308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46308</v>
      </c>
      <c r="F468" t="inlineStr">
        <is>
          <t>VÄRMLANDS LÄN</t>
        </is>
      </c>
      <c r="G468" t="inlineStr">
        <is>
          <t>HAGFORS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46288</v>
      </c>
      <c r="E469" s="1" t="n">
        <v>46308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45838</v>
      </c>
      <c r="E470" s="1" t="n">
        <v>46308</v>
      </c>
      <c r="F470" t="inlineStr">
        <is>
          <t>VÄRMLANDS LÄN</t>
        </is>
      </c>
      <c r="G470" t="inlineStr">
        <is>
          <t>HAGFORS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46288</v>
      </c>
      <c r="E471" s="1" t="n">
        <v>46308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39382-2026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46288</v>
      </c>
      <c r="E472" s="1" t="n">
        <v>46308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46289</v>
      </c>
      <c r="E473" s="1" t="n">
        <v>46308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45824</v>
      </c>
      <c r="E474" s="1" t="n">
        <v>46308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39577-2026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46289</v>
      </c>
      <c r="E475" s="1" t="n">
        <v>46308</v>
      </c>
      <c r="F475" t="inlineStr">
        <is>
          <t>VÄRMLANDS LÄN</t>
        </is>
      </c>
      <c r="G475" t="inlineStr">
        <is>
          <t>HAGFORS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39605-2026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46289</v>
      </c>
      <c r="E476" s="1" t="n">
        <v>46308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46308</v>
      </c>
      <c r="F477" t="inlineStr">
        <is>
          <t>VÄRMLANDS LÄN</t>
        </is>
      </c>
      <c r="G477" t="inlineStr">
        <is>
          <t>HAGFORS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33635-2026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46248</v>
      </c>
      <c r="E478" s="1" t="n">
        <v>46308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46308</v>
      </c>
      <c r="F479" t="inlineStr">
        <is>
          <t>VÄRMLANDS LÄN</t>
        </is>
      </c>
      <c r="G479" t="inlineStr">
        <is>
          <t>HAGFORS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39706-2026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46290</v>
      </c>
      <c r="E480" s="1" t="n">
        <v>46308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39727-2026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46290</v>
      </c>
      <c r="E481" s="1" t="n">
        <v>46308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40191-2026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46308</v>
      </c>
      <c r="F482" t="inlineStr">
        <is>
          <t>VÄRMLANDS LÄN</t>
        </is>
      </c>
      <c r="G482" t="inlineStr">
        <is>
          <t>HAGFORS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46293</v>
      </c>
      <c r="E483" s="1" t="n">
        <v>46308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46293</v>
      </c>
      <c r="E484" s="1" t="n">
        <v>46308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39708-2026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46290</v>
      </c>
      <c r="E485" s="1" t="n">
        <v>46308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40174-2026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46293</v>
      </c>
      <c r="E486" s="1" t="n">
        <v>46308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43558-2024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45569</v>
      </c>
      <c r="E487" s="1" t="n">
        <v>46308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46308</v>
      </c>
      <c r="F488" t="inlineStr">
        <is>
          <t>VÄRMLANDS LÄN</t>
        </is>
      </c>
      <c r="G488" t="inlineStr">
        <is>
          <t>HAGFORS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46293</v>
      </c>
      <c r="E489" s="1" t="n">
        <v>46308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40203-2026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46290</v>
      </c>
      <c r="E490" s="1" t="n">
        <v>46308</v>
      </c>
      <c r="F490" t="inlineStr">
        <is>
          <t>VÄRMLANDS LÄN</t>
        </is>
      </c>
      <c r="G490" t="inlineStr">
        <is>
          <t>HAGFORS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40205-2026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46290</v>
      </c>
      <c r="E491" s="1" t="n">
        <v>46308</v>
      </c>
      <c r="F491" t="inlineStr">
        <is>
          <t>VÄRMLANDS LÄN</t>
        </is>
      </c>
      <c r="G491" t="inlineStr">
        <is>
          <t>HAGFORS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16153-2025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45750</v>
      </c>
      <c r="E492" s="1" t="n">
        <v>46308</v>
      </c>
      <c r="F492" t="inlineStr">
        <is>
          <t>VÄRMLANDS LÄN</t>
        </is>
      </c>
      <c r="G492" t="inlineStr">
        <is>
          <t>HAGFORS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46293</v>
      </c>
      <c r="E493" s="1" t="n">
        <v>46308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46290</v>
      </c>
      <c r="E494" s="1" t="n">
        <v>46308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40071-2026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46308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46293</v>
      </c>
      <c r="E496" s="1" t="n">
        <v>46308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33515-2026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46248</v>
      </c>
      <c r="E497" s="1" t="n">
        <v>46308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40130-2026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46293</v>
      </c>
      <c r="E498" s="1" t="n">
        <v>46308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40157-2026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46290</v>
      </c>
      <c r="E499" s="1" t="n">
        <v>46308</v>
      </c>
      <c r="F499" t="inlineStr">
        <is>
          <t>VÄRMLANDS LÄN</t>
        </is>
      </c>
      <c r="G499" t="inlineStr">
        <is>
          <t>HAGFORS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27185-2025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45812</v>
      </c>
      <c r="E500" s="1" t="n">
        <v>46308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46248</v>
      </c>
      <c r="E501" s="1" t="n">
        <v>46308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46308</v>
      </c>
      <c r="F502" t="inlineStr">
        <is>
          <t>VÄRMLANDS LÄN</t>
        </is>
      </c>
      <c r="G502" t="inlineStr">
        <is>
          <t>HAGFORS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46308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46308</v>
      </c>
      <c r="F504" t="inlineStr">
        <is>
          <t>VÄRMLANDS LÄN</t>
        </is>
      </c>
      <c r="G504" t="inlineStr">
        <is>
          <t>HAGFORS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40207-2026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46290</v>
      </c>
      <c r="E505" s="1" t="n">
        <v>46308</v>
      </c>
      <c r="F505" t="inlineStr">
        <is>
          <t>VÄRMLANDS LÄN</t>
        </is>
      </c>
      <c r="G505" t="inlineStr">
        <is>
          <t>HAGFORS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40209-2026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46290</v>
      </c>
      <c r="E506" s="1" t="n">
        <v>46308</v>
      </c>
      <c r="F506" t="inlineStr">
        <is>
          <t>VÄRMLANDS LÄN</t>
        </is>
      </c>
      <c r="G506" t="inlineStr">
        <is>
          <t>HAGFORS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46308</v>
      </c>
      <c r="F507" t="inlineStr">
        <is>
          <t>VÄRMLANDS LÄN</t>
        </is>
      </c>
      <c r="G507" t="inlineStr">
        <is>
          <t>HAGFORS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45414</v>
      </c>
      <c r="E508" s="1" t="n">
        <v>46308</v>
      </c>
      <c r="F508" t="inlineStr">
        <is>
          <t>VÄRMLANDS LÄN</t>
        </is>
      </c>
      <c r="G508" t="inlineStr">
        <is>
          <t>HAGFORS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46308</v>
      </c>
      <c r="F509" t="inlineStr">
        <is>
          <t>VÄRMLANDS LÄN</t>
        </is>
      </c>
      <c r="G509" t="inlineStr">
        <is>
          <t>HAGFORS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58210-2022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44901</v>
      </c>
      <c r="E510" s="1" t="n">
        <v>46308</v>
      </c>
      <c r="F510" t="inlineStr">
        <is>
          <t>VÄRMLANDS LÄN</t>
        </is>
      </c>
      <c r="G510" t="inlineStr">
        <is>
          <t>HAGFORS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45232</v>
      </c>
      <c r="E511" s="1" t="n">
        <v>46308</v>
      </c>
      <c r="F511" t="inlineStr">
        <is>
          <t>VÄRMLANDS LÄN</t>
        </is>
      </c>
      <c r="G511" t="inlineStr">
        <is>
          <t>HAGFORS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45419</v>
      </c>
      <c r="E512" s="1" t="n">
        <v>46308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40436-2026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46294</v>
      </c>
      <c r="E513" s="1" t="n">
        <v>46308</v>
      </c>
      <c r="F513" t="inlineStr">
        <is>
          <t>VÄRMLANDS LÄN</t>
        </is>
      </c>
      <c r="G513" t="inlineStr">
        <is>
          <t>HAGFORS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46295</v>
      </c>
      <c r="E514" s="1" t="n">
        <v>46308</v>
      </c>
      <c r="F514" t="inlineStr">
        <is>
          <t>VÄRMLANDS LÄN</t>
        </is>
      </c>
      <c r="G514" t="inlineStr">
        <is>
          <t>HAGFORS</t>
        </is>
      </c>
      <c r="H514" t="inlineStr">
        <is>
          <t>Kommuner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46294</v>
      </c>
      <c r="E515" s="1" t="n">
        <v>46308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33833-2026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46251</v>
      </c>
      <c r="E516" s="1" t="n">
        <v>46308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46308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46295</v>
      </c>
      <c r="E518" s="1" t="n">
        <v>46308</v>
      </c>
      <c r="F518" t="inlineStr">
        <is>
          <t>VÄRMLANDS LÄN</t>
        </is>
      </c>
      <c r="G518" t="inlineStr">
        <is>
          <t>HAGFORS</t>
        </is>
      </c>
      <c r="H518" t="inlineStr">
        <is>
          <t>Kommuner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46308</v>
      </c>
      <c r="F519" t="inlineStr">
        <is>
          <t>VÄRMLANDS LÄN</t>
        </is>
      </c>
      <c r="G519" t="inlineStr">
        <is>
          <t>HAGFORS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46308</v>
      </c>
      <c r="F520" t="inlineStr">
        <is>
          <t>VÄRMLANDS LÄN</t>
        </is>
      </c>
      <c r="G520" t="inlineStr">
        <is>
          <t>HAGFORS</t>
        </is>
      </c>
      <c r="H520" t="inlineStr">
        <is>
          <t>Kommuner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46308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40440-2026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46294</v>
      </c>
      <c r="E522" s="1" t="n">
        <v>46308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46294</v>
      </c>
      <c r="E523" s="1" t="n">
        <v>46308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12295-2026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46308</v>
      </c>
      <c r="F524" t="inlineStr">
        <is>
          <t>VÄRMLANDS LÄN</t>
        </is>
      </c>
      <c r="G524" t="inlineStr">
        <is>
          <t>HAGFORS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46308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46308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13360-2026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46308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46308</v>
      </c>
      <c r="F528" t="inlineStr">
        <is>
          <t>VÄRMLANDS LÄN</t>
        </is>
      </c>
      <c r="G528" t="inlineStr">
        <is>
          <t>HAGFORS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46308</v>
      </c>
      <c r="F529" t="inlineStr">
        <is>
          <t>VÄRMLANDS LÄN</t>
        </is>
      </c>
      <c r="G529" t="inlineStr">
        <is>
          <t>HAGFORS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13466-2026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46308</v>
      </c>
      <c r="F530" t="inlineStr">
        <is>
          <t>VÄRMLANDS LÄN</t>
        </is>
      </c>
      <c r="G530" t="inlineStr">
        <is>
          <t>HAGFORS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46308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46308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46308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13809-2026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46098</v>
      </c>
      <c r="E534" s="1" t="n">
        <v>46308</v>
      </c>
      <c r="F534" t="inlineStr">
        <is>
          <t>VÄRMLANDS LÄN</t>
        </is>
      </c>
      <c r="G534" t="inlineStr">
        <is>
          <t>HAGFORS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46098</v>
      </c>
      <c r="E535" s="1" t="n">
        <v>46308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46308</v>
      </c>
      <c r="F536" t="inlineStr">
        <is>
          <t>VÄRMLANDS LÄN</t>
        </is>
      </c>
      <c r="G536" t="inlineStr">
        <is>
          <t>HAGFORS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46308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8.800000000000001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46308</v>
      </c>
      <c r="F538" t="inlineStr">
        <is>
          <t>VÄRMLANDS LÄN</t>
        </is>
      </c>
      <c r="G538" t="inlineStr">
        <is>
          <t>HAGFORS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46308</v>
      </c>
      <c r="F539" t="inlineStr">
        <is>
          <t>VÄRMLANDS LÄN</t>
        </is>
      </c>
      <c r="G539" t="inlineStr">
        <is>
          <t>HAGFORS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46308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17.2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46308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60221-2023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45258</v>
      </c>
      <c r="E542" s="1" t="n">
        <v>46308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46308</v>
      </c>
      <c r="F543" t="inlineStr">
        <is>
          <t>VÄRMLANDS LÄN</t>
        </is>
      </c>
      <c r="G543" t="inlineStr">
        <is>
          <t>HAGFORS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46308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46308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45653</v>
      </c>
      <c r="E546" s="1" t="n">
        <v>46308</v>
      </c>
      <c r="F546" t="inlineStr">
        <is>
          <t>VÄRMLANDS LÄN</t>
        </is>
      </c>
      <c r="G546" t="inlineStr">
        <is>
          <t>HAGFORS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46308</v>
      </c>
      <c r="F547" t="inlineStr">
        <is>
          <t>VÄRMLANDS LÄN</t>
        </is>
      </c>
      <c r="G547" t="inlineStr">
        <is>
          <t>HAGFORS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46308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46308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46308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15491-2026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46308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41050-2026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46300</v>
      </c>
      <c r="E552" s="1" t="n">
        <v>46308</v>
      </c>
      <c r="F552" t="inlineStr">
        <is>
          <t>VÄRMLANDS LÄN</t>
        </is>
      </c>
      <c r="G552" t="inlineStr">
        <is>
          <t>HAGFORS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46308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15213-2026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46105</v>
      </c>
      <c r="E554" s="1" t="n">
        <v>46308</v>
      </c>
      <c r="F554" t="inlineStr">
        <is>
          <t>VÄRMLANDS LÄN</t>
        </is>
      </c>
      <c r="G554" t="inlineStr">
        <is>
          <t>HAGFORS</t>
        </is>
      </c>
      <c r="H554" t="inlineStr">
        <is>
          <t>Kyrkan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46308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46308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15577-2026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46308</v>
      </c>
      <c r="F557" t="inlineStr">
        <is>
          <t>VÄRMLANDS LÄN</t>
        </is>
      </c>
      <c r="G557" t="inlineStr">
        <is>
          <t>HAGFORS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16146-2026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46108</v>
      </c>
      <c r="E558" s="1" t="n">
        <v>46308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41057-2026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46300</v>
      </c>
      <c r="E559" s="1" t="n">
        <v>46308</v>
      </c>
      <c r="F559" t="inlineStr">
        <is>
          <t>VÄRMLANDS LÄN</t>
        </is>
      </c>
      <c r="G559" t="inlineStr">
        <is>
          <t>HAGFORS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43309-2022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44834</v>
      </c>
      <c r="E560" s="1" t="n">
        <v>46308</v>
      </c>
      <c r="F560" t="inlineStr">
        <is>
          <t>VÄRMLANDS LÄN</t>
        </is>
      </c>
      <c r="G560" t="inlineStr">
        <is>
          <t>HAGFORS</t>
        </is>
      </c>
      <c r="H560" t="inlineStr">
        <is>
          <t>Kyrkan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19783-2023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45051</v>
      </c>
      <c r="E561" s="1" t="n">
        <v>46308</v>
      </c>
      <c r="F561" t="inlineStr">
        <is>
          <t>VÄRMLANDS LÄN</t>
        </is>
      </c>
      <c r="G561" t="inlineStr">
        <is>
          <t>HAGFORS</t>
        </is>
      </c>
      <c r="H561" t="inlineStr">
        <is>
          <t>Kommuner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46308</v>
      </c>
      <c r="F562" t="inlineStr">
        <is>
          <t>VÄRMLANDS LÄN</t>
        </is>
      </c>
      <c r="G562" t="inlineStr">
        <is>
          <t>HAGFORS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46111</v>
      </c>
      <c r="E563" s="1" t="n">
        <v>46308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55447-2022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44887</v>
      </c>
      <c r="E564" s="1" t="n">
        <v>46308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41119-2026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46300</v>
      </c>
      <c r="E565" s="1" t="n">
        <v>46308</v>
      </c>
      <c r="F565" t="inlineStr">
        <is>
          <t>VÄRMLANDS LÄN</t>
        </is>
      </c>
      <c r="G565" t="inlineStr">
        <is>
          <t>HAGFORS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20447-2024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46308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46308</v>
      </c>
      <c r="F567" t="inlineStr">
        <is>
          <t>VÄRMLANDS LÄN</t>
        </is>
      </c>
      <c r="G567" t="inlineStr">
        <is>
          <t>HAGFORS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46308</v>
      </c>
      <c r="F568" t="inlineStr">
        <is>
          <t>VÄRMLANDS LÄN</t>
        </is>
      </c>
      <c r="G568" t="inlineStr">
        <is>
          <t>HAGFORS</t>
        </is>
      </c>
      <c r="H568" t="inlineStr">
        <is>
          <t>Kyrkan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15587-2026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46308</v>
      </c>
      <c r="F569" t="inlineStr">
        <is>
          <t>VÄRMLANDS LÄN</t>
        </is>
      </c>
      <c r="G569" t="inlineStr">
        <is>
          <t>HAGFORS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46308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46255</v>
      </c>
      <c r="E571" s="1" t="n">
        <v>46308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45659</v>
      </c>
      <c r="E572" s="1" t="n">
        <v>46308</v>
      </c>
      <c r="F572" t="inlineStr">
        <is>
          <t>VÄRMLANDS LÄN</t>
        </is>
      </c>
      <c r="G572" t="inlineStr">
        <is>
          <t>HAGFORS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13850-2022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44649</v>
      </c>
      <c r="E573" s="1" t="n">
        <v>46308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17815-2026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46308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70712-2021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44537</v>
      </c>
      <c r="E575" s="1" t="n">
        <v>46308</v>
      </c>
      <c r="F575" t="inlineStr">
        <is>
          <t>VÄRMLANDS LÄN</t>
        </is>
      </c>
      <c r="G575" t="inlineStr">
        <is>
          <t>HAGFORS</t>
        </is>
      </c>
      <c r="H575" t="inlineStr">
        <is>
          <t>Kommuner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46122</v>
      </c>
      <c r="E576" s="1" t="n">
        <v>46308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46122</v>
      </c>
      <c r="E577" s="1" t="n">
        <v>46308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46308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58799-2022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44903</v>
      </c>
      <c r="E579" s="1" t="n">
        <v>46308</v>
      </c>
      <c r="F579" t="inlineStr">
        <is>
          <t>VÄRMLANDS LÄN</t>
        </is>
      </c>
      <c r="G579" t="inlineStr">
        <is>
          <t>HAGFORS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58307-2023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45250</v>
      </c>
      <c r="E580" s="1" t="n">
        <v>46308</v>
      </c>
      <c r="F580" t="inlineStr">
        <is>
          <t>VÄRMLANDS LÄN</t>
        </is>
      </c>
      <c r="G580" t="inlineStr">
        <is>
          <t>HAGFORS</t>
        </is>
      </c>
      <c r="H580" t="inlineStr">
        <is>
          <t>Kommuner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46308</v>
      </c>
      <c r="F581" t="inlineStr">
        <is>
          <t>VÄRMLANDS LÄN</t>
        </is>
      </c>
      <c r="G581" t="inlineStr">
        <is>
          <t>HAGFORS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18895-2026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46129</v>
      </c>
      <c r="E582" s="1" t="n">
        <v>46308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46308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18901-2026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46129</v>
      </c>
      <c r="E584" s="1" t="n">
        <v>46308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41581-2026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46301</v>
      </c>
      <c r="E585" s="1" t="n">
        <v>46308</v>
      </c>
      <c r="F585" t="inlineStr">
        <is>
          <t>VÄRMLANDS LÄN</t>
        </is>
      </c>
      <c r="G585" t="inlineStr">
        <is>
          <t>HAGFORS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35173-2026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46260</v>
      </c>
      <c r="E586" s="1" t="n">
        <v>46308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18797-2026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46128</v>
      </c>
      <c r="E587" s="1" t="n">
        <v>46308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31166-2022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44770</v>
      </c>
      <c r="E588" s="1" t="n">
        <v>46308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40176-2026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46308</v>
      </c>
      <c r="F589" t="inlineStr">
        <is>
          <t>VÄRMLANDS LÄN</t>
        </is>
      </c>
      <c r="G589" t="inlineStr">
        <is>
          <t>HAGFORS</t>
        </is>
      </c>
      <c r="I589" t="n">
        <v>14.3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19363-2026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46133</v>
      </c>
      <c r="E590" s="1" t="n">
        <v>46308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19339-2026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46133</v>
      </c>
      <c r="E591" s="1" t="n">
        <v>46308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46308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19307-2026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46308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46308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46307</v>
      </c>
      <c r="E595" s="1" t="n">
        <v>46308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46307</v>
      </c>
      <c r="E596" s="1" t="n">
        <v>46308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46133</v>
      </c>
      <c r="E597" s="1" t="n">
        <v>46308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42329-2026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46307</v>
      </c>
      <c r="E598" s="1" t="n">
        <v>46308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46308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35574-2026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46262</v>
      </c>
      <c r="E600" s="1" t="n">
        <v>46308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46307</v>
      </c>
      <c r="E601" s="1" t="n">
        <v>46308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46308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44938</v>
      </c>
      <c r="E603" s="1" t="n">
        <v>46308</v>
      </c>
      <c r="F603" t="inlineStr">
        <is>
          <t>VÄRMLANDS LÄN</t>
        </is>
      </c>
      <c r="G603" t="inlineStr">
        <is>
          <t>HAGFORS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46308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46308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46308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46308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42314-2026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46307</v>
      </c>
      <c r="E608" s="1" t="n">
        <v>46308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20260-2026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46308</v>
      </c>
      <c r="F609" t="inlineStr">
        <is>
          <t>VÄRMLANDS LÄN</t>
        </is>
      </c>
      <c r="G609" t="inlineStr">
        <is>
          <t>HAGFORS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38555-2023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45162</v>
      </c>
      <c r="E610" s="1" t="n">
        <v>46308</v>
      </c>
      <c r="F610" t="inlineStr">
        <is>
          <t>VÄRMLANDS LÄN</t>
        </is>
      </c>
      <c r="G610" t="inlineStr">
        <is>
          <t>HAGFORS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63868-2025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46020</v>
      </c>
      <c r="E611" s="1" t="n">
        <v>46308</v>
      </c>
      <c r="F611" t="inlineStr">
        <is>
          <t>VÄRMLANDS LÄN</t>
        </is>
      </c>
      <c r="G611" t="inlineStr">
        <is>
          <t>HAGFORS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20113-2023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45055</v>
      </c>
      <c r="E612" s="1" t="n">
        <v>46308</v>
      </c>
      <c r="F612" t="inlineStr">
        <is>
          <t>VÄRMLANDS LÄN</t>
        </is>
      </c>
      <c r="G612" t="inlineStr">
        <is>
          <t>HAGFORS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35781-2026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46265</v>
      </c>
      <c r="E613" s="1" t="n">
        <v>46308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46307</v>
      </c>
      <c r="E614" s="1" t="n">
        <v>46308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46307</v>
      </c>
      <c r="E615" s="1" t="n">
        <v>46308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12778-2025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45733</v>
      </c>
      <c r="E616" s="1" t="n">
        <v>46308</v>
      </c>
      <c r="F616" t="inlineStr">
        <is>
          <t>VÄRMLANDS LÄN</t>
        </is>
      </c>
      <c r="G616" t="inlineStr">
        <is>
          <t>HAGFORS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33187-2025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45840</v>
      </c>
      <c r="E617" s="1" t="n">
        <v>46308</v>
      </c>
      <c r="F617" t="inlineStr">
        <is>
          <t>VÄRMLANDS LÄN</t>
        </is>
      </c>
      <c r="G617" t="inlineStr">
        <is>
          <t>HAGFORS</t>
        </is>
      </c>
      <c r="I617" t="n">
        <v>18.2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61140-2023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45261</v>
      </c>
      <c r="E618" s="1" t="n">
        <v>46308</v>
      </c>
      <c r="F618" t="inlineStr">
        <is>
          <t>VÄRMLANDS LÄN</t>
        </is>
      </c>
      <c r="G618" t="inlineStr">
        <is>
          <t>HAGFORS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46208-2023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46308</v>
      </c>
      <c r="F619" t="inlineStr">
        <is>
          <t>VÄRMLANDS LÄN</t>
        </is>
      </c>
      <c r="G619" t="inlineStr">
        <is>
          <t>HAGFORS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24947-2024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45461</v>
      </c>
      <c r="E620" s="1" t="n">
        <v>46308</v>
      </c>
      <c r="F620" t="inlineStr">
        <is>
          <t>VÄRMLANDS LÄN</t>
        </is>
      </c>
      <c r="G620" t="inlineStr">
        <is>
          <t>HAGFORS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13094-2024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45385</v>
      </c>
      <c r="E621" s="1" t="n">
        <v>46308</v>
      </c>
      <c r="F621" t="inlineStr">
        <is>
          <t>VÄRMLANDS LÄN</t>
        </is>
      </c>
      <c r="G621" t="inlineStr">
        <is>
          <t>HAGFORS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45469</v>
      </c>
      <c r="E622" s="1" t="n">
        <v>46308</v>
      </c>
      <c r="F622" t="inlineStr">
        <is>
          <t>VÄRMLANDS LÄN</t>
        </is>
      </c>
      <c r="G622" t="inlineStr">
        <is>
          <t>HAGFORS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38887-2024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45547</v>
      </c>
      <c r="E623" s="1" t="n">
        <v>46308</v>
      </c>
      <c r="F623" t="inlineStr">
        <is>
          <t>VÄRMLANDS LÄN</t>
        </is>
      </c>
      <c r="G623" t="inlineStr">
        <is>
          <t>HAGFORS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62497-2022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44924</v>
      </c>
      <c r="E624" s="1" t="n">
        <v>46308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29492-2024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45484</v>
      </c>
      <c r="E625" s="1" t="n">
        <v>46308</v>
      </c>
      <c r="F625" t="inlineStr">
        <is>
          <t>VÄRMLANDS LÄN</t>
        </is>
      </c>
      <c r="G625" t="inlineStr">
        <is>
          <t>HAGFORS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21867-2024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45443</v>
      </c>
      <c r="E626" s="1" t="n">
        <v>46308</v>
      </c>
      <c r="F626" t="inlineStr">
        <is>
          <t>VÄRMLANDS LÄN</t>
        </is>
      </c>
      <c r="G626" t="inlineStr">
        <is>
          <t>HAGFORS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19993-2026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46136</v>
      </c>
      <c r="E627" s="1" t="n">
        <v>46308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22346-2025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45786</v>
      </c>
      <c r="E628" s="1" t="n">
        <v>46308</v>
      </c>
      <c r="F628" t="inlineStr">
        <is>
          <t>VÄRMLANDS LÄN</t>
        </is>
      </c>
      <c r="G628" t="inlineStr">
        <is>
          <t>HAGFORS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45791</v>
      </c>
      <c r="E629" s="1" t="n">
        <v>46308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27739-2024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45475</v>
      </c>
      <c r="E630" s="1" t="n">
        <v>46308</v>
      </c>
      <c r="F630" t="inlineStr">
        <is>
          <t>VÄRMLANDS LÄN</t>
        </is>
      </c>
      <c r="G630" t="inlineStr">
        <is>
          <t>HAGFORS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32688-2025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45838</v>
      </c>
      <c r="E631" s="1" t="n">
        <v>46308</v>
      </c>
      <c r="F631" t="inlineStr">
        <is>
          <t>VÄRMLANDS LÄN</t>
        </is>
      </c>
      <c r="G631" t="inlineStr">
        <is>
          <t>HAGFORS</t>
        </is>
      </c>
      <c r="H631" t="inlineStr">
        <is>
          <t>Kyrkan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28571-2025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45819</v>
      </c>
      <c r="E632" s="1" t="n">
        <v>46308</v>
      </c>
      <c r="F632" t="inlineStr">
        <is>
          <t>VÄRMLANDS LÄN</t>
        </is>
      </c>
      <c r="G632" t="inlineStr">
        <is>
          <t>HAGFORS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45796</v>
      </c>
      <c r="E633" s="1" t="n">
        <v>46308</v>
      </c>
      <c r="F633" t="inlineStr">
        <is>
          <t>VÄRMLANDS LÄN</t>
        </is>
      </c>
      <c r="G633" t="inlineStr">
        <is>
          <t>HAGFORS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23047-2024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45450</v>
      </c>
      <c r="E634" s="1" t="n">
        <v>46308</v>
      </c>
      <c r="F634" t="inlineStr">
        <is>
          <t>VÄRMLANDS LÄN</t>
        </is>
      </c>
      <c r="G634" t="inlineStr">
        <is>
          <t>HAGFORS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45783</v>
      </c>
      <c r="E635" s="1" t="n">
        <v>46308</v>
      </c>
      <c r="F635" t="inlineStr">
        <is>
          <t>VÄRMLANDS LÄN</t>
        </is>
      </c>
      <c r="G635" t="inlineStr">
        <is>
          <t>HAGFORS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32690-2025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45839</v>
      </c>
      <c r="E636" s="1" t="n">
        <v>46308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36764-2025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45873</v>
      </c>
      <c r="E637" s="1" t="n">
        <v>46308</v>
      </c>
      <c r="F637" t="inlineStr">
        <is>
          <t>VÄRMLANDS LÄN</t>
        </is>
      </c>
      <c r="G637" t="inlineStr">
        <is>
          <t>HAGFORS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26615-2024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45469</v>
      </c>
      <c r="E638" s="1" t="n">
        <v>46308</v>
      </c>
      <c r="F638" t="inlineStr">
        <is>
          <t>VÄRMLANDS LÄN</t>
        </is>
      </c>
      <c r="G638" t="inlineStr">
        <is>
          <t>HAGFORS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42169-2024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46308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42173-2024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45562</v>
      </c>
      <c r="E640" s="1" t="n">
        <v>46308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42178-2024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45562</v>
      </c>
      <c r="E641" s="1" t="n">
        <v>46308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44566</v>
      </c>
      <c r="E642" s="1" t="n">
        <v>46308</v>
      </c>
      <c r="F642" t="inlineStr">
        <is>
          <t>VÄRMLANDS LÄN</t>
        </is>
      </c>
      <c r="G642" t="inlineStr">
        <is>
          <t>HAGFORS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57379-2022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44896</v>
      </c>
      <c r="E643" s="1" t="n">
        <v>46308</v>
      </c>
      <c r="F643" t="inlineStr">
        <is>
          <t>VÄRMLANDS LÄN</t>
        </is>
      </c>
      <c r="G643" t="inlineStr">
        <is>
          <t>HAGFORS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34281-2025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45846</v>
      </c>
      <c r="E644" s="1" t="n">
        <v>46308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58437-2023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45250</v>
      </c>
      <c r="E645" s="1" t="n">
        <v>46308</v>
      </c>
      <c r="F645" t="inlineStr">
        <is>
          <t>VÄRMLANDS LÄN</t>
        </is>
      </c>
      <c r="G645" t="inlineStr">
        <is>
          <t>HAGFORS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34572-2025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45847</v>
      </c>
      <c r="E646" s="1" t="n">
        <v>46308</v>
      </c>
      <c r="F646" t="inlineStr">
        <is>
          <t>VÄRMLANDS LÄN</t>
        </is>
      </c>
      <c r="G646" t="inlineStr">
        <is>
          <t>HAGFORS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68252-2021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44526</v>
      </c>
      <c r="E647" s="1" t="n">
        <v>46308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52224-2023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45224</v>
      </c>
      <c r="E648" s="1" t="n">
        <v>46308</v>
      </c>
      <c r="F648" t="inlineStr">
        <is>
          <t>VÄRMLANDS LÄN</t>
        </is>
      </c>
      <c r="G648" t="inlineStr">
        <is>
          <t>HAGFORS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27410-2023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46308</v>
      </c>
      <c r="F649" t="inlineStr">
        <is>
          <t>VÄRMLANDS LÄN</t>
        </is>
      </c>
      <c r="G649" t="inlineStr">
        <is>
          <t>HAGFORS</t>
        </is>
      </c>
      <c r="H649" t="inlineStr">
        <is>
          <t>Kyrkan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45769</v>
      </c>
      <c r="E650" s="1" t="n">
        <v>46308</v>
      </c>
      <c r="F650" t="inlineStr">
        <is>
          <t>VÄRMLANDS LÄN</t>
        </is>
      </c>
      <c r="G650" t="inlineStr">
        <is>
          <t>HAGFORS</t>
        </is>
      </c>
      <c r="I650" t="n">
        <v>6.2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35664-2023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45147</v>
      </c>
      <c r="E651" s="1" t="n">
        <v>46308</v>
      </c>
      <c r="F651" t="inlineStr">
        <is>
          <t>VÄRMLANDS LÄN</t>
        </is>
      </c>
      <c r="G651" t="inlineStr">
        <is>
          <t>HAGFORS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46308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39211-2022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44817</v>
      </c>
      <c r="E653" s="1" t="n">
        <v>46308</v>
      </c>
      <c r="F653" t="inlineStr">
        <is>
          <t>VÄRMLANDS LÄN</t>
        </is>
      </c>
      <c r="G653" t="inlineStr">
        <is>
          <t>HAGFORS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20594-2026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46140</v>
      </c>
      <c r="E654" s="1" t="n">
        <v>46308</v>
      </c>
      <c r="F654" t="inlineStr">
        <is>
          <t>VÄRMLANDS LÄN</t>
        </is>
      </c>
      <c r="G654" t="inlineStr">
        <is>
          <t>HAGFORS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20706-2026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46308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20759-2026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46308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61265-2022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44915</v>
      </c>
      <c r="E657" s="1" t="n">
        <v>46308</v>
      </c>
      <c r="F657" t="inlineStr">
        <is>
          <t>VÄRMLANDS LÄN</t>
        </is>
      </c>
      <c r="G657" t="inlineStr">
        <is>
          <t>HAGFORS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20564-2026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46140</v>
      </c>
      <c r="E658" s="1" t="n">
        <v>46308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19894-2024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45433</v>
      </c>
      <c r="E659" s="1" t="n">
        <v>46308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45833</v>
      </c>
      <c r="E660" s="1" t="n">
        <v>46308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20798-2026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46141</v>
      </c>
      <c r="E661" s="1" t="n">
        <v>46308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20752-2026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46141</v>
      </c>
      <c r="E662" s="1" t="n">
        <v>46308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45684</v>
      </c>
      <c r="E663" s="1" t="n">
        <v>46308</v>
      </c>
      <c r="F663" t="inlineStr">
        <is>
          <t>VÄRMLANDS LÄN</t>
        </is>
      </c>
      <c r="G663" t="inlineStr">
        <is>
          <t>HAGFORS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46058</v>
      </c>
      <c r="E664" s="1" t="n">
        <v>46308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46308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26777-2023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45093</v>
      </c>
      <c r="E666" s="1" t="n">
        <v>46308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45673</v>
      </c>
      <c r="E667" s="1" t="n">
        <v>46308</v>
      </c>
      <c r="F667" t="inlineStr">
        <is>
          <t>VÄRMLANDS LÄN</t>
        </is>
      </c>
      <c r="G667" t="inlineStr">
        <is>
          <t>HAGFORS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20729-2026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46141</v>
      </c>
      <c r="E668" s="1" t="n">
        <v>46308</v>
      </c>
      <c r="F668" t="inlineStr">
        <is>
          <t>VÄRMLANDS LÄN</t>
        </is>
      </c>
      <c r="G668" t="inlineStr">
        <is>
          <t>HAGFORS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13300-2023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45005</v>
      </c>
      <c r="E669" s="1" t="n">
        <v>46308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33969-2022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44790</v>
      </c>
      <c r="E670" s="1" t="n">
        <v>46308</v>
      </c>
      <c r="F670" t="inlineStr">
        <is>
          <t>VÄRMLANDS LÄN</t>
        </is>
      </c>
      <c r="G670" t="inlineStr">
        <is>
          <t>HAGFORS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25759-2023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46308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31660-2022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44776</v>
      </c>
      <c r="E672" s="1" t="n">
        <v>46308</v>
      </c>
      <c r="F672" t="inlineStr">
        <is>
          <t>VÄRMLANDS LÄN</t>
        </is>
      </c>
      <c r="G672" t="inlineStr">
        <is>
          <t>HAGFORS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45106</v>
      </c>
      <c r="E673" s="1" t="n">
        <v>46308</v>
      </c>
      <c r="F673" t="inlineStr">
        <is>
          <t>VÄRMLANDS LÄN</t>
        </is>
      </c>
      <c r="G673" t="inlineStr">
        <is>
          <t>HAGFORS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20880-2026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46142</v>
      </c>
      <c r="E674" s="1" t="n">
        <v>46308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59092-2022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46308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46142</v>
      </c>
      <c r="E676" s="1" t="n">
        <v>46308</v>
      </c>
      <c r="F676" t="inlineStr">
        <is>
          <t>VÄRMLANDS LÄN</t>
        </is>
      </c>
      <c r="G676" t="inlineStr">
        <is>
          <t>HAGFORS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20911-2026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46142</v>
      </c>
      <c r="E677" s="1" t="n">
        <v>46308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64155-2023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45279</v>
      </c>
      <c r="E678" s="1" t="n">
        <v>46308</v>
      </c>
      <c r="F678" t="inlineStr">
        <is>
          <t>VÄRMLANDS LÄN</t>
        </is>
      </c>
      <c r="G678" t="inlineStr">
        <is>
          <t>HAGFORS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46146</v>
      </c>
      <c r="E679" s="1" t="n">
        <v>46308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6.7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21728-2026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46149</v>
      </c>
      <c r="E680" s="1" t="n">
        <v>46308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21879-2026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46150</v>
      </c>
      <c r="E681" s="1" t="n">
        <v>46308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21762-2026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46150</v>
      </c>
      <c r="E682" s="1" t="n">
        <v>46308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21776-2026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46150</v>
      </c>
      <c r="E683" s="1" t="n">
        <v>46308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8129-2024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45351</v>
      </c>
      <c r="E684" s="1" t="n">
        <v>46308</v>
      </c>
      <c r="F684" t="inlineStr">
        <is>
          <t>VÄRMLANDS LÄN</t>
        </is>
      </c>
      <c r="G684" t="inlineStr">
        <is>
          <t>HAGFORS</t>
        </is>
      </c>
      <c r="H684" t="inlineStr">
        <is>
          <t>Kyrkan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11104-2022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44628</v>
      </c>
      <c r="E685" s="1" t="n">
        <v>46308</v>
      </c>
      <c r="F685" t="inlineStr">
        <is>
          <t>VÄRMLANDS LÄN</t>
        </is>
      </c>
      <c r="G685" t="inlineStr">
        <is>
          <t>HAGFORS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22516-2026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46155</v>
      </c>
      <c r="E686" s="1" t="n">
        <v>46308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22588-2026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46155</v>
      </c>
      <c r="E687" s="1" t="n">
        <v>46308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6.7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22572-2026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46308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29855-2023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46308</v>
      </c>
      <c r="F689" t="inlineStr">
        <is>
          <t>VÄRMLANDS LÄN</t>
        </is>
      </c>
      <c r="G689" t="inlineStr">
        <is>
          <t>HAGFORS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16824-2023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45033</v>
      </c>
      <c r="E690" s="1" t="n">
        <v>46308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47027-2023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45201</v>
      </c>
      <c r="E691" s="1" t="n">
        <v>46308</v>
      </c>
      <c r="F691" t="inlineStr">
        <is>
          <t>VÄRMLANDS LÄN</t>
        </is>
      </c>
      <c r="G691" t="inlineStr">
        <is>
          <t>HAGFORS</t>
        </is>
      </c>
      <c r="I691" t="n">
        <v>7.7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47033-2023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45201</v>
      </c>
      <c r="E692" s="1" t="n">
        <v>46308</v>
      </c>
      <c r="F692" t="inlineStr">
        <is>
          <t>VÄRMLANDS LÄN</t>
        </is>
      </c>
      <c r="G692" t="inlineStr">
        <is>
          <t>HAGFORS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46308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57162-2024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45629</v>
      </c>
      <c r="E694" s="1" t="n">
        <v>46308</v>
      </c>
      <c r="F694" t="inlineStr">
        <is>
          <t>VÄRMLANDS LÄN</t>
        </is>
      </c>
      <c r="G694" t="inlineStr">
        <is>
          <t>HAGFORS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46308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46308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46308</v>
      </c>
      <c r="F697" t="inlineStr">
        <is>
          <t>VÄRMLANDS LÄN</t>
        </is>
      </c>
      <c r="G697" t="inlineStr">
        <is>
          <t>HAGFORS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46308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22911-2026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46160</v>
      </c>
      <c r="E699" s="1" t="n">
        <v>46308</v>
      </c>
      <c r="F699" t="inlineStr">
        <is>
          <t>VÄRMLANDS LÄN</t>
        </is>
      </c>
      <c r="G699" t="inlineStr">
        <is>
          <t>HAGFORS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745-2026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46029</v>
      </c>
      <c r="E700" s="1" t="n">
        <v>46308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8.800000000000001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46190-2024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45581</v>
      </c>
      <c r="E701" s="1" t="n">
        <v>46308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23016-2026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46161</v>
      </c>
      <c r="E702" s="1" t="n">
        <v>46308</v>
      </c>
      <c r="F702" t="inlineStr">
        <is>
          <t>VÄRMLANDS LÄN</t>
        </is>
      </c>
      <c r="G702" t="inlineStr">
        <is>
          <t>HAGFORS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23129-2026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46161</v>
      </c>
      <c r="E703" s="1" t="n">
        <v>46308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22925-2026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46160</v>
      </c>
      <c r="E704" s="1" t="n">
        <v>46308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46160</v>
      </c>
      <c r="E705" s="1" t="n">
        <v>46308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28654-2023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45103</v>
      </c>
      <c r="E706" s="1" t="n">
        <v>46308</v>
      </c>
      <c r="F706" t="inlineStr">
        <is>
          <t>VÄRMLANDS LÄN</t>
        </is>
      </c>
      <c r="G706" t="inlineStr">
        <is>
          <t>HAGFORS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45502</v>
      </c>
      <c r="E707" s="1" t="n">
        <v>46308</v>
      </c>
      <c r="F707" t="inlineStr">
        <is>
          <t>VÄRMLANDS LÄN</t>
        </is>
      </c>
      <c r="G707" t="inlineStr">
        <is>
          <t>HAGFORS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56466-2024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45625</v>
      </c>
      <c r="E708" s="1" t="n">
        <v>46308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23549-2026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46308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51015-2025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45947</v>
      </c>
      <c r="E710" s="1" t="n">
        <v>46308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8.9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36494-2025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45869</v>
      </c>
      <c r="E711" s="1" t="n">
        <v>46308</v>
      </c>
      <c r="F711" t="inlineStr">
        <is>
          <t>VÄRMLANDS LÄN</t>
        </is>
      </c>
      <c r="G711" t="inlineStr">
        <is>
          <t>HAGFORS</t>
        </is>
      </c>
      <c r="H711" t="inlineStr">
        <is>
          <t>Kyrkan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9763-2025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45716</v>
      </c>
      <c r="E712" s="1" t="n">
        <v>46308</v>
      </c>
      <c r="F712" t="inlineStr">
        <is>
          <t>VÄRMLANDS LÄN</t>
        </is>
      </c>
      <c r="G712" t="inlineStr">
        <is>
          <t>HAGFORS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46308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23269-2026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46162</v>
      </c>
      <c r="E714" s="1" t="n">
        <v>46308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30180-2022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44757</v>
      </c>
      <c r="E715" s="1" t="n">
        <v>46308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23728-2026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46164</v>
      </c>
      <c r="E716" s="1" t="n">
        <v>46308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61304-2023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45264</v>
      </c>
      <c r="E717" s="1" t="n">
        <v>46308</v>
      </c>
      <c r="F717" t="inlineStr">
        <is>
          <t>VÄRMLANDS LÄN</t>
        </is>
      </c>
      <c r="G717" t="inlineStr">
        <is>
          <t>HAGFORS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4047-2024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45323</v>
      </c>
      <c r="E718" s="1" t="n">
        <v>46308</v>
      </c>
      <c r="F718" t="inlineStr">
        <is>
          <t>VÄRMLANDS LÄN</t>
        </is>
      </c>
      <c r="G718" t="inlineStr">
        <is>
          <t>HAGFORS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23678-2026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46164</v>
      </c>
      <c r="E719" s="1" t="n">
        <v>46308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8.300000000000001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46308</v>
      </c>
      <c r="F720" t="inlineStr">
        <is>
          <t>VÄRMLANDS LÄN</t>
        </is>
      </c>
      <c r="G720" t="inlineStr">
        <is>
          <t>HAGFORS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30642-2025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46308</v>
      </c>
      <c r="F721" t="inlineStr">
        <is>
          <t>VÄRMLANDS LÄN</t>
        </is>
      </c>
      <c r="G721" t="inlineStr">
        <is>
          <t>HAGFORS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46308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8.1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24240-2026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46168</v>
      </c>
      <c r="E723" s="1" t="n">
        <v>46308</v>
      </c>
      <c r="F723" t="inlineStr">
        <is>
          <t>VÄRMLANDS LÄN</t>
        </is>
      </c>
      <c r="G723" t="inlineStr">
        <is>
          <t>HAGFORS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18699-2022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44687</v>
      </c>
      <c r="E724" s="1" t="n">
        <v>46308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35888-2023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45148</v>
      </c>
      <c r="E725" s="1" t="n">
        <v>46308</v>
      </c>
      <c r="F725" t="inlineStr">
        <is>
          <t>VÄRMLANDS LÄN</t>
        </is>
      </c>
      <c r="G725" t="inlineStr">
        <is>
          <t>HAGFORS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24625-2026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46171</v>
      </c>
      <c r="E726" s="1" t="n">
        <v>46308</v>
      </c>
      <c r="F726" t="inlineStr">
        <is>
          <t>VÄRMLANDS LÄN</t>
        </is>
      </c>
      <c r="G726" t="inlineStr">
        <is>
          <t>HAGFORS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13635-2024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45390</v>
      </c>
      <c r="E727" s="1" t="n">
        <v>46308</v>
      </c>
      <c r="F727" t="inlineStr">
        <is>
          <t>VÄRMLANDS LÄN</t>
        </is>
      </c>
      <c r="G727" t="inlineStr">
        <is>
          <t>HAGFORS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36030-2023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45149</v>
      </c>
      <c r="E728" s="1" t="n">
        <v>46308</v>
      </c>
      <c r="F728" t="inlineStr">
        <is>
          <t>VÄRMLANDS LÄN</t>
        </is>
      </c>
      <c r="G728" t="inlineStr">
        <is>
          <t>HAGFORS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35065-2023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45145</v>
      </c>
      <c r="E729" s="1" t="n">
        <v>46308</v>
      </c>
      <c r="F729" t="inlineStr">
        <is>
          <t>VÄRMLANDS LÄN</t>
        </is>
      </c>
      <c r="G729" t="inlineStr">
        <is>
          <t>HAGFORS</t>
        </is>
      </c>
      <c r="I729" t="n">
        <v>13.5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38132-2022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44812</v>
      </c>
      <c r="E730" s="1" t="n">
        <v>46308</v>
      </c>
      <c r="F730" t="inlineStr">
        <is>
          <t>VÄRMLANDS LÄN</t>
        </is>
      </c>
      <c r="G730" t="inlineStr">
        <is>
          <t>HAGFORS</t>
        </is>
      </c>
      <c r="H730" t="inlineStr">
        <is>
          <t>Kyrkan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39396-2023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45166</v>
      </c>
      <c r="E731" s="1" t="n">
        <v>46308</v>
      </c>
      <c r="F731" t="inlineStr">
        <is>
          <t>VÄRMLANDS LÄN</t>
        </is>
      </c>
      <c r="G731" t="inlineStr">
        <is>
          <t>HAGFORS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32031-2024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45510</v>
      </c>
      <c r="E732" s="1" t="n">
        <v>46308</v>
      </c>
      <c r="F732" t="inlineStr">
        <is>
          <t>VÄRMLANDS LÄN</t>
        </is>
      </c>
      <c r="G732" t="inlineStr">
        <is>
          <t>HAGFORS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15538-2024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45401</v>
      </c>
      <c r="E733" s="1" t="n">
        <v>46308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45425</v>
      </c>
      <c r="E734" s="1" t="n">
        <v>46308</v>
      </c>
      <c r="F734" t="inlineStr">
        <is>
          <t>VÄRMLANDS LÄN</t>
        </is>
      </c>
      <c r="G734" t="inlineStr">
        <is>
          <t>HAGFORS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60974-2024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45645</v>
      </c>
      <c r="E735" s="1" t="n">
        <v>46308</v>
      </c>
      <c r="F735" t="inlineStr">
        <is>
          <t>VÄRMLANDS LÄN</t>
        </is>
      </c>
      <c r="G735" t="inlineStr">
        <is>
          <t>HAGFORS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62546-2022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44924</v>
      </c>
      <c r="E736" s="1" t="n">
        <v>46308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6478-2025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45699</v>
      </c>
      <c r="E737" s="1" t="n">
        <v>46308</v>
      </c>
      <c r="F737" t="inlineStr">
        <is>
          <t>VÄRMLANDS LÄN</t>
        </is>
      </c>
      <c r="G737" t="inlineStr">
        <is>
          <t>HAGFORS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44951</v>
      </c>
      <c r="E738" s="1" t="n">
        <v>46308</v>
      </c>
      <c r="F738" t="inlineStr">
        <is>
          <t>VÄRMLANDS LÄN</t>
        </is>
      </c>
      <c r="G738" t="inlineStr">
        <is>
          <t>HAGFORS</t>
        </is>
      </c>
      <c r="H738" t="inlineStr">
        <is>
          <t>Kyrkan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20081-2025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45772</v>
      </c>
      <c r="E739" s="1" t="n">
        <v>46308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61818-2023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45266</v>
      </c>
      <c r="E740" s="1" t="n">
        <v>46308</v>
      </c>
      <c r="F740" t="inlineStr">
        <is>
          <t>VÄRMLANDS LÄN</t>
        </is>
      </c>
      <c r="G740" t="inlineStr">
        <is>
          <t>HAGFORS</t>
        </is>
      </c>
      <c r="I740" t="n">
        <v>8.6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3963-2025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45684</v>
      </c>
      <c r="E741" s="1" t="n">
        <v>46308</v>
      </c>
      <c r="F741" t="inlineStr">
        <is>
          <t>VÄRMLANDS LÄN</t>
        </is>
      </c>
      <c r="G741" t="inlineStr">
        <is>
          <t>HAGFORS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12434-2022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44638</v>
      </c>
      <c r="E742" s="1" t="n">
        <v>46308</v>
      </c>
      <c r="F742" t="inlineStr">
        <is>
          <t>VÄRMLANDS LÄN</t>
        </is>
      </c>
      <c r="G742" t="inlineStr">
        <is>
          <t>HAGFORS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40692-2022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44824</v>
      </c>
      <c r="E743" s="1" t="n">
        <v>46308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47021-2023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45201</v>
      </c>
      <c r="E744" s="1" t="n">
        <v>46308</v>
      </c>
      <c r="F744" t="inlineStr">
        <is>
          <t>VÄRMLANDS LÄN</t>
        </is>
      </c>
      <c r="G744" t="inlineStr">
        <is>
          <t>HAGFORS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71447-2021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44540</v>
      </c>
      <c r="E745" s="1" t="n">
        <v>46308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10297-2025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45720</v>
      </c>
      <c r="E746" s="1" t="n">
        <v>46308</v>
      </c>
      <c r="F746" t="inlineStr">
        <is>
          <t>VÄRMLANDS LÄN</t>
        </is>
      </c>
      <c r="G746" t="inlineStr">
        <is>
          <t>HAGFORS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32627-2023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45121</v>
      </c>
      <c r="E747" s="1" t="n">
        <v>46308</v>
      </c>
      <c r="F747" t="inlineStr">
        <is>
          <t>VÄRMLANDS LÄN</t>
        </is>
      </c>
      <c r="G747" t="inlineStr">
        <is>
          <t>HAGFORS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45684</v>
      </c>
      <c r="E748" s="1" t="n">
        <v>46308</v>
      </c>
      <c r="F748" t="inlineStr">
        <is>
          <t>VÄRMLANDS LÄN</t>
        </is>
      </c>
      <c r="G748" t="inlineStr">
        <is>
          <t>HAGFORS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31812-2024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45509</v>
      </c>
      <c r="E749" s="1" t="n">
        <v>46308</v>
      </c>
      <c r="F749" t="inlineStr">
        <is>
          <t>VÄRMLANDS LÄN</t>
        </is>
      </c>
      <c r="G749" t="inlineStr">
        <is>
          <t>HAGFORS</t>
        </is>
      </c>
      <c r="H749" t="inlineStr">
        <is>
          <t>Kommuner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55758-2024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45623</v>
      </c>
      <c r="E750" s="1" t="n">
        <v>46308</v>
      </c>
      <c r="F750" t="inlineStr">
        <is>
          <t>VÄRMLANDS LÄN</t>
        </is>
      </c>
      <c r="G750" t="inlineStr">
        <is>
          <t>HAGFORS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1464-2023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44937</v>
      </c>
      <c r="E751" s="1" t="n">
        <v>46308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25349-2023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45087</v>
      </c>
      <c r="E752" s="1" t="n">
        <v>46308</v>
      </c>
      <c r="F752" t="inlineStr">
        <is>
          <t>VÄRMLANDS LÄN</t>
        </is>
      </c>
      <c r="G752" t="inlineStr">
        <is>
          <t>HAGFORS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35088-2024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45527</v>
      </c>
      <c r="E753" s="1" t="n">
        <v>46308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44938</v>
      </c>
      <c r="E754" s="1" t="n">
        <v>46308</v>
      </c>
      <c r="F754" t="inlineStr">
        <is>
          <t>VÄRMLANDS LÄN</t>
        </is>
      </c>
      <c r="G754" t="inlineStr">
        <is>
          <t>HAGFORS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29373-2023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45106</v>
      </c>
      <c r="E755" s="1" t="n">
        <v>46308</v>
      </c>
      <c r="F755" t="inlineStr">
        <is>
          <t>VÄRMLANDS LÄN</t>
        </is>
      </c>
      <c r="G755" t="inlineStr">
        <is>
          <t>HAGFORS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11126-2024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45371</v>
      </c>
      <c r="E756" s="1" t="n">
        <v>46308</v>
      </c>
      <c r="F756" t="inlineStr">
        <is>
          <t>VÄRMLANDS LÄN</t>
        </is>
      </c>
      <c r="G756" t="inlineStr">
        <is>
          <t>HAGFORS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45713</v>
      </c>
      <c r="E757" s="1" t="n">
        <v>46308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53192-2022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44876</v>
      </c>
      <c r="E758" s="1" t="n">
        <v>46308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45084</v>
      </c>
      <c r="E759" s="1" t="n">
        <v>46308</v>
      </c>
      <c r="F759" t="inlineStr">
        <is>
          <t>VÄRMLANDS LÄN</t>
        </is>
      </c>
      <c r="G759" t="inlineStr">
        <is>
          <t>HAGFORS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61902-2021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44502</v>
      </c>
      <c r="E760" s="1" t="n">
        <v>46308</v>
      </c>
      <c r="F760" t="inlineStr">
        <is>
          <t>VÄRMLANDS LÄN</t>
        </is>
      </c>
      <c r="G760" t="inlineStr">
        <is>
          <t>HAGFORS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13657-2023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45006</v>
      </c>
      <c r="E761" s="1" t="n">
        <v>46308</v>
      </c>
      <c r="F761" t="inlineStr">
        <is>
          <t>VÄRMLANDS LÄN</t>
        </is>
      </c>
      <c r="G761" t="inlineStr">
        <is>
          <t>HAGFORS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42235-2024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45562</v>
      </c>
      <c r="E762" s="1" t="n">
        <v>46308</v>
      </c>
      <c r="F762" t="inlineStr">
        <is>
          <t>VÄRMLANDS LÄN</t>
        </is>
      </c>
      <c r="G762" t="inlineStr">
        <is>
          <t>HAGFORS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17584-2023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45036</v>
      </c>
      <c r="E763" s="1" t="n">
        <v>46308</v>
      </c>
      <c r="F763" t="inlineStr">
        <is>
          <t>VÄRMLANDS LÄN</t>
        </is>
      </c>
      <c r="G763" t="inlineStr">
        <is>
          <t>HAGFORS</t>
        </is>
      </c>
      <c r="H763" t="inlineStr">
        <is>
          <t>Kommuner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54929-2024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45618</v>
      </c>
      <c r="E764" s="1" t="n">
        <v>46308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8496-2022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44613</v>
      </c>
      <c r="E765" s="1" t="n">
        <v>46308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61169-2024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45645</v>
      </c>
      <c r="E766" s="1" t="n">
        <v>46308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24814-2024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45461</v>
      </c>
      <c r="E767" s="1" t="n">
        <v>46308</v>
      </c>
      <c r="F767" t="inlineStr">
        <is>
          <t>VÄRMLANDS LÄN</t>
        </is>
      </c>
      <c r="G767" t="inlineStr">
        <is>
          <t>HAGFORS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36293-2023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45152</v>
      </c>
      <c r="E768" s="1" t="n">
        <v>46308</v>
      </c>
      <c r="F768" t="inlineStr">
        <is>
          <t>VÄRMLANDS LÄN</t>
        </is>
      </c>
      <c r="G768" t="inlineStr">
        <is>
          <t>HAGFORS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20444-2024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45435</v>
      </c>
      <c r="E769" s="1" t="n">
        <v>46308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35886-2023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45148</v>
      </c>
      <c r="E770" s="1" t="n">
        <v>46308</v>
      </c>
      <c r="F770" t="inlineStr">
        <is>
          <t>VÄRMLANDS LÄN</t>
        </is>
      </c>
      <c r="G770" t="inlineStr">
        <is>
          <t>HAGFORS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59048-2022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44903</v>
      </c>
      <c r="E771" s="1" t="n">
        <v>46308</v>
      </c>
      <c r="F771" t="inlineStr">
        <is>
          <t>VÄRMLANDS LÄN</t>
        </is>
      </c>
      <c r="G771" t="inlineStr">
        <is>
          <t>HAGFORS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21155-2023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45057</v>
      </c>
      <c r="E772" s="1" t="n">
        <v>46308</v>
      </c>
      <c r="F772" t="inlineStr">
        <is>
          <t>VÄRMLANDS LÄN</t>
        </is>
      </c>
      <c r="G772" t="inlineStr">
        <is>
          <t>HAGFORS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17884-2025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45758</v>
      </c>
      <c r="E773" s="1" t="n">
        <v>46308</v>
      </c>
      <c r="F773" t="inlineStr">
        <is>
          <t>VÄRMLANDS LÄN</t>
        </is>
      </c>
      <c r="G773" t="inlineStr">
        <is>
          <t>HAGFORS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19554-2024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45429</v>
      </c>
      <c r="E774" s="1" t="n">
        <v>46308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30710-2022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44763</v>
      </c>
      <c r="E775" s="1" t="n">
        <v>46308</v>
      </c>
      <c r="F775" t="inlineStr">
        <is>
          <t>VÄRMLANDS LÄN</t>
        </is>
      </c>
      <c r="G775" t="inlineStr">
        <is>
          <t>HAGFORS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52830-2023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45226</v>
      </c>
      <c r="E776" s="1" t="n">
        <v>46308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28087-2024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45476</v>
      </c>
      <c r="E777" s="1" t="n">
        <v>46308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18213-2024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45420</v>
      </c>
      <c r="E778" s="1" t="n">
        <v>46308</v>
      </c>
      <c r="F778" t="inlineStr">
        <is>
          <t>VÄRMLANDS LÄN</t>
        </is>
      </c>
      <c r="G778" t="inlineStr">
        <is>
          <t>HAGFORS</t>
        </is>
      </c>
      <c r="I778" t="n">
        <v>11.5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10382-2025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45720</v>
      </c>
      <c r="E779" s="1" t="n">
        <v>46308</v>
      </c>
      <c r="F779" t="inlineStr">
        <is>
          <t>VÄRMLANDS LÄN</t>
        </is>
      </c>
      <c r="G779" t="inlineStr">
        <is>
          <t>HAGFORS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45338</v>
      </c>
      <c r="E780" s="1" t="n">
        <v>46308</v>
      </c>
      <c r="F780" t="inlineStr">
        <is>
          <t>VÄRMLANDS LÄN</t>
        </is>
      </c>
      <c r="G780" t="inlineStr">
        <is>
          <t>HAGFORS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9795-2023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44984</v>
      </c>
      <c r="E781" s="1" t="n">
        <v>46308</v>
      </c>
      <c r="F781" t="inlineStr">
        <is>
          <t>VÄRMLANDS LÄN</t>
        </is>
      </c>
      <c r="G781" t="inlineStr">
        <is>
          <t>HAGFORS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34540-2024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45525</v>
      </c>
      <c r="E782" s="1" t="n">
        <v>46308</v>
      </c>
      <c r="F782" t="inlineStr">
        <is>
          <t>VÄRMLANDS LÄN</t>
        </is>
      </c>
      <c r="G782" t="inlineStr">
        <is>
          <t>HAGFORS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35994-2024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45533</v>
      </c>
      <c r="E783" s="1" t="n">
        <v>46308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65065-2023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45287</v>
      </c>
      <c r="E784" s="1" t="n">
        <v>46308</v>
      </c>
      <c r="F784" t="inlineStr">
        <is>
          <t>VÄRMLANDS LÄN</t>
        </is>
      </c>
      <c r="G784" t="inlineStr">
        <is>
          <t>HAGFORS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53443-2024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45614</v>
      </c>
      <c r="E785" s="1" t="n">
        <v>46308</v>
      </c>
      <c r="F785" t="inlineStr">
        <is>
          <t>VÄRMLANDS LÄN</t>
        </is>
      </c>
      <c r="G785" t="inlineStr">
        <is>
          <t>HAGFORS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52923-2023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45226</v>
      </c>
      <c r="E786" s="1" t="n">
        <v>46308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19072-2025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45765</v>
      </c>
      <c r="E787" s="1" t="n">
        <v>46308</v>
      </c>
      <c r="F787" t="inlineStr">
        <is>
          <t>VÄRMLANDS LÄN</t>
        </is>
      </c>
      <c r="G787" t="inlineStr">
        <is>
          <t>HAGFORS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51915-2023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45223</v>
      </c>
      <c r="E788" s="1" t="n">
        <v>46308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45624</v>
      </c>
      <c r="E789" s="1" t="n">
        <v>46308</v>
      </c>
      <c r="F789" t="inlineStr">
        <is>
          <t>VÄRMLANDS LÄN</t>
        </is>
      </c>
      <c r="G789" t="inlineStr">
        <is>
          <t>HAGFORS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14435-2025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45741</v>
      </c>
      <c r="E790" s="1" t="n">
        <v>46308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27826-2024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45475</v>
      </c>
      <c r="E791" s="1" t="n">
        <v>46308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27827-2024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45475</v>
      </c>
      <c r="E792" s="1" t="n">
        <v>46308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36206-2024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45534</v>
      </c>
      <c r="E793" s="1" t="n">
        <v>46308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36228-2024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45534</v>
      </c>
      <c r="E794" s="1" t="n">
        <v>46308</v>
      </c>
      <c r="F794" t="inlineStr">
        <is>
          <t>VÄRMLANDS LÄN</t>
        </is>
      </c>
      <c r="G794" t="inlineStr">
        <is>
          <t>HAGFORS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44582</v>
      </c>
      <c r="E795" s="1" t="n">
        <v>46308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20103-2024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45434</v>
      </c>
      <c r="E796" s="1" t="n">
        <v>46308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11180-2025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45725</v>
      </c>
      <c r="E797" s="1" t="n">
        <v>46308</v>
      </c>
      <c r="F797" t="inlineStr">
        <is>
          <t>VÄRMLANDS LÄN</t>
        </is>
      </c>
      <c r="G797" t="inlineStr">
        <is>
          <t>HAGFORS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15270-2024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45400</v>
      </c>
      <c r="E798" s="1" t="n">
        <v>46308</v>
      </c>
      <c r="F798" t="inlineStr">
        <is>
          <t>VÄRMLANDS LÄN</t>
        </is>
      </c>
      <c r="G798" t="inlineStr">
        <is>
          <t>HAGFORS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46426-2024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45582</v>
      </c>
      <c r="E799" s="1" t="n">
        <v>46308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15.8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44567</v>
      </c>
      <c r="E800" s="1" t="n">
        <v>46308</v>
      </c>
      <c r="F800" t="inlineStr">
        <is>
          <t>VÄRMLANDS LÄN</t>
        </is>
      </c>
      <c r="G800" t="inlineStr">
        <is>
          <t>HAGFORS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34636-2024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45526</v>
      </c>
      <c r="E801" s="1" t="n">
        <v>46308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34529-2023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45140</v>
      </c>
      <c r="E802" s="1" t="n">
        <v>46308</v>
      </c>
      <c r="F802" t="inlineStr">
        <is>
          <t>VÄRMLANDS LÄN</t>
        </is>
      </c>
      <c r="G802" t="inlineStr">
        <is>
          <t>HAGFORS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14464-2025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45741</v>
      </c>
      <c r="E803" s="1" t="n">
        <v>46308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54757-2022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44883</v>
      </c>
      <c r="E804" s="1" t="n">
        <v>46308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45238-2024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45575</v>
      </c>
      <c r="E805" s="1" t="n">
        <v>46308</v>
      </c>
      <c r="F805" t="inlineStr">
        <is>
          <t>VÄRMLANDS LÄN</t>
        </is>
      </c>
      <c r="G805" t="inlineStr">
        <is>
          <t>HAGFORS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45155</v>
      </c>
      <c r="E806" s="1" t="n">
        <v>46308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37463-2022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44809</v>
      </c>
      <c r="E807" s="1" t="n">
        <v>46308</v>
      </c>
      <c r="F807" t="inlineStr">
        <is>
          <t>VÄRMLANDS LÄN</t>
        </is>
      </c>
      <c r="G807" t="inlineStr">
        <is>
          <t>HAGFORS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62461-2023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45268</v>
      </c>
      <c r="E808" s="1" t="n">
        <v>46308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20466-2023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45057</v>
      </c>
      <c r="E809" s="1" t="n">
        <v>46308</v>
      </c>
      <c r="F809" t="inlineStr">
        <is>
          <t>VÄRMLANDS LÄN</t>
        </is>
      </c>
      <c r="G809" t="inlineStr">
        <is>
          <t>HAGFORS</t>
        </is>
      </c>
      <c r="H809" t="inlineStr">
        <is>
          <t>Kyrkan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53813-2024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45615</v>
      </c>
      <c r="E810" s="1" t="n">
        <v>46308</v>
      </c>
      <c r="F810" t="inlineStr">
        <is>
          <t>VÄRMLANDS LÄN</t>
        </is>
      </c>
      <c r="G810" t="inlineStr">
        <is>
          <t>HAGFORS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26859-2024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45470</v>
      </c>
      <c r="E811" s="1" t="n">
        <v>46308</v>
      </c>
      <c r="F811" t="inlineStr">
        <is>
          <t>VÄRMLANDS LÄN</t>
        </is>
      </c>
      <c r="G811" t="inlineStr">
        <is>
          <t>HAGFORS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42175-2024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45562</v>
      </c>
      <c r="E812" s="1" t="n">
        <v>46308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25258-2023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45079</v>
      </c>
      <c r="E813" s="1" t="n">
        <v>46308</v>
      </c>
      <c r="F813" t="inlineStr">
        <is>
          <t>VÄRMLANDS LÄN</t>
        </is>
      </c>
      <c r="G813" t="inlineStr">
        <is>
          <t>HAGFORS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21451-2024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45441</v>
      </c>
      <c r="E814" s="1" t="n">
        <v>46308</v>
      </c>
      <c r="F814" t="inlineStr">
        <is>
          <t>VÄRMLANDS LÄN</t>
        </is>
      </c>
      <c r="G814" t="inlineStr">
        <is>
          <t>HAGFORS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32147-2023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45107</v>
      </c>
      <c r="E815" s="1" t="n">
        <v>46308</v>
      </c>
      <c r="F815" t="inlineStr">
        <is>
          <t>VÄRMLANDS LÄN</t>
        </is>
      </c>
      <c r="G815" t="inlineStr">
        <is>
          <t>HAGFORS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49766-2023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45212</v>
      </c>
      <c r="E816" s="1" t="n">
        <v>46308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47516-2023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45203</v>
      </c>
      <c r="E817" s="1" t="n">
        <v>46308</v>
      </c>
      <c r="F817" t="inlineStr">
        <is>
          <t>VÄRMLANDS LÄN</t>
        </is>
      </c>
      <c r="G817" t="inlineStr">
        <is>
          <t>HAGFORS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31657-2024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45506</v>
      </c>
      <c r="E818" s="1" t="n">
        <v>46308</v>
      </c>
      <c r="F818" t="inlineStr">
        <is>
          <t>VÄRMLANDS LÄN</t>
        </is>
      </c>
      <c r="G818" t="inlineStr">
        <is>
          <t>HAGFORS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44951</v>
      </c>
      <c r="E819" s="1" t="n">
        <v>46308</v>
      </c>
      <c r="F819" t="inlineStr">
        <is>
          <t>VÄRMLANDS LÄN</t>
        </is>
      </c>
      <c r="G819" t="inlineStr">
        <is>
          <t>HAGFORS</t>
        </is>
      </c>
      <c r="H819" t="inlineStr">
        <is>
          <t>Kommuner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64936-2023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45282</v>
      </c>
      <c r="E820" s="1" t="n">
        <v>46308</v>
      </c>
      <c r="F820" t="inlineStr">
        <is>
          <t>VÄRMLANDS LÄN</t>
        </is>
      </c>
      <c r="G820" t="inlineStr">
        <is>
          <t>HAGFORS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45684</v>
      </c>
      <c r="E821" s="1" t="n">
        <v>46308</v>
      </c>
      <c r="F821" t="inlineStr">
        <is>
          <t>VÄRMLANDS LÄN</t>
        </is>
      </c>
      <c r="G821" t="inlineStr">
        <is>
          <t>HAGFORS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20682-2024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45436</v>
      </c>
      <c r="E822" s="1" t="n">
        <v>46308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3426-2023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44949</v>
      </c>
      <c r="E823" s="1" t="n">
        <v>46308</v>
      </c>
      <c r="F823" t="inlineStr">
        <is>
          <t>VÄRMLANDS LÄN</t>
        </is>
      </c>
      <c r="G823" t="inlineStr">
        <is>
          <t>HAGFORS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30327-2022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44760</v>
      </c>
      <c r="E824" s="1" t="n">
        <v>46308</v>
      </c>
      <c r="F824" t="inlineStr">
        <is>
          <t>VÄRMLANDS LÄN</t>
        </is>
      </c>
      <c r="G824" t="inlineStr">
        <is>
          <t>HAGFORS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19583-2023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45050</v>
      </c>
      <c r="E825" s="1" t="n">
        <v>46308</v>
      </c>
      <c r="F825" t="inlineStr">
        <is>
          <t>VÄRMLANDS LÄN</t>
        </is>
      </c>
      <c r="G825" t="inlineStr">
        <is>
          <t>HAGFORS</t>
        </is>
      </c>
      <c r="H825" t="inlineStr">
        <is>
          <t>Kommuner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39029-2022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44817</v>
      </c>
      <c r="E826" s="1" t="n">
        <v>46308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3669-2025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45681</v>
      </c>
      <c r="E827" s="1" t="n">
        <v>46308</v>
      </c>
      <c r="F827" t="inlineStr">
        <is>
          <t>VÄRMLANDS LÄN</t>
        </is>
      </c>
      <c r="G827" t="inlineStr">
        <is>
          <t>HAGFORS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15228-2024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45400</v>
      </c>
      <c r="E828" s="1" t="n">
        <v>46308</v>
      </c>
      <c r="F828" t="inlineStr">
        <is>
          <t>VÄRMLANDS LÄN</t>
        </is>
      </c>
      <c r="G828" t="inlineStr">
        <is>
          <t>HAGFORS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11744-2024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45373</v>
      </c>
      <c r="E829" s="1" t="n">
        <v>46308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34541-2024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45525</v>
      </c>
      <c r="E830" s="1" t="n">
        <v>46308</v>
      </c>
      <c r="F830" t="inlineStr">
        <is>
          <t>VÄRMLANDS LÄN</t>
        </is>
      </c>
      <c r="G830" t="inlineStr">
        <is>
          <t>HAGFORS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30180-2023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45110</v>
      </c>
      <c r="E831" s="1" t="n">
        <v>46308</v>
      </c>
      <c r="F831" t="inlineStr">
        <is>
          <t>VÄRMLANDS LÄN</t>
        </is>
      </c>
      <c r="G831" t="inlineStr">
        <is>
          <t>HAGFORS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58808-2022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44903</v>
      </c>
      <c r="E832" s="1" t="n">
        <v>46308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20652-2022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44700</v>
      </c>
      <c r="E833" s="1" t="n">
        <v>46308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18170-2024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45420</v>
      </c>
      <c r="E834" s="1" t="n">
        <v>46308</v>
      </c>
      <c r="F834" t="inlineStr">
        <is>
          <t>VÄRMLANDS LÄN</t>
        </is>
      </c>
      <c r="G834" t="inlineStr">
        <is>
          <t>HAGFORS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58132-2024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45632</v>
      </c>
      <c r="E835" s="1" t="n">
        <v>46308</v>
      </c>
      <c r="F835" t="inlineStr">
        <is>
          <t>VÄRMLANDS LÄN</t>
        </is>
      </c>
      <c r="G835" t="inlineStr">
        <is>
          <t>HAGFORS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3162-2025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45679</v>
      </c>
      <c r="E836" s="1" t="n">
        <v>46308</v>
      </c>
      <c r="F836" t="inlineStr">
        <is>
          <t>VÄRMLANDS LÄN</t>
        </is>
      </c>
      <c r="G836" t="inlineStr">
        <is>
          <t>HAGFORS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14897-2024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45398</v>
      </c>
      <c r="E837" s="1" t="n">
        <v>46308</v>
      </c>
      <c r="F837" t="inlineStr">
        <is>
          <t>VÄRMLANDS LÄN</t>
        </is>
      </c>
      <c r="G837" t="inlineStr">
        <is>
          <t>HAGFORS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56808-2023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45244</v>
      </c>
      <c r="E838" s="1" t="n">
        <v>46308</v>
      </c>
      <c r="F838" t="inlineStr">
        <is>
          <t>VÄRMLANDS LÄN</t>
        </is>
      </c>
      <c r="G838" t="inlineStr">
        <is>
          <t>HAGFORS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5749-2022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44596</v>
      </c>
      <c r="E839" s="1" t="n">
        <v>46308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20060-2023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45054</v>
      </c>
      <c r="E840" s="1" t="n">
        <v>46308</v>
      </c>
      <c r="F840" t="inlineStr">
        <is>
          <t>VÄRMLANDS LÄN</t>
        </is>
      </c>
      <c r="G840" t="inlineStr">
        <is>
          <t>HAGFORS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49753-2023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45212</v>
      </c>
      <c r="E841" s="1" t="n">
        <v>46308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60991-2024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45645</v>
      </c>
      <c r="E842" s="1" t="n">
        <v>46308</v>
      </c>
      <c r="F842" t="inlineStr">
        <is>
          <t>VÄRMLANDS LÄN</t>
        </is>
      </c>
      <c r="G842" t="inlineStr">
        <is>
          <t>HAGFORS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56888-2023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45244</v>
      </c>
      <c r="E843" s="1" t="n">
        <v>46308</v>
      </c>
      <c r="F843" t="inlineStr">
        <is>
          <t>VÄRMLANDS LÄN</t>
        </is>
      </c>
      <c r="G843" t="inlineStr">
        <is>
          <t>HAGFORS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8304-2022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44610</v>
      </c>
      <c r="E844" s="1" t="n">
        <v>46308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3557-2023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44950</v>
      </c>
      <c r="E845" s="1" t="n">
        <v>46308</v>
      </c>
      <c r="F845" t="inlineStr">
        <is>
          <t>VÄRMLANDS LÄN</t>
        </is>
      </c>
      <c r="G845" t="inlineStr">
        <is>
          <t>HAGFORS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3566-2023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44950</v>
      </c>
      <c r="E846" s="1" t="n">
        <v>46308</v>
      </c>
      <c r="F846" t="inlineStr">
        <is>
          <t>VÄRMLANDS LÄN</t>
        </is>
      </c>
      <c r="G846" t="inlineStr">
        <is>
          <t>HAGFORS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33146-2024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45518</v>
      </c>
      <c r="E847" s="1" t="n">
        <v>46308</v>
      </c>
      <c r="F847" t="inlineStr">
        <is>
          <t>VÄRMLANDS LÄN</t>
        </is>
      </c>
      <c r="G847" t="inlineStr">
        <is>
          <t>HAGFORS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42223-2022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44830</v>
      </c>
      <c r="E848" s="1" t="n">
        <v>46308</v>
      </c>
      <c r="F848" t="inlineStr">
        <is>
          <t>VÄRMLANDS LÄN</t>
        </is>
      </c>
      <c r="G848" t="inlineStr">
        <is>
          <t>HAGFORS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19125-2024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45428</v>
      </c>
      <c r="E849" s="1" t="n">
        <v>46308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19.5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11241-2024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45371</v>
      </c>
      <c r="E850" s="1" t="n">
        <v>46308</v>
      </c>
      <c r="F850" t="inlineStr">
        <is>
          <t>VÄRMLANDS LÄN</t>
        </is>
      </c>
      <c r="G850" t="inlineStr">
        <is>
          <t>HAGFORS</t>
        </is>
      </c>
      <c r="I850" t="n">
        <v>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18585-2025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45763</v>
      </c>
      <c r="E851" s="1" t="n">
        <v>46308</v>
      </c>
      <c r="F851" t="inlineStr">
        <is>
          <t>VÄRMLANDS LÄN</t>
        </is>
      </c>
      <c r="G851" t="inlineStr">
        <is>
          <t>HAGFORS</t>
        </is>
      </c>
      <c r="H851" t="inlineStr">
        <is>
          <t>Kyrkan</t>
        </is>
      </c>
      <c r="I851" t="n">
        <v>7.9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47019-2023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45201</v>
      </c>
      <c r="E852" s="1" t="n">
        <v>46308</v>
      </c>
      <c r="F852" t="inlineStr">
        <is>
          <t>VÄRMLANDS LÄN</t>
        </is>
      </c>
      <c r="G852" t="inlineStr">
        <is>
          <t>HAGFORS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60664-2023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45259</v>
      </c>
      <c r="E853" s="1" t="n">
        <v>46308</v>
      </c>
      <c r="F853" t="inlineStr">
        <is>
          <t>VÄRMLANDS LÄN</t>
        </is>
      </c>
      <c r="G853" t="inlineStr">
        <is>
          <t>HAGFORS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35775-2024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45532</v>
      </c>
      <c r="E854" s="1" t="n">
        <v>46308</v>
      </c>
      <c r="F854" t="inlineStr">
        <is>
          <t>VÄRMLANDS LÄN</t>
        </is>
      </c>
      <c r="G854" t="inlineStr">
        <is>
          <t>HAGFORS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50929-2023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45211</v>
      </c>
      <c r="E855" s="1" t="n">
        <v>46308</v>
      </c>
      <c r="F855" t="inlineStr">
        <is>
          <t>VÄRMLANDS LÄN</t>
        </is>
      </c>
      <c r="G855" t="inlineStr">
        <is>
          <t>HAGFORS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57359-2022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44896</v>
      </c>
      <c r="E856" s="1" t="n">
        <v>46308</v>
      </c>
      <c r="F856" t="inlineStr">
        <is>
          <t>VÄRMLANDS LÄN</t>
        </is>
      </c>
      <c r="G856" t="inlineStr">
        <is>
          <t>HAGFORS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41092-2024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45559</v>
      </c>
      <c r="E857" s="1" t="n">
        <v>46308</v>
      </c>
      <c r="F857" t="inlineStr">
        <is>
          <t>VÄRMLANDS LÄN</t>
        </is>
      </c>
      <c r="G857" t="inlineStr">
        <is>
          <t>HAGFORS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58084-2024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45632</v>
      </c>
      <c r="E858" s="1" t="n">
        <v>46308</v>
      </c>
      <c r="F858" t="inlineStr">
        <is>
          <t>VÄRMLANDS LÄN</t>
        </is>
      </c>
      <c r="G858" t="inlineStr">
        <is>
          <t>HAGFORS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19702-2022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44694</v>
      </c>
      <c r="E859" s="1" t="n">
        <v>46308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24.6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22503-2024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45447</v>
      </c>
      <c r="E860" s="1" t="n">
        <v>46308</v>
      </c>
      <c r="F860" t="inlineStr">
        <is>
          <t>VÄRMLANDS LÄN</t>
        </is>
      </c>
      <c r="G860" t="inlineStr">
        <is>
          <t>HAGFORS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4279-2024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45324</v>
      </c>
      <c r="E861" s="1" t="n">
        <v>46308</v>
      </c>
      <c r="F861" t="inlineStr">
        <is>
          <t>VÄRMLANDS LÄN</t>
        </is>
      </c>
      <c r="G861" t="inlineStr">
        <is>
          <t>HAGFORS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920-2022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44571</v>
      </c>
      <c r="E862" s="1" t="n">
        <v>46308</v>
      </c>
      <c r="F862" t="inlineStr">
        <is>
          <t>VÄRMLANDS LÄN</t>
        </is>
      </c>
      <c r="G862" t="inlineStr">
        <is>
          <t>HAGFORS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22332-2024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45446</v>
      </c>
      <c r="E863" s="1" t="n">
        <v>46308</v>
      </c>
      <c r="F863" t="inlineStr">
        <is>
          <t>VÄRMLANDS LÄN</t>
        </is>
      </c>
      <c r="G863" t="inlineStr">
        <is>
          <t>HAGFORS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12426-2024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45379</v>
      </c>
      <c r="E864" s="1" t="n">
        <v>46308</v>
      </c>
      <c r="F864" t="inlineStr">
        <is>
          <t>VÄRMLANDS LÄN</t>
        </is>
      </c>
      <c r="G864" t="inlineStr">
        <is>
          <t>HAGFORS</t>
        </is>
      </c>
      <c r="I864" t="n">
        <v>0.1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8922-2025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45713</v>
      </c>
      <c r="E865" s="1" t="n">
        <v>46308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2225-2020</t>
        </is>
      </c>
      <c r="B866" t="inlineStr">
        <is>
          <t>samrådsanmälan</t>
        </is>
      </c>
      <c r="C866" t="inlineStr">
        <is>
          <t>Åtgärd i nyckelbiotop</t>
        </is>
      </c>
      <c r="D866" s="1" t="n">
        <v>44127</v>
      </c>
      <c r="E866" s="1" t="n">
        <v>46308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0.2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2050-2022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44671</v>
      </c>
      <c r="E867" s="1" t="n">
        <v>46308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12.3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4419-2023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45266</v>
      </c>
      <c r="E868" s="1" t="n">
        <v>46308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35.6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4420-2023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46308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44.2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937-2022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44606</v>
      </c>
      <c r="E870" s="1" t="n">
        <v>46308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59.4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4426-2023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46308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9.699999999999999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5512-2022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44834</v>
      </c>
      <c r="E872" s="1" t="n">
        <v>46308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29.9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931-2022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44606</v>
      </c>
      <c r="E873" s="1" t="n">
        <v>46308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49.5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4415-2023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45266</v>
      </c>
      <c r="E874" s="1" t="n">
        <v>46308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9.199999999999999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44578</v>
      </c>
      <c r="E875" s="1" t="n">
        <v>46308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78.90000000000001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6970-2022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46308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29.3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4408-2023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46308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6968-2022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46308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19.3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4423-2023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46308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15.7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4418-2023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45266</v>
      </c>
      <c r="E880" s="1" t="n">
        <v>46308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19.1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907-2022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46308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43.5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651-2024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45356</v>
      </c>
      <c r="E882" s="1" t="n">
        <v>46308</v>
      </c>
      <c r="F882" t="inlineStr">
        <is>
          <t>VÄRMLANDS LÄN</t>
        </is>
      </c>
      <c r="G882" t="inlineStr">
        <is>
          <t>HAGFORS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913-2022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46308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4145-2023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45247</v>
      </c>
      <c r="E884" s="1" t="n">
        <v>46308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26.1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6967-2022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46308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89-2025</t>
        </is>
      </c>
      <c r="B886" t="inlineStr">
        <is>
          <t>samrådsanmälan</t>
        </is>
      </c>
      <c r="C886" t="inlineStr">
        <is>
          <t>Åtgärd i nyckelbiotop</t>
        </is>
      </c>
      <c r="D886" s="1" t="n">
        <v>45316</v>
      </c>
      <c r="E886" s="1" t="n">
        <v>46308</v>
      </c>
      <c r="F886" t="inlineStr">
        <is>
          <t>VÄRMLANDS LÄN</t>
        </is>
      </c>
      <c r="G886" t="inlineStr">
        <is>
          <t>HAGFORS</t>
        </is>
      </c>
      <c r="I886" t="n">
        <v>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6969-2022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46308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220-2025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45680</v>
      </c>
      <c r="E888" s="1" t="n">
        <v>46308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23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898-2022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44606</v>
      </c>
      <c r="E889" s="1" t="n">
        <v>46308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4150-2023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46308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34.4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4410-2023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46308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39.3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900-2022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44606</v>
      </c>
      <c r="E892" s="1" t="n">
        <v>46308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914-2022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44606</v>
      </c>
      <c r="E893" s="1" t="n">
        <v>46308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19.3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4409-2023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45266</v>
      </c>
      <c r="E894" s="1" t="n">
        <v>46308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4155-2023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45247</v>
      </c>
      <c r="E895" s="1" t="n">
        <v>46308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40.9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4140-2023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45247</v>
      </c>
      <c r="E896" s="1" t="n">
        <v>46308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36.5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6977-2022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44901</v>
      </c>
      <c r="E897" s="1" t="n">
        <v>46308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6973-2022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44901</v>
      </c>
      <c r="E898" s="1" t="n">
        <v>46308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30.1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4143-2023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45247</v>
      </c>
      <c r="E899" s="1" t="n">
        <v>46308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13.2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4407-2023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45266</v>
      </c>
      <c r="E900" s="1" t="n">
        <v>46308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6965-2022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44901</v>
      </c>
      <c r="E901" s="1" t="n">
        <v>46308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662-2025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45716</v>
      </c>
      <c r="E902" s="1" t="n">
        <v>46308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52.4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108-2026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46037</v>
      </c>
      <c r="E903" s="1" t="n">
        <v>46308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204.4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102-2026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46036</v>
      </c>
      <c r="E904" s="1" t="n">
        <v>46308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57.9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60-2026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46013</v>
      </c>
      <c r="E905" s="1" t="n">
        <v>46308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10.6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>
      <c r="A906" t="inlineStr">
        <is>
          <t>S 382-2025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45691</v>
      </c>
      <c r="E906" s="1" t="n">
        <v>46308</v>
      </c>
      <c r="F906" t="inlineStr">
        <is>
          <t>VÄRMLANDS LÄN</t>
        </is>
      </c>
      <c r="G906" t="inlineStr">
        <is>
          <t>HAGFORS</t>
        </is>
      </c>
      <c r="I906" t="n">
        <v>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2026-10-13T01:59:48Z</dcterms:created>
  <dcterms:modified xmlns:dcterms="http://purl.org/dc/terms/" xmlns:xsi="http://www.w3.org/2001/XMLSchema-instance" xsi:type="dcterms:W3CDTF">2026-10-13T01:59:49Z</dcterms:modified>
</cp:coreProperties>
</file>