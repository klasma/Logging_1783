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46278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46278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46278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46278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46278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46278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46278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46278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46278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46278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46278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46278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46278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46278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46278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46278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46278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46278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46278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46278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46278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46278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46278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46278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46278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46278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46278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46278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33848-2025 artfynd.xlsx", "A 33848-2025")</f>
        <v/>
      </c>
      <c r="X36">
        <f>HYPERLINK("https://klasma.github.io/Logging_1783/kartor/A 33848-2025 karta.png", "A 33848-2025")</f>
        <v/>
      </c>
      <c r="Y36">
        <f>HYPERLINK("https://klasma.github.io/Logging_1783/kartor_geotiff/A 33848-2025 georefererad karta.tif", "A 33848-2025")</f>
        <v/>
      </c>
      <c r="AA36">
        <f>HYPERLINK("https://klasma.github.io/Logging_1783/klagomål/A 33848-2025 FSC-klagomål.docx", "A 33848-2025")</f>
        <v/>
      </c>
      <c r="AB36">
        <f>HYPERLINK("https://klasma.github.io/Logging_1783/klagomålsmail/A 33848-2025 FSC-klagomål mail.docx", "A 33848-2025")</f>
        <v/>
      </c>
      <c r="AC36">
        <f>HYPERLINK("https://klasma.github.io/Logging_1783/tillsyn/A 33848-2025 tillsynsbegäran.docx", "A 33848-2025")</f>
        <v/>
      </c>
      <c r="AD36">
        <f>HYPERLINK("https://klasma.github.io/Logging_1783/tillsynsmail/A 33848-2025 tillsynsbegäran mail.docx", "A 33848-2025")</f>
        <v/>
      </c>
    </row>
    <row r="37" ht="15" customHeight="1">
      <c r="A37" t="inlineStr">
        <is>
          <t>A 20119-2025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46278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20119-2025 artfynd.xlsx", "A 20119-2025")</f>
        <v/>
      </c>
      <c r="X37">
        <f>HYPERLINK("https://klasma.github.io/Logging_1783/kartor/A 20119-2025 karta.png", "A 20119-2025")</f>
        <v/>
      </c>
      <c r="Y37">
        <f>HYPERLINK("https://klasma.github.io/Logging_1783/kartor_geotiff/A 20119-2025 georefererad karta.tif", "A 20119-2025")</f>
        <v/>
      </c>
      <c r="AA37">
        <f>HYPERLINK("https://klasma.github.io/Logging_1783/klagomål/A 20119-2025 FSC-klagomål.docx", "A 20119-2025")</f>
        <v/>
      </c>
      <c r="AB37">
        <f>HYPERLINK("https://klasma.github.io/Logging_1783/klagomålsmail/A 20119-2025 FSC-klagomål mail.docx", "A 20119-2025")</f>
        <v/>
      </c>
      <c r="AC37">
        <f>HYPERLINK("https://klasma.github.io/Logging_1783/tillsyn/A 20119-2025 tillsynsbegäran.docx", "A 20119-2025")</f>
        <v/>
      </c>
      <c r="AD37">
        <f>HYPERLINK("https://klasma.github.io/Logging_1783/tillsynsmail/A 20119-2025 tillsynsbegäran mail.docx", "A 20119-2025")</f>
        <v/>
      </c>
      <c r="AE37">
        <f>HYPERLINK("https://klasma.github.io/Logging_1783/fåglar/A 20119-2025 prioriterade fågelarter.docx", "A 20119-2025")</f>
        <v/>
      </c>
    </row>
    <row r="38" ht="15" customHeight="1">
      <c r="A38" t="inlineStr">
        <is>
          <t>A 33905-2025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45842</v>
      </c>
      <c r="E38" s="1" t="n">
        <v>46278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7.8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33905-2025 artfynd.xlsx", "A 33905-2025")</f>
        <v/>
      </c>
      <c r="X38">
        <f>HYPERLINK("https://klasma.github.io/Logging_1783/kartor/A 33905-2025 karta.png", "A 33905-2025")</f>
        <v/>
      </c>
      <c r="Y38">
        <f>HYPERLINK("https://klasma.github.io/Logging_1783/kartor_geotiff/A 33905-2025 georefererad karta.tif", "A 33905-2025")</f>
        <v/>
      </c>
      <c r="AA38">
        <f>HYPERLINK("https://klasma.github.io/Logging_1783/klagomål/A 33905-2025 FSC-klagomål.docx", "A 33905-2025")</f>
        <v/>
      </c>
      <c r="AB38">
        <f>HYPERLINK("https://klasma.github.io/Logging_1783/klagomålsmail/A 33905-2025 FSC-klagomål mail.docx", "A 33905-2025")</f>
        <v/>
      </c>
      <c r="AC38">
        <f>HYPERLINK("https://klasma.github.io/Logging_1783/tillsyn/A 33905-2025 tillsynsbegäran.docx", "A 33905-2025")</f>
        <v/>
      </c>
      <c r="AD38">
        <f>HYPERLINK("https://klasma.github.io/Logging_1783/tillsynsmail/A 33905-2025 tillsynsbegäran mail.docx", "A 33905-2025")</f>
        <v/>
      </c>
    </row>
    <row r="39" ht="15" customHeight="1">
      <c r="A39" t="inlineStr">
        <is>
          <t>A 15219-2025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45744</v>
      </c>
      <c r="E39" s="1" t="n">
        <v>46278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15.8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Borsttagging</t>
        </is>
      </c>
      <c r="W39">
        <f>HYPERLINK("https://klasma.github.io/Logging_1783/artfynd/A 15219-2025 artfynd.xlsx", "A 15219-2025")</f>
        <v/>
      </c>
      <c r="X39">
        <f>HYPERLINK("https://klasma.github.io/Logging_1783/kartor/A 15219-2025 karta.png", "A 15219-2025")</f>
        <v/>
      </c>
      <c r="Y39">
        <f>HYPERLINK("https://klasma.github.io/Logging_1783/kartor_geotiff/A 15219-2025 georefererad karta.tif", "A 15219-2025")</f>
        <v/>
      </c>
      <c r="AA39">
        <f>HYPERLINK("https://klasma.github.io/Logging_1783/klagomål/A 15219-2025 FSC-klagomål.docx", "A 15219-2025")</f>
        <v/>
      </c>
      <c r="AB39">
        <f>HYPERLINK("https://klasma.github.io/Logging_1783/klagomålsmail/A 15219-2025 FSC-klagomål mail.docx", "A 15219-2025")</f>
        <v/>
      </c>
      <c r="AC39">
        <f>HYPERLINK("https://klasma.github.io/Logging_1783/tillsyn/A 15219-2025 tillsynsbegäran.docx", "A 15219-2025")</f>
        <v/>
      </c>
      <c r="AD39">
        <f>HYPERLINK("https://klasma.github.io/Logging_1783/tillsynsmail/A 15219-2025 tillsynsbegäran mail.docx", "A 15219-2025")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46278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12445-2026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46090</v>
      </c>
      <c r="E41" s="1" t="n">
        <v>46278</v>
      </c>
      <c r="F41" t="inlineStr">
        <is>
          <t>VÄRMLANDS LÄN</t>
        </is>
      </c>
      <c r="G41" t="inlineStr">
        <is>
          <t>HAGFORS</t>
        </is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12445-2026 artfynd.xlsx", "A 12445-2026")</f>
        <v/>
      </c>
      <c r="X41">
        <f>HYPERLINK("https://klasma.github.io/Logging_1783/kartor/A 12445-2026 karta.png", "A 12445-2026")</f>
        <v/>
      </c>
      <c r="Y41">
        <f>HYPERLINK("https://klasma.github.io/Logging_1783/kartor_geotiff/A 12445-2026 georefererad karta.tif", "A 12445-2026")</f>
        <v/>
      </c>
      <c r="AA41">
        <f>HYPERLINK("https://klasma.github.io/Logging_1783/klagomål/A 12445-2026 FSC-klagomål.docx", "A 12445-2026")</f>
        <v/>
      </c>
      <c r="AB41">
        <f>HYPERLINK("https://klasma.github.io/Logging_1783/klagomålsmail/A 12445-2026 FSC-klagomål mail.docx", "A 12445-2026")</f>
        <v/>
      </c>
      <c r="AC41">
        <f>HYPERLINK("https://klasma.github.io/Logging_1783/tillsyn/A 12445-2026 tillsynsbegäran.docx", "A 12445-2026")</f>
        <v/>
      </c>
      <c r="AD41">
        <f>HYPERLINK("https://klasma.github.io/Logging_1783/tillsynsmail/A 12445-2026 tillsynsbegäran mail.docx", "A 12445-2026")</f>
        <v/>
      </c>
      <c r="AE41">
        <f>HYPERLINK("https://klasma.github.io/Logging_1783/fåglar/A 12445-2026 prioriterade fågelarter.docx", "A 12445-2026")</f>
        <v/>
      </c>
    </row>
    <row r="42" ht="15" customHeight="1">
      <c r="A42" t="inlineStr">
        <is>
          <t>A 16319-2023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46278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HYPERLINK("https://klasma.github.io/Logging_1783/artfynd/A 16319-2023 artfynd.xlsx", "A 16319-2023")</f>
        <v/>
      </c>
      <c r="X42">
        <f>HYPERLINK("https://klasma.github.io/Logging_1783/kartor/A 16319-2023 karta.png", "A 16319-2023")</f>
        <v/>
      </c>
      <c r="Y42">
        <f>HYPERLINK("https://klasma.github.io/Logging_1783/kartor_geotiff/A 16319-2023 georefererad karta.tif", "A 16319-2023")</f>
        <v/>
      </c>
      <c r="AA42">
        <f>HYPERLINK("https://klasma.github.io/Logging_1783/klagomål/A 16319-2023 FSC-klagomål.docx", "A 16319-2023")</f>
        <v/>
      </c>
      <c r="AB42">
        <f>HYPERLINK("https://klasma.github.io/Logging_1783/klagomålsmail/A 16319-2023 FSC-klagomål mail.docx", "A 16319-2023")</f>
        <v/>
      </c>
      <c r="AC42">
        <f>HYPERLINK("https://klasma.github.io/Logging_1783/tillsyn/A 16319-2023 tillsynsbegäran.docx", "A 16319-2023")</f>
        <v/>
      </c>
      <c r="AD42">
        <f>HYPERLINK("https://klasma.github.io/Logging_1783/tillsynsmail/A 16319-2023 tillsynsbegäran mail.docx", "A 16319-2023")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46278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46278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46278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46278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34158-2025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45845</v>
      </c>
      <c r="E47" s="1" t="n">
        <v>46278</v>
      </c>
      <c r="F47" t="inlineStr">
        <is>
          <t>VÄRMLANDS LÄN</t>
        </is>
      </c>
      <c r="G47" t="inlineStr">
        <is>
          <t>HAGFORS</t>
        </is>
      </c>
      <c r="I47" t="n">
        <v>5.8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Korallblylav</t>
        </is>
      </c>
      <c r="W47">
        <f>HYPERLINK("https://klasma.github.io/Logging_1783/artfynd/A 34158-2025 artfynd.xlsx", "A 34158-2025")</f>
        <v/>
      </c>
      <c r="X47">
        <f>HYPERLINK("https://klasma.github.io/Logging_1783/kartor/A 34158-2025 karta.png", "A 34158-2025")</f>
        <v/>
      </c>
      <c r="Y47">
        <f>HYPERLINK("https://klasma.github.io/Logging_1783/kartor_geotiff/A 34158-2025 georefererad karta.tif", "A 34158-2025")</f>
        <v/>
      </c>
      <c r="AA47">
        <f>HYPERLINK("https://klasma.github.io/Logging_1783/klagomål/A 34158-2025 FSC-klagomål.docx", "A 34158-2025")</f>
        <v/>
      </c>
      <c r="AB47">
        <f>HYPERLINK("https://klasma.github.io/Logging_1783/klagomålsmail/A 34158-2025 FSC-klagomål mail.docx", "A 34158-2025")</f>
        <v/>
      </c>
      <c r="AC47">
        <f>HYPERLINK("https://klasma.github.io/Logging_1783/tillsyn/A 34158-2025 tillsynsbegäran.docx", "A 34158-2025")</f>
        <v/>
      </c>
      <c r="AD47">
        <f>HYPERLINK("https://klasma.github.io/Logging_1783/tillsynsmail/A 34158-2025 tillsynsbegäran mail.docx", "A 34158-2025")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46278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46278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44095-2023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46278</v>
      </c>
      <c r="F50" t="inlineStr">
        <is>
          <t>VÄRMLANDS LÄN</t>
        </is>
      </c>
      <c r="G50" t="inlineStr">
        <is>
          <t>HAGFORS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44095-2023 artfynd.xlsx", "A 44095-2023")</f>
        <v/>
      </c>
      <c r="X50">
        <f>HYPERLINK("https://klasma.github.io/Logging_1783/kartor/A 44095-2023 karta.png", "A 44095-2023")</f>
        <v/>
      </c>
      <c r="Y50">
        <f>HYPERLINK("https://klasma.github.io/Logging_1783/kartor_geotiff/A 44095-2023 georefererad karta.tif", "A 44095-2023")</f>
        <v/>
      </c>
      <c r="AA50">
        <f>HYPERLINK("https://klasma.github.io/Logging_1783/klagomål/A 44095-2023 FSC-klagomål.docx", "A 44095-2023")</f>
        <v/>
      </c>
      <c r="AB50">
        <f>HYPERLINK("https://klasma.github.io/Logging_1783/klagomålsmail/A 44095-2023 FSC-klagomål mail.docx", "A 44095-2023")</f>
        <v/>
      </c>
      <c r="AC50">
        <f>HYPERLINK("https://klasma.github.io/Logging_1783/tillsyn/A 44095-2023 tillsynsbegäran.docx", "A 44095-2023")</f>
        <v/>
      </c>
      <c r="AD50">
        <f>HYPERLINK("https://klasma.github.io/Logging_1783/tillsynsmail/A 44095-2023 tillsynsbegäran mail.docx", "A 44095-2023")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46278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46278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46278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46278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46278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14850-2025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45743</v>
      </c>
      <c r="E56" s="1" t="n">
        <v>46278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HYPERLINK("https://klasma.github.io/Logging_1783/artfynd/A 14850-2025 artfynd.xlsx", "A 14850-2025")</f>
        <v/>
      </c>
      <c r="X56">
        <f>HYPERLINK("https://klasma.github.io/Logging_1783/kartor/A 14850-2025 karta.png", "A 14850-2025")</f>
        <v/>
      </c>
      <c r="Y56">
        <f>HYPERLINK("https://klasma.github.io/Logging_1783/kartor_geotiff/A 14850-2025 georefererad karta.tif", "A 14850-2025")</f>
        <v/>
      </c>
      <c r="AA56">
        <f>HYPERLINK("https://klasma.github.io/Logging_1783/klagomål/A 14850-2025 FSC-klagomål.docx", "A 14850-2025")</f>
        <v/>
      </c>
      <c r="AB56">
        <f>HYPERLINK("https://klasma.github.io/Logging_1783/klagomålsmail/A 14850-2025 FSC-klagomål mail.docx", "A 14850-2025")</f>
        <v/>
      </c>
      <c r="AC56">
        <f>HYPERLINK("https://klasma.github.io/Logging_1783/tillsyn/A 14850-2025 tillsynsbegäran.docx", "A 14850-2025")</f>
        <v/>
      </c>
      <c r="AD56">
        <f>HYPERLINK("https://klasma.github.io/Logging_1783/tillsynsmail/A 14850-2025 tillsynsbegäran mail.docx", "A 14850-2025")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46278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35256-2026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46261</v>
      </c>
      <c r="E58" s="1" t="n">
        <v>46278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HYPERLINK("https://klasma.github.io/Logging_1783/artfynd/A 35256-2026 artfynd.xlsx", "A 35256-2026")</f>
        <v/>
      </c>
      <c r="X58">
        <f>HYPERLINK("https://klasma.github.io/Logging_1783/kartor/A 35256-2026 karta.png", "A 35256-2026")</f>
        <v/>
      </c>
      <c r="Y58">
        <f>HYPERLINK("https://klasma.github.io/Logging_1783/kartor_geotiff/A 35256-2026 georefererad karta.tif", "A 35256-2026")</f>
        <v/>
      </c>
      <c r="AA58">
        <f>HYPERLINK("https://klasma.github.io/Logging_1783/klagomål/A 35256-2026 FSC-klagomål.docx", "A 35256-2026")</f>
        <v/>
      </c>
      <c r="AB58">
        <f>HYPERLINK("https://klasma.github.io/Logging_1783/klagomålsmail/A 35256-2026 FSC-klagomål mail.docx", "A 35256-2026")</f>
        <v/>
      </c>
      <c r="AC58">
        <f>HYPERLINK("https://klasma.github.io/Logging_1783/tillsyn/A 35256-2026 tillsynsbegäran.docx", "A 35256-2026")</f>
        <v/>
      </c>
      <c r="AD58">
        <f>HYPERLINK("https://klasma.github.io/Logging_1783/tillsynsmail/A 35256-2026 tillsynsbegäran mail.docx", "A 35256-2026")</f>
        <v/>
      </c>
    </row>
    <row r="59" ht="15" customHeight="1">
      <c r="A59" t="inlineStr">
        <is>
          <t>A 35679-2026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46265</v>
      </c>
      <c r="E59" s="1" t="n">
        <v>46278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HYPERLINK("https://klasma.github.io/Logging_1783/artfynd/A 35679-2026 artfynd.xlsx", "A 35679-2026")</f>
        <v/>
      </c>
      <c r="X59">
        <f>HYPERLINK("https://klasma.github.io/Logging_1783/kartor/A 35679-2026 karta.png", "A 35679-2026")</f>
        <v/>
      </c>
      <c r="Y59">
        <f>HYPERLINK("https://klasma.github.io/Logging_1783/kartor_geotiff/A 35679-2026 georefererad karta.tif", "A 35679-2026")</f>
        <v/>
      </c>
      <c r="AA59">
        <f>HYPERLINK("https://klasma.github.io/Logging_1783/klagomål/A 35679-2026 FSC-klagomål.docx", "A 35679-2026")</f>
        <v/>
      </c>
      <c r="AB59">
        <f>HYPERLINK("https://klasma.github.io/Logging_1783/klagomålsmail/A 35679-2026 FSC-klagomål mail.docx", "A 35679-2026")</f>
        <v/>
      </c>
      <c r="AC59">
        <f>HYPERLINK("https://klasma.github.io/Logging_1783/tillsyn/A 35679-2026 tillsynsbegäran.docx", "A 35679-2026")</f>
        <v/>
      </c>
      <c r="AD59">
        <f>HYPERLINK("https://klasma.github.io/Logging_1783/tillsynsmail/A 35679-2026 tillsynsbegäran mail.docx", "A 35679-2026")</f>
        <v/>
      </c>
      <c r="AE59">
        <f>HYPERLINK("https://klasma.github.io/Logging_1783/fåglar/A 35679-2026 prioriterade fågelarter.docx", "A 35679-2026")</f>
        <v/>
      </c>
    </row>
    <row r="60" ht="15" customHeight="1">
      <c r="A60" t="inlineStr">
        <is>
          <t>A 21309-2023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46278</v>
      </c>
      <c r="F60" t="inlineStr">
        <is>
          <t>VÄRMLANDS LÄN</t>
        </is>
      </c>
      <c r="G60" t="inlineStr">
        <is>
          <t>HAGFORS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Kattfot</t>
        </is>
      </c>
      <c r="W60">
        <f>HYPERLINK("https://klasma.github.io/Logging_1783/artfynd/A 21309-2023 artfynd.xlsx", "A 21309-2023")</f>
        <v/>
      </c>
      <c r="X60">
        <f>HYPERLINK("https://klasma.github.io/Logging_1783/kartor/A 21309-2023 karta.png", "A 21309-2023")</f>
        <v/>
      </c>
      <c r="Y60">
        <f>HYPERLINK("https://klasma.github.io/Logging_1783/kartor_geotiff/A 21309-2023 georefererad karta.tif", "A 21309-2023")</f>
        <v/>
      </c>
      <c r="AA60">
        <f>HYPERLINK("https://klasma.github.io/Logging_1783/klagomål/A 21309-2023 FSC-klagomål.docx", "A 21309-2023")</f>
        <v/>
      </c>
      <c r="AB60">
        <f>HYPERLINK("https://klasma.github.io/Logging_1783/klagomålsmail/A 21309-2023 FSC-klagomål mail.docx", "A 21309-2023")</f>
        <v/>
      </c>
      <c r="AC60">
        <f>HYPERLINK("https://klasma.github.io/Logging_1783/tillsyn/A 21309-2023 tillsynsbegäran.docx", "A 21309-2023")</f>
        <v/>
      </c>
      <c r="AD60">
        <f>HYPERLINK("https://klasma.github.io/Logging_1783/tillsynsmail/A 21309-2023 tillsynsbegäran mail.docx", "A 21309-2023")</f>
        <v/>
      </c>
    </row>
    <row r="61" ht="15" customHeight="1">
      <c r="A61" t="inlineStr">
        <is>
          <t>A 36223-2026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46268</v>
      </c>
      <c r="E61" s="1" t="n">
        <v>46278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8.699999999999999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Gråspett</t>
        </is>
      </c>
      <c r="W61">
        <f>HYPERLINK("https://klasma.github.io/Logging_1783/artfynd/A 36223-2026 artfynd.xlsx", "A 36223-2026")</f>
        <v/>
      </c>
      <c r="X61">
        <f>HYPERLINK("https://klasma.github.io/Logging_1783/kartor/A 36223-2026 karta.png", "A 36223-2026")</f>
        <v/>
      </c>
      <c r="Y61">
        <f>HYPERLINK("https://klasma.github.io/Logging_1783/kartor_geotiff/A 36223-2026 georefererad karta.tif", "A 36223-2026")</f>
        <v/>
      </c>
      <c r="AA61">
        <f>HYPERLINK("https://klasma.github.io/Logging_1783/klagomål/A 36223-2026 FSC-klagomål.docx", "A 36223-2026")</f>
        <v/>
      </c>
      <c r="AB61">
        <f>HYPERLINK("https://klasma.github.io/Logging_1783/klagomålsmail/A 36223-2026 FSC-klagomål mail.docx", "A 36223-2026")</f>
        <v/>
      </c>
      <c r="AC61">
        <f>HYPERLINK("https://klasma.github.io/Logging_1783/tillsyn/A 36223-2026 tillsynsbegäran.docx", "A 36223-2026")</f>
        <v/>
      </c>
      <c r="AD61">
        <f>HYPERLINK("https://klasma.github.io/Logging_1783/tillsynsmail/A 36223-2026 tillsynsbegäran mail.docx", "A 36223-2026")</f>
        <v/>
      </c>
      <c r="AE61">
        <f>HYPERLINK("https://klasma.github.io/Logging_1783/fåglar/A 36223-2026 prioriterade fågelarter.docx", "A 36223-2026")</f>
        <v/>
      </c>
    </row>
    <row r="62" ht="15" customHeight="1">
      <c r="A62" t="inlineStr">
        <is>
          <t>A 31742-2026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46278</v>
      </c>
      <c r="F62" t="inlineStr">
        <is>
          <t>VÄRMLANDS LÄN</t>
        </is>
      </c>
      <c r="G62" t="inlineStr">
        <is>
          <t>HAGFORS</t>
        </is>
      </c>
      <c r="I62" t="n">
        <v>4.2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HYPERLINK("https://klasma.github.io/Logging_1783/artfynd/A 31742-2026 artfynd.xlsx", "A 31742-2026")</f>
        <v/>
      </c>
      <c r="X62">
        <f>HYPERLINK("https://klasma.github.io/Logging_1783/kartor/A 31742-2026 karta.png", "A 31742-2026")</f>
        <v/>
      </c>
      <c r="Y62">
        <f>HYPERLINK("https://klasma.github.io/Logging_1783/kartor_geotiff/A 31742-2026 georefererad karta.tif", "A 31742-2026")</f>
        <v/>
      </c>
      <c r="AA62">
        <f>HYPERLINK("https://klasma.github.io/Logging_1783/klagomål/A 31742-2026 FSC-klagomål.docx", "A 31742-2026")</f>
        <v/>
      </c>
      <c r="AB62">
        <f>HYPERLINK("https://klasma.github.io/Logging_1783/klagomålsmail/A 31742-2026 FSC-klagomål mail.docx", "A 31742-2026")</f>
        <v/>
      </c>
      <c r="AC62">
        <f>HYPERLINK("https://klasma.github.io/Logging_1783/tillsyn/A 31742-2026 tillsynsbegäran.docx", "A 31742-2026")</f>
        <v/>
      </c>
      <c r="AD62">
        <f>HYPERLINK("https://klasma.github.io/Logging_1783/tillsynsmail/A 31742-2026 tillsynsbegäran mail.docx", "A 31742-2026")</f>
        <v/>
      </c>
    </row>
    <row r="63" ht="15" customHeight="1">
      <c r="A63" t="inlineStr">
        <is>
          <t>A 22484-2025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46278</v>
      </c>
      <c r="F63" t="inlineStr">
        <is>
          <t>VÄRMLANDS LÄN</t>
        </is>
      </c>
      <c r="G63" t="inlineStr">
        <is>
          <t>HAGFORS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Rödlånke</t>
        </is>
      </c>
      <c r="W63">
        <f>HYPERLINK("https://klasma.github.io/Logging_1783/artfynd/A 22484-2025 artfynd.xlsx", "A 22484-2025")</f>
        <v/>
      </c>
      <c r="X63">
        <f>HYPERLINK("https://klasma.github.io/Logging_1783/kartor/A 22484-2025 karta.png", "A 22484-2025")</f>
        <v/>
      </c>
      <c r="Y63">
        <f>HYPERLINK("https://klasma.github.io/Logging_1783/kartor_geotiff/A 22484-2025 georefererad karta.tif", "A 22484-2025")</f>
        <v/>
      </c>
      <c r="AA63">
        <f>HYPERLINK("https://klasma.github.io/Logging_1783/klagomål/A 22484-2025 FSC-klagomål.docx", "A 22484-2025")</f>
        <v/>
      </c>
      <c r="AB63">
        <f>HYPERLINK("https://klasma.github.io/Logging_1783/klagomålsmail/A 22484-2025 FSC-klagomål mail.docx", "A 22484-2025")</f>
        <v/>
      </c>
      <c r="AC63">
        <f>HYPERLINK("https://klasma.github.io/Logging_1783/tillsyn/A 22484-2025 tillsynsbegäran.docx", "A 22484-2025")</f>
        <v/>
      </c>
      <c r="AD63">
        <f>HYPERLINK("https://klasma.github.io/Logging_1783/tillsynsmail/A 22484-2025 tillsynsbegäran mail.docx", "A 22484-2025")</f>
        <v/>
      </c>
    </row>
    <row r="64" ht="15" customHeight="1">
      <c r="A64" t="inlineStr">
        <is>
          <t>A 24885-2025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46278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Mörk husmossa</t>
        </is>
      </c>
      <c r="W64">
        <f>HYPERLINK("https://klasma.github.io/Logging_1783/artfynd/A 24885-2025 artfynd.xlsx", "A 24885-2025")</f>
        <v/>
      </c>
      <c r="X64">
        <f>HYPERLINK("https://klasma.github.io/Logging_1783/kartor/A 24885-2025 karta.png", "A 24885-2025")</f>
        <v/>
      </c>
      <c r="Y64">
        <f>HYPERLINK("https://klasma.github.io/Logging_1783/kartor_geotiff/A 24885-2025 georefererad karta.tif", "A 24885-2025")</f>
        <v/>
      </c>
      <c r="AA64">
        <f>HYPERLINK("https://klasma.github.io/Logging_1783/klagomål/A 24885-2025 FSC-klagomål.docx", "A 24885-2025")</f>
        <v/>
      </c>
      <c r="AB64">
        <f>HYPERLINK("https://klasma.github.io/Logging_1783/klagomålsmail/A 24885-2025 FSC-klagomål mail.docx", "A 24885-2025")</f>
        <v/>
      </c>
      <c r="AC64">
        <f>HYPERLINK("https://klasma.github.io/Logging_1783/tillsyn/A 24885-2025 tillsynsbegäran.docx", "A 24885-2025")</f>
        <v/>
      </c>
      <c r="AD64">
        <f>HYPERLINK("https://klasma.github.io/Logging_1783/tillsynsmail/A 24885-2025 tillsynsbegäran mail.docx", "A 24885-2025")</f>
        <v/>
      </c>
    </row>
    <row r="65" ht="15" customHeight="1">
      <c r="A65" t="inlineStr">
        <is>
          <t>A 26624-2025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45810</v>
      </c>
      <c r="E65" s="1" t="n">
        <v>46278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1.4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HYPERLINK("https://klasma.github.io/Logging_1783/artfynd/A 26624-2025 artfynd.xlsx", "A 26624-2025")</f>
        <v/>
      </c>
      <c r="X65">
        <f>HYPERLINK("https://klasma.github.io/Logging_1783/kartor/A 26624-2025 karta.png", "A 26624-2025")</f>
        <v/>
      </c>
      <c r="Y65">
        <f>HYPERLINK("https://klasma.github.io/Logging_1783/kartor_geotiff/A 26624-2025 georefererad karta.tif", "A 26624-2025")</f>
        <v/>
      </c>
      <c r="AA65">
        <f>HYPERLINK("https://klasma.github.io/Logging_1783/klagomål/A 26624-2025 FSC-klagomål.docx", "A 26624-2025")</f>
        <v/>
      </c>
      <c r="AB65">
        <f>HYPERLINK("https://klasma.github.io/Logging_1783/klagomålsmail/A 26624-2025 FSC-klagomål mail.docx", "A 26624-2025")</f>
        <v/>
      </c>
      <c r="AC65">
        <f>HYPERLINK("https://klasma.github.io/Logging_1783/tillsyn/A 26624-2025 tillsynsbegäran.docx", "A 26624-2025")</f>
        <v/>
      </c>
      <c r="AD65">
        <f>HYPERLINK("https://klasma.github.io/Logging_1783/tillsynsmail/A 26624-2025 tillsynsbegäran mail.docx", "A 26624-2025")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46278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46278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46278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46278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46278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46278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46278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46278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46278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46278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46278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46278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46278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46278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46278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46278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46278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46278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46278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46278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46278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46278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46278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46278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46278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46278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46278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46278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46278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46278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46278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46278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46278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46278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46278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46278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46278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46278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46278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46278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46278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46278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46278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46278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46278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46278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46278</v>
      </c>
      <c r="F112" t="inlineStr">
        <is>
          <t>VÄRMLANDS LÄN</t>
        </is>
      </c>
      <c r="G112" t="inlineStr">
        <is>
          <t>HAGFORS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46278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46278</v>
      </c>
      <c r="F114" t="inlineStr">
        <is>
          <t>VÄRMLANDS LÄN</t>
        </is>
      </c>
      <c r="G114" t="inlineStr">
        <is>
          <t>HAGFORS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46278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46278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46278</v>
      </c>
      <c r="F117" t="inlineStr">
        <is>
          <t>VÄRMLANDS LÄN</t>
        </is>
      </c>
      <c r="G117" t="inlineStr">
        <is>
          <t>HAGFORS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46278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45414</v>
      </c>
      <c r="E119" s="1" t="n">
        <v>46278</v>
      </c>
      <c r="F119" t="inlineStr">
        <is>
          <t>VÄRMLANDS LÄN</t>
        </is>
      </c>
      <c r="G119" t="inlineStr">
        <is>
          <t>HAGFORS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46278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45338</v>
      </c>
      <c r="E121" s="1" t="n">
        <v>46278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46278</v>
      </c>
      <c r="F122" t="inlineStr">
        <is>
          <t>VÄRMLANDS LÄN</t>
        </is>
      </c>
      <c r="G122" t="inlineStr">
        <is>
          <t>HAGFORS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46278</v>
      </c>
      <c r="F123" t="inlineStr">
        <is>
          <t>VÄRMLANDS LÄN</t>
        </is>
      </c>
      <c r="G123" t="inlineStr">
        <is>
          <t>HAGFORS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46278</v>
      </c>
      <c r="F124" t="inlineStr">
        <is>
          <t>VÄRMLANDS LÄN</t>
        </is>
      </c>
      <c r="G124" t="inlineStr">
        <is>
          <t>HAGFORS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46278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46278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46278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46278</v>
      </c>
      <c r="F128" t="inlineStr">
        <is>
          <t>VÄRMLANDS LÄN</t>
        </is>
      </c>
      <c r="G128" t="inlineStr">
        <is>
          <t>HAGFORS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46278</v>
      </c>
      <c r="F129" t="inlineStr">
        <is>
          <t>VÄRMLANDS LÄN</t>
        </is>
      </c>
      <c r="G129" t="inlineStr">
        <is>
          <t>HAGFORS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46278</v>
      </c>
      <c r="F130" t="inlineStr">
        <is>
          <t>VÄRMLANDS LÄN</t>
        </is>
      </c>
      <c r="G130" t="inlineStr">
        <is>
          <t>HAGFORS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46278</v>
      </c>
      <c r="F131" t="inlineStr">
        <is>
          <t>VÄRMLANDS LÄN</t>
        </is>
      </c>
      <c r="G131" t="inlineStr">
        <is>
          <t>HAGFORS</t>
        </is>
      </c>
      <c r="H131" t="inlineStr">
        <is>
          <t>Kyrkan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46278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46278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46278</v>
      </c>
      <c r="F134" t="inlineStr">
        <is>
          <t>VÄRMLANDS LÄN</t>
        </is>
      </c>
      <c r="G134" t="inlineStr">
        <is>
          <t>HAGFORS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46278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44770</v>
      </c>
      <c r="E136" s="1" t="n">
        <v>46278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46278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46278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45366</v>
      </c>
      <c r="E139" s="1" t="n">
        <v>46278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15538-2024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45401</v>
      </c>
      <c r="E140" s="1" t="n">
        <v>46278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46278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46278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46278</v>
      </c>
      <c r="F143" t="inlineStr">
        <is>
          <t>VÄRMLANDS LÄN</t>
        </is>
      </c>
      <c r="G143" t="inlineStr">
        <is>
          <t>HAGFORS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46278</v>
      </c>
      <c r="F144" t="inlineStr">
        <is>
          <t>VÄRMLANDS LÄN</t>
        </is>
      </c>
      <c r="G144" t="inlineStr">
        <is>
          <t>HAGFORS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45258</v>
      </c>
      <c r="E145" s="1" t="n">
        <v>46278</v>
      </c>
      <c r="F145" t="inlineStr">
        <is>
          <t>VÄRMLANDS LÄN</t>
        </is>
      </c>
      <c r="G145" t="inlineStr">
        <is>
          <t>HAGFORS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46278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46278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46278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46278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61169-2024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45645</v>
      </c>
      <c r="E150" s="1" t="n">
        <v>46278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46278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71447-2021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46278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46278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46278</v>
      </c>
      <c r="F154" t="inlineStr">
        <is>
          <t>VÄRMLANDS LÄN</t>
        </is>
      </c>
      <c r="G154" t="inlineStr">
        <is>
          <t>HAGFORS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46278</v>
      </c>
      <c r="F155" t="inlineStr">
        <is>
          <t>VÄRMLANDS LÄN</t>
        </is>
      </c>
      <c r="G155" t="inlineStr">
        <is>
          <t>HAGFORS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46278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45148</v>
      </c>
      <c r="E157" s="1" t="n">
        <v>46278</v>
      </c>
      <c r="F157" t="inlineStr">
        <is>
          <t>VÄRMLANDS LÄN</t>
        </is>
      </c>
      <c r="G157" t="inlineStr">
        <is>
          <t>HAGFORS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45050</v>
      </c>
      <c r="E158" s="1" t="n">
        <v>46278</v>
      </c>
      <c r="F158" t="inlineStr">
        <is>
          <t>VÄRMLANDS LÄN</t>
        </is>
      </c>
      <c r="G158" t="inlineStr">
        <is>
          <t>HAGFORS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46278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46278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46278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46278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46278</v>
      </c>
      <c r="F163" t="inlineStr">
        <is>
          <t>VÄRMLANDS LÄN</t>
        </is>
      </c>
      <c r="G163" t="inlineStr">
        <is>
          <t>HAGFORS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46278</v>
      </c>
      <c r="F164" t="inlineStr">
        <is>
          <t>VÄRMLANDS LÄN</t>
        </is>
      </c>
      <c r="G164" t="inlineStr">
        <is>
          <t>HAGFORS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46278</v>
      </c>
      <c r="F165" t="inlineStr">
        <is>
          <t>VÄRMLANDS LÄN</t>
        </is>
      </c>
      <c r="G165" t="inlineStr">
        <is>
          <t>HAGFORS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45492</v>
      </c>
      <c r="E166" s="1" t="n">
        <v>46278</v>
      </c>
      <c r="F166" t="inlineStr">
        <is>
          <t>VÄRMLANDS LÄN</t>
        </is>
      </c>
      <c r="G166" t="inlineStr">
        <is>
          <t>HAGFORS</t>
        </is>
      </c>
      <c r="H166" t="inlineStr">
        <is>
          <t>Kyrkan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46278</v>
      </c>
      <c r="F167" t="inlineStr">
        <is>
          <t>VÄRMLANDS LÄN</t>
        </is>
      </c>
      <c r="G167" t="inlineStr">
        <is>
          <t>HAGFORS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16824-2023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45033</v>
      </c>
      <c r="E168" s="1" t="n">
        <v>46278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46278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46278</v>
      </c>
      <c r="F170" t="inlineStr">
        <is>
          <t>VÄRMLANDS LÄN</t>
        </is>
      </c>
      <c r="G170" t="inlineStr">
        <is>
          <t>HAGFORS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46278</v>
      </c>
      <c r="F171" t="inlineStr">
        <is>
          <t>VÄRMLANDS LÄN</t>
        </is>
      </c>
      <c r="G171" t="inlineStr">
        <is>
          <t>HAGFORS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46278</v>
      </c>
      <c r="F172" t="inlineStr">
        <is>
          <t>VÄRMLANDS LÄN</t>
        </is>
      </c>
      <c r="G172" t="inlineStr">
        <is>
          <t>HAGFORS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46278</v>
      </c>
      <c r="F173" t="inlineStr">
        <is>
          <t>VÄRMLANDS LÄN</t>
        </is>
      </c>
      <c r="G173" t="inlineStr">
        <is>
          <t>HAGFORS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46278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46278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46278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12426-2024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45379</v>
      </c>
      <c r="E177" s="1" t="n">
        <v>46278</v>
      </c>
      <c r="F177" t="inlineStr">
        <is>
          <t>VÄRMLANDS LÄN</t>
        </is>
      </c>
      <c r="G177" t="inlineStr">
        <is>
          <t>HAGFORS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46278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46278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46278</v>
      </c>
      <c r="F180" t="inlineStr">
        <is>
          <t>VÄRMLANDS LÄN</t>
        </is>
      </c>
      <c r="G180" t="inlineStr">
        <is>
          <t>HAGFORS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46065</v>
      </c>
      <c r="E181" s="1" t="n">
        <v>46278</v>
      </c>
      <c r="F181" t="inlineStr">
        <is>
          <t>VÄRMLANDS LÄN</t>
        </is>
      </c>
      <c r="G181" t="inlineStr">
        <is>
          <t>HAGFORS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46278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45446</v>
      </c>
      <c r="E183" s="1" t="n">
        <v>46278</v>
      </c>
      <c r="F183" t="inlineStr">
        <is>
          <t>VÄRMLANDS LÄN</t>
        </is>
      </c>
      <c r="G183" t="inlineStr">
        <is>
          <t>HAGFORS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45282</v>
      </c>
      <c r="E184" s="1" t="n">
        <v>46278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46278</v>
      </c>
      <c r="F185" t="inlineStr">
        <is>
          <t>VÄRMLANDS LÄN</t>
        </is>
      </c>
      <c r="G185" t="inlineStr">
        <is>
          <t>HAGFORS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46278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46278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46278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46278</v>
      </c>
      <c r="F189" t="inlineStr">
        <is>
          <t>VÄRMLANDS LÄN</t>
        </is>
      </c>
      <c r="G189" t="inlineStr">
        <is>
          <t>HAGFORS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46278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33440-2025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45841</v>
      </c>
      <c r="E191" s="1" t="n">
        <v>46278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46278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46278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46278</v>
      </c>
      <c r="F194" t="inlineStr">
        <is>
          <t>VÄRMLANDS LÄN</t>
        </is>
      </c>
      <c r="G194" t="inlineStr">
        <is>
          <t>HAGFORS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46278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46278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46278</v>
      </c>
      <c r="F197" t="inlineStr">
        <is>
          <t>VÄRMLANDS LÄN</t>
        </is>
      </c>
      <c r="G197" t="inlineStr">
        <is>
          <t>HAGFORS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46278</v>
      </c>
      <c r="F198" t="inlineStr">
        <is>
          <t>VÄRMLANDS LÄN</t>
        </is>
      </c>
      <c r="G198" t="inlineStr">
        <is>
          <t>HAGFORS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45845</v>
      </c>
      <c r="E199" s="1" t="n">
        <v>46278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45845</v>
      </c>
      <c r="E200" s="1" t="n">
        <v>46278</v>
      </c>
      <c r="F200" t="inlineStr">
        <is>
          <t>VÄRMLANDS LÄN</t>
        </is>
      </c>
      <c r="G200" t="inlineStr">
        <is>
          <t>HAGFORS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46278</v>
      </c>
      <c r="F201" t="inlineStr">
        <is>
          <t>VÄRMLANDS LÄN</t>
        </is>
      </c>
      <c r="G201" t="inlineStr">
        <is>
          <t>HAGFORS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45784</v>
      </c>
      <c r="E202" s="1" t="n">
        <v>46278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46278</v>
      </c>
      <c r="F203" t="inlineStr">
        <is>
          <t>VÄRMLANDS LÄN</t>
        </is>
      </c>
      <c r="G203" t="inlineStr">
        <is>
          <t>HAGFORS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45565</v>
      </c>
      <c r="E204" s="1" t="n">
        <v>46278</v>
      </c>
      <c r="F204" t="inlineStr">
        <is>
          <t>VÄRMLANDS LÄN</t>
        </is>
      </c>
      <c r="G204" t="inlineStr">
        <is>
          <t>HAGFORS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45902</v>
      </c>
      <c r="E205" s="1" t="n">
        <v>46278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45765</v>
      </c>
      <c r="E206" s="1" t="n">
        <v>46278</v>
      </c>
      <c r="F206" t="inlineStr">
        <is>
          <t>VÄRMLANDS LÄN</t>
        </is>
      </c>
      <c r="G206" t="inlineStr">
        <is>
          <t>HAGFORS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46278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46278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46278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45854</v>
      </c>
      <c r="E210" s="1" t="n">
        <v>46278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45854</v>
      </c>
      <c r="E211" s="1" t="n">
        <v>46278</v>
      </c>
      <c r="F211" t="inlineStr">
        <is>
          <t>VÄRMLANDS LÄN</t>
        </is>
      </c>
      <c r="G211" t="inlineStr">
        <is>
          <t>HAGFORS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46278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46278</v>
      </c>
      <c r="F213" t="inlineStr">
        <is>
          <t>VÄRMLANDS LÄN</t>
        </is>
      </c>
      <c r="G213" t="inlineStr">
        <is>
          <t>HAGFORS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46278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46278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46278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46278</v>
      </c>
      <c r="F217" t="inlineStr">
        <is>
          <t>VÄRMLANDS LÄN</t>
        </is>
      </c>
      <c r="G217" t="inlineStr">
        <is>
          <t>HAGFORS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46278</v>
      </c>
      <c r="F218" t="inlineStr">
        <is>
          <t>VÄRMLANDS LÄN</t>
        </is>
      </c>
      <c r="G218" t="inlineStr">
        <is>
          <t>HAGFORS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46278</v>
      </c>
      <c r="F219" t="inlineStr">
        <is>
          <t>VÄRMLANDS LÄN</t>
        </is>
      </c>
      <c r="G219" t="inlineStr">
        <is>
          <t>HAGFORS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46278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45005</v>
      </c>
      <c r="E221" s="1" t="n">
        <v>46278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46278</v>
      </c>
      <c r="F222" t="inlineStr">
        <is>
          <t>VÄRMLANDS LÄN</t>
        </is>
      </c>
      <c r="G222" t="inlineStr">
        <is>
          <t>HAGFORS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46278</v>
      </c>
      <c r="F223" t="inlineStr">
        <is>
          <t>VÄRMLANDS LÄN</t>
        </is>
      </c>
      <c r="G223" t="inlineStr">
        <is>
          <t>HAGFORS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46278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45609</v>
      </c>
      <c r="E225" s="1" t="n">
        <v>46278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45623</v>
      </c>
      <c r="E226" s="1" t="n">
        <v>46278</v>
      </c>
      <c r="F226" t="inlineStr">
        <is>
          <t>VÄRMLANDS LÄN</t>
        </is>
      </c>
      <c r="G226" t="inlineStr">
        <is>
          <t>HAGFORS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46278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46278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46278</v>
      </c>
      <c r="F229" t="inlineStr">
        <is>
          <t>VÄRMLANDS LÄN</t>
        </is>
      </c>
      <c r="G229" t="inlineStr">
        <is>
          <t>HAGFORS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46278</v>
      </c>
      <c r="F230" t="inlineStr">
        <is>
          <t>VÄRMLANDS LÄN</t>
        </is>
      </c>
      <c r="G230" t="inlineStr">
        <is>
          <t>HAGFORS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46278</v>
      </c>
      <c r="F231" t="inlineStr">
        <is>
          <t>VÄRMLANDS LÄN</t>
        </is>
      </c>
      <c r="G231" t="inlineStr">
        <is>
          <t>HAGFORS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46278</v>
      </c>
      <c r="F232" t="inlineStr">
        <is>
          <t>VÄRMLANDS LÄN</t>
        </is>
      </c>
      <c r="G232" t="inlineStr">
        <is>
          <t>HAGFORS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46278</v>
      </c>
      <c r="F233" t="inlineStr">
        <is>
          <t>VÄRMLANDS LÄN</t>
        </is>
      </c>
      <c r="G233" t="inlineStr">
        <is>
          <t>HAGFORS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8830-2024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46278</v>
      </c>
      <c r="F234" t="inlineStr">
        <is>
          <t>VÄRMLANDS LÄN</t>
        </is>
      </c>
      <c r="G234" t="inlineStr">
        <is>
          <t>HAGFORS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45569</v>
      </c>
      <c r="E235" s="1" t="n">
        <v>46278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46278</v>
      </c>
      <c r="F236" t="inlineStr">
        <is>
          <t>VÄRMLANDS LÄN</t>
        </is>
      </c>
      <c r="G236" t="inlineStr">
        <is>
          <t>HAGFORS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46278</v>
      </c>
      <c r="F237" t="inlineStr">
        <is>
          <t>VÄRMLANDS LÄN</t>
        </is>
      </c>
      <c r="G237" t="inlineStr">
        <is>
          <t>HAGFORS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46278</v>
      </c>
      <c r="F238" t="inlineStr">
        <is>
          <t>VÄRMLANDS LÄN</t>
        </is>
      </c>
      <c r="G238" t="inlineStr">
        <is>
          <t>HAGFORS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46278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46278</v>
      </c>
      <c r="F240" t="inlineStr">
        <is>
          <t>VÄRMLANDS LÄN</t>
        </is>
      </c>
      <c r="G240" t="inlineStr">
        <is>
          <t>HAGFORS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46278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46278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45461</v>
      </c>
      <c r="E243" s="1" t="n">
        <v>46278</v>
      </c>
      <c r="F243" t="inlineStr">
        <is>
          <t>VÄRMLANDS LÄN</t>
        </is>
      </c>
      <c r="G243" t="inlineStr">
        <is>
          <t>HAGFORS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46278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45927</v>
      </c>
      <c r="E245" s="1" t="n">
        <v>46278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46278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45927</v>
      </c>
      <c r="E247" s="1" t="n">
        <v>46278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46278</v>
      </c>
      <c r="F248" t="inlineStr">
        <is>
          <t>VÄRMLANDS LÄN</t>
        </is>
      </c>
      <c r="G248" t="inlineStr">
        <is>
          <t>HAGFORS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45928</v>
      </c>
      <c r="E249" s="1" t="n">
        <v>46278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46278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46278</v>
      </c>
      <c r="F251" t="inlineStr">
        <is>
          <t>VÄRMLANDS LÄN</t>
        </is>
      </c>
      <c r="G251" t="inlineStr">
        <is>
          <t>HAGFORS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46278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46278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46278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46278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46278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46278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45758</v>
      </c>
      <c r="E258" s="1" t="n">
        <v>46278</v>
      </c>
      <c r="F258" t="inlineStr">
        <is>
          <t>VÄRMLANDS LÄN</t>
        </is>
      </c>
      <c r="G258" t="inlineStr">
        <is>
          <t>HAGFORS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46278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46278</v>
      </c>
      <c r="F260" t="inlineStr">
        <is>
          <t>VÄRMLANDS LÄN</t>
        </is>
      </c>
      <c r="G260" t="inlineStr">
        <is>
          <t>HAGFORS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46278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46087</v>
      </c>
      <c r="E262" s="1" t="n">
        <v>46278</v>
      </c>
      <c r="F262" t="inlineStr">
        <is>
          <t>VÄRMLANDS LÄN</t>
        </is>
      </c>
      <c r="G262" t="inlineStr">
        <is>
          <t>HAGFORS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46278</v>
      </c>
      <c r="F263" t="inlineStr">
        <is>
          <t>VÄRMLANDS LÄN</t>
        </is>
      </c>
      <c r="G263" t="inlineStr">
        <is>
          <t>HAGFORS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46278</v>
      </c>
      <c r="F264" t="inlineStr">
        <is>
          <t>VÄRMLANDS LÄN</t>
        </is>
      </c>
      <c r="G264" t="inlineStr">
        <is>
          <t>HAGFORS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44757</v>
      </c>
      <c r="E265" s="1" t="n">
        <v>46278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45941</v>
      </c>
      <c r="E266" s="1" t="n">
        <v>46278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46278</v>
      </c>
      <c r="F267" t="inlineStr">
        <is>
          <t>VÄRMLANDS LÄN</t>
        </is>
      </c>
      <c r="G267" t="inlineStr">
        <is>
          <t>HAGFORS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19702-2022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44694</v>
      </c>
      <c r="E268" s="1" t="n">
        <v>46278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46278</v>
      </c>
      <c r="F269" t="inlineStr">
        <is>
          <t>VÄRMLANDS LÄN</t>
        </is>
      </c>
      <c r="G269" t="inlineStr">
        <is>
          <t>HAGFORS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45152</v>
      </c>
      <c r="E270" s="1" t="n">
        <v>46278</v>
      </c>
      <c r="F270" t="inlineStr">
        <is>
          <t>VÄRMLANDS LÄN</t>
        </is>
      </c>
      <c r="G270" t="inlineStr">
        <is>
          <t>HAGFORS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31166-2022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44770</v>
      </c>
      <c r="E271" s="1" t="n">
        <v>46278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46278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46278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46278</v>
      </c>
      <c r="F274" t="inlineStr">
        <is>
          <t>VÄRMLANDS LÄN</t>
        </is>
      </c>
      <c r="G274" t="inlineStr">
        <is>
          <t>HAGFORS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46278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46278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46278</v>
      </c>
      <c r="F277" t="inlineStr">
        <is>
          <t>VÄRMLANDS LÄN</t>
        </is>
      </c>
      <c r="G277" t="inlineStr">
        <is>
          <t>HAGFORS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46278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46278</v>
      </c>
      <c r="F279" t="inlineStr">
        <is>
          <t>VÄRMLANDS LÄN</t>
        </is>
      </c>
      <c r="G279" t="inlineStr">
        <is>
          <t>HAGFORS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46278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45949</v>
      </c>
      <c r="E281" s="1" t="n">
        <v>46278</v>
      </c>
      <c r="F281" t="inlineStr">
        <is>
          <t>VÄRMLANDS LÄN</t>
        </is>
      </c>
      <c r="G281" t="inlineStr">
        <is>
          <t>HAGFORS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46099</v>
      </c>
      <c r="E282" s="1" t="n">
        <v>46278</v>
      </c>
      <c r="F282" t="inlineStr">
        <is>
          <t>VÄRMLANDS LÄN</t>
        </is>
      </c>
      <c r="G282" t="inlineStr">
        <is>
          <t>HAGFORS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46278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46278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46278</v>
      </c>
      <c r="F285" t="inlineStr">
        <is>
          <t>VÄRMLANDS LÄN</t>
        </is>
      </c>
      <c r="G285" t="inlineStr">
        <is>
          <t>HAGFORS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46278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46278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46278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57379-2022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44896</v>
      </c>
      <c r="E289" s="1" t="n">
        <v>46278</v>
      </c>
      <c r="F289" t="inlineStr">
        <is>
          <t>VÄRMLANDS LÄN</t>
        </is>
      </c>
      <c r="G289" t="inlineStr">
        <is>
          <t>HAGFORS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46278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46278</v>
      </c>
      <c r="F291" t="inlineStr">
        <is>
          <t>VÄRMLANDS LÄN</t>
        </is>
      </c>
      <c r="G291" t="inlineStr">
        <is>
          <t>HAGFORS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52479-2025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46278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45029</v>
      </c>
      <c r="E293" s="1" t="n">
        <v>46278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39029-2022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46278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46278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45653</v>
      </c>
      <c r="E296" s="1" t="n">
        <v>46278</v>
      </c>
      <c r="F296" t="inlineStr">
        <is>
          <t>VÄRMLANDS LÄN</t>
        </is>
      </c>
      <c r="G296" t="inlineStr">
        <is>
          <t>HAGFORS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45057</v>
      </c>
      <c r="E297" s="1" t="n">
        <v>46278</v>
      </c>
      <c r="F297" t="inlineStr">
        <is>
          <t>VÄRMLANDS LÄN</t>
        </is>
      </c>
      <c r="G297" t="inlineStr">
        <is>
          <t>HAGFORS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46278</v>
      </c>
      <c r="F298" t="inlineStr">
        <is>
          <t>VÄRMLANDS LÄN</t>
        </is>
      </c>
      <c r="G298" t="inlineStr">
        <is>
          <t>HAGFORS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14832-2026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46278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46278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20652-2022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44700</v>
      </c>
      <c r="E301" s="1" t="n">
        <v>46278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46278</v>
      </c>
      <c r="F302" t="inlineStr">
        <is>
          <t>VÄRMLANDS LÄN</t>
        </is>
      </c>
      <c r="G302" t="inlineStr">
        <is>
          <t>HAGFORS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46278</v>
      </c>
      <c r="F303" t="inlineStr">
        <is>
          <t>VÄRMLANDS LÄN</t>
        </is>
      </c>
      <c r="G303" t="inlineStr">
        <is>
          <t>HAGFORS</t>
        </is>
      </c>
      <c r="H303" t="inlineStr">
        <is>
          <t>Kyrkan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15031-2026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46278</v>
      </c>
      <c r="F304" t="inlineStr">
        <is>
          <t>VÄRMLANDS LÄN</t>
        </is>
      </c>
      <c r="G304" t="inlineStr">
        <is>
          <t>HAGFORS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46278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46278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46278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46278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46278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46278</v>
      </c>
      <c r="F310" t="inlineStr">
        <is>
          <t>VÄRMLANDS LÄN</t>
        </is>
      </c>
      <c r="G310" t="inlineStr">
        <is>
          <t>HAGFORS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46278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46278</v>
      </c>
      <c r="F312" t="inlineStr">
        <is>
          <t>VÄRMLANDS LÄN</t>
        </is>
      </c>
      <c r="G312" t="inlineStr">
        <is>
          <t>HAGFORS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46278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45223</v>
      </c>
      <c r="E314" s="1" t="n">
        <v>46278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46278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46278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46278</v>
      </c>
      <c r="F317" t="inlineStr">
        <is>
          <t>VÄRMLANDS LÄN</t>
        </is>
      </c>
      <c r="G317" t="inlineStr">
        <is>
          <t>HAGFORS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46278</v>
      </c>
      <c r="F318" t="inlineStr">
        <is>
          <t>VÄRMLANDS LÄN</t>
        </is>
      </c>
      <c r="G318" t="inlineStr">
        <is>
          <t>HAGFORS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46278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46278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46278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46278</v>
      </c>
      <c r="F322" t="inlineStr">
        <is>
          <t>VÄRMLANDS LÄN</t>
        </is>
      </c>
      <c r="G322" t="inlineStr">
        <is>
          <t>HAGFORS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44937</v>
      </c>
      <c r="E323" s="1" t="n">
        <v>46278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46278</v>
      </c>
      <c r="F324" t="inlineStr">
        <is>
          <t>VÄRMLANDS LÄN</t>
        </is>
      </c>
      <c r="G324" t="inlineStr">
        <is>
          <t>HAGFORS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46278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46278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45155</v>
      </c>
      <c r="E327" s="1" t="n">
        <v>46278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46278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37463-2022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44809</v>
      </c>
      <c r="E329" s="1" t="n">
        <v>46278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46278</v>
      </c>
      <c r="F330" t="inlineStr">
        <is>
          <t>VÄRMLANDS LÄN</t>
        </is>
      </c>
      <c r="G330" t="inlineStr">
        <is>
          <t>HAGFORS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44851</v>
      </c>
      <c r="E331" s="1" t="n">
        <v>46278</v>
      </c>
      <c r="F331" t="inlineStr">
        <is>
          <t>VÄRMLANDS LÄN</t>
        </is>
      </c>
      <c r="G331" t="inlineStr">
        <is>
          <t>HAGFORS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45525</v>
      </c>
      <c r="E332" s="1" t="n">
        <v>46278</v>
      </c>
      <c r="F332" t="inlineStr">
        <is>
          <t>VÄRMLANDS LÄN</t>
        </is>
      </c>
      <c r="G332" t="inlineStr">
        <is>
          <t>HAGFORS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46278</v>
      </c>
      <c r="F333" t="inlineStr">
        <is>
          <t>VÄRMLANDS LÄN</t>
        </is>
      </c>
      <c r="G333" t="inlineStr">
        <is>
          <t>HAGFORS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46278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46278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46278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33969-2022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44790</v>
      </c>
      <c r="E337" s="1" t="n">
        <v>46278</v>
      </c>
      <c r="F337" t="inlineStr">
        <is>
          <t>VÄRMLANDS LÄN</t>
        </is>
      </c>
      <c r="G337" t="inlineStr">
        <is>
          <t>HAGFORS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46278</v>
      </c>
      <c r="F338" t="inlineStr">
        <is>
          <t>VÄRMLANDS LÄN</t>
        </is>
      </c>
      <c r="G338" t="inlineStr">
        <is>
          <t>HAGFORS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46278</v>
      </c>
      <c r="F339" t="inlineStr">
        <is>
          <t>VÄRMLANDS LÄN</t>
        </is>
      </c>
      <c r="G339" t="inlineStr">
        <is>
          <t>HAGFORS</t>
        </is>
      </c>
      <c r="H339" t="inlineStr">
        <is>
          <t>Kyrkan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46278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45461</v>
      </c>
      <c r="E341" s="1" t="n">
        <v>46278</v>
      </c>
      <c r="F341" t="inlineStr">
        <is>
          <t>VÄRMLANDS LÄN</t>
        </is>
      </c>
      <c r="G341" t="inlineStr">
        <is>
          <t>HAGFORS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46278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46278</v>
      </c>
      <c r="F343" t="inlineStr">
        <is>
          <t>VÄRMLANDS LÄN</t>
        </is>
      </c>
      <c r="G343" t="inlineStr">
        <is>
          <t>HAGFORS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46278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46278</v>
      </c>
      <c r="F345" t="inlineStr">
        <is>
          <t>VÄRMLANDS LÄN</t>
        </is>
      </c>
      <c r="G345" t="inlineStr">
        <is>
          <t>HAGFORS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46278</v>
      </c>
      <c r="F346" t="inlineStr">
        <is>
          <t>VÄRMLANDS LÄN</t>
        </is>
      </c>
      <c r="G346" t="inlineStr">
        <is>
          <t>HAGFORS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46278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70712-2021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44537</v>
      </c>
      <c r="E348" s="1" t="n">
        <v>46278</v>
      </c>
      <c r="F348" t="inlineStr">
        <is>
          <t>VÄRMLANDS LÄN</t>
        </is>
      </c>
      <c r="G348" t="inlineStr">
        <is>
          <t>HAGFORS</t>
        </is>
      </c>
      <c r="H348" t="inlineStr">
        <is>
          <t>Kommuner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46278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46278</v>
      </c>
      <c r="F350" t="inlineStr">
        <is>
          <t>VÄRMLANDS LÄN</t>
        </is>
      </c>
      <c r="G350" t="inlineStr">
        <is>
          <t>HAGFORS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44571</v>
      </c>
      <c r="E351" s="1" t="n">
        <v>46278</v>
      </c>
      <c r="F351" t="inlineStr">
        <is>
          <t>VÄRMLANDS LÄN</t>
        </is>
      </c>
      <c r="G351" t="inlineStr">
        <is>
          <t>HAGFORS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59047-2025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45988</v>
      </c>
      <c r="E352" s="1" t="n">
        <v>46278</v>
      </c>
      <c r="F352" t="inlineStr">
        <is>
          <t>VÄRMLANDS LÄN</t>
        </is>
      </c>
      <c r="G352" t="inlineStr">
        <is>
          <t>HAGFORS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46126</v>
      </c>
      <c r="E353" s="1" t="n">
        <v>46278</v>
      </c>
      <c r="F353" t="inlineStr">
        <is>
          <t>VÄRMLANDS LÄN</t>
        </is>
      </c>
      <c r="G353" t="inlineStr">
        <is>
          <t>HAGFORS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46278</v>
      </c>
      <c r="F354" t="inlineStr">
        <is>
          <t>VÄRMLANDS LÄN</t>
        </is>
      </c>
      <c r="G354" t="inlineStr">
        <is>
          <t>HAGFORS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46278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62546-2022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44924</v>
      </c>
      <c r="E356" s="1" t="n">
        <v>46278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46128</v>
      </c>
      <c r="E357" s="1" t="n">
        <v>46278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46278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61140-2023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45261</v>
      </c>
      <c r="E359" s="1" t="n">
        <v>46278</v>
      </c>
      <c r="F359" t="inlineStr">
        <is>
          <t>VÄRMLANDS LÄN</t>
        </is>
      </c>
      <c r="G359" t="inlineStr">
        <is>
          <t>HAGFORS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45741</v>
      </c>
      <c r="E360" s="1" t="n">
        <v>46278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18901-2026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46129</v>
      </c>
      <c r="E361" s="1" t="n">
        <v>46278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46278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57359-2022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46278</v>
      </c>
      <c r="F363" t="inlineStr">
        <is>
          <t>VÄRMLANDS LÄN</t>
        </is>
      </c>
      <c r="G363" t="inlineStr">
        <is>
          <t>HAGFORS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44817</v>
      </c>
      <c r="E364" s="1" t="n">
        <v>46278</v>
      </c>
      <c r="F364" t="inlineStr">
        <is>
          <t>VÄRMLANDS LÄN</t>
        </is>
      </c>
      <c r="G364" t="inlineStr">
        <is>
          <t>HAGFORS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46278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44839</v>
      </c>
      <c r="E366" s="1" t="n">
        <v>46278</v>
      </c>
      <c r="F366" t="inlineStr">
        <is>
          <t>VÄRMLANDS LÄN</t>
        </is>
      </c>
      <c r="G366" t="inlineStr">
        <is>
          <t>HAGFORS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46278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46278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46278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46278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46278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46278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19421-2026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46278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46278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60648-2025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45996</v>
      </c>
      <c r="E375" s="1" t="n">
        <v>46278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46278</v>
      </c>
      <c r="F376" t="inlineStr">
        <is>
          <t>VÄRMLANDS LÄN</t>
        </is>
      </c>
      <c r="G376" t="inlineStr">
        <is>
          <t>HAGFORS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46278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45266</v>
      </c>
      <c r="E378" s="1" t="n">
        <v>46278</v>
      </c>
      <c r="F378" t="inlineStr">
        <is>
          <t>VÄRMLANDS LÄN</t>
        </is>
      </c>
      <c r="G378" t="inlineStr">
        <is>
          <t>HAGFORS</t>
        </is>
      </c>
      <c r="I378" t="n">
        <v>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46278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46278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46278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61910-2025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46003</v>
      </c>
      <c r="E382" s="1" t="n">
        <v>46278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46006</v>
      </c>
      <c r="E383" s="1" t="n">
        <v>46278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46278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46278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46006</v>
      </c>
      <c r="E386" s="1" t="n">
        <v>46278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46278</v>
      </c>
      <c r="F387" t="inlineStr">
        <is>
          <t>VÄRMLANDS LÄN</t>
        </is>
      </c>
      <c r="G387" t="inlineStr">
        <is>
          <t>HAGFORS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46278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61843-2025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46003</v>
      </c>
      <c r="E389" s="1" t="n">
        <v>46278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46278</v>
      </c>
      <c r="F390" t="inlineStr">
        <is>
          <t>VÄRMLANDS LÄN</t>
        </is>
      </c>
      <c r="G390" t="inlineStr">
        <is>
          <t>HAGFORS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46278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45772</v>
      </c>
      <c r="E392" s="1" t="n">
        <v>46278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46278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46278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46278</v>
      </c>
      <c r="F395" t="inlineStr">
        <is>
          <t>VÄRMLANDS LÄN</t>
        </is>
      </c>
      <c r="G395" t="inlineStr">
        <is>
          <t>HAGFORS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63301-2025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46278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19554-2024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45429</v>
      </c>
      <c r="E397" s="1" t="n">
        <v>46278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46278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63361-2025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46278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46278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45328</v>
      </c>
      <c r="E401" s="1" t="n">
        <v>46278</v>
      </c>
      <c r="F401" t="inlineStr">
        <is>
          <t>VÄRMLANDS LÄN</t>
        </is>
      </c>
      <c r="G401" t="inlineStr">
        <is>
          <t>HAGFORS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22503-2024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45447</v>
      </c>
      <c r="E402" s="1" t="n">
        <v>46278</v>
      </c>
      <c r="F402" t="inlineStr">
        <is>
          <t>VÄRMLANDS LÄN</t>
        </is>
      </c>
      <c r="G402" t="inlineStr">
        <is>
          <t>HAGFORS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45562</v>
      </c>
      <c r="E403" s="1" t="n">
        <v>46278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46278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45684</v>
      </c>
      <c r="E405" s="1" t="n">
        <v>46278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46278</v>
      </c>
      <c r="F406" t="inlineStr">
        <is>
          <t>VÄRMLANDS LÄN</t>
        </is>
      </c>
      <c r="G406" t="inlineStr">
        <is>
          <t>HAGFORS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45684</v>
      </c>
      <c r="E407" s="1" t="n">
        <v>46278</v>
      </c>
      <c r="F407" t="inlineStr">
        <is>
          <t>VÄRMLANDS LÄN</t>
        </is>
      </c>
      <c r="G407" t="inlineStr">
        <is>
          <t>HAGFORS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63764-2025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46018</v>
      </c>
      <c r="E408" s="1" t="n">
        <v>46278</v>
      </c>
      <c r="F408" t="inlineStr">
        <is>
          <t>VÄRMLANDS LÄN</t>
        </is>
      </c>
      <c r="G408" t="inlineStr">
        <is>
          <t>HAGFORS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63765-2025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46018</v>
      </c>
      <c r="E409" s="1" t="n">
        <v>46278</v>
      </c>
      <c r="F409" t="inlineStr">
        <is>
          <t>VÄRMLANDS LÄN</t>
        </is>
      </c>
      <c r="G409" t="inlineStr">
        <is>
          <t>HAGFORS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46278</v>
      </c>
      <c r="F410" t="inlineStr">
        <is>
          <t>VÄRMLANDS LÄN</t>
        </is>
      </c>
      <c r="G410" t="inlineStr">
        <is>
          <t>HAGFORS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46020</v>
      </c>
      <c r="E411" s="1" t="n">
        <v>46278</v>
      </c>
      <c r="F411" t="inlineStr">
        <is>
          <t>VÄRMLANDS LÄN</t>
        </is>
      </c>
      <c r="G411" t="inlineStr">
        <is>
          <t>HAGFORS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45190</v>
      </c>
      <c r="E412" s="1" t="n">
        <v>46278</v>
      </c>
      <c r="F412" t="inlineStr">
        <is>
          <t>VÄRMLANDS LÄN</t>
        </is>
      </c>
      <c r="G412" t="inlineStr">
        <is>
          <t>HAGFORS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44950</v>
      </c>
      <c r="E413" s="1" t="n">
        <v>46278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44950</v>
      </c>
      <c r="E414" s="1" t="n">
        <v>46278</v>
      </c>
      <c r="F414" t="inlineStr">
        <is>
          <t>VÄRMLANDS LÄN</t>
        </is>
      </c>
      <c r="G414" t="inlineStr">
        <is>
          <t>HAGFORS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45097</v>
      </c>
      <c r="E415" s="1" t="n">
        <v>46278</v>
      </c>
      <c r="F415" t="inlineStr">
        <is>
          <t>VÄRMLANDS LÄN</t>
        </is>
      </c>
      <c r="G415" t="inlineStr">
        <is>
          <t>HAGFORS</t>
        </is>
      </c>
      <c r="H415" t="inlineStr">
        <is>
          <t>Kyrkan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46278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22.7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48807-2025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45937</v>
      </c>
      <c r="E417" s="1" t="n">
        <v>46278</v>
      </c>
      <c r="F417" t="inlineStr">
        <is>
          <t>VÄRMLANDS LÄN</t>
        </is>
      </c>
      <c r="G417" t="inlineStr">
        <is>
          <t>HAGFORS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46278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975-2026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46030</v>
      </c>
      <c r="E419" s="1" t="n">
        <v>46278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65065-2023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45287</v>
      </c>
      <c r="E420" s="1" t="n">
        <v>46278</v>
      </c>
      <c r="F420" t="inlineStr">
        <is>
          <t>VÄRMLANDS LÄN</t>
        </is>
      </c>
      <c r="G420" t="inlineStr">
        <is>
          <t>HAGFORS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58210-2022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44901</v>
      </c>
      <c r="E421" s="1" t="n">
        <v>46278</v>
      </c>
      <c r="F421" t="inlineStr">
        <is>
          <t>VÄRMLANDS LÄN</t>
        </is>
      </c>
      <c r="G421" t="inlineStr">
        <is>
          <t>HAGFORS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45783</v>
      </c>
      <c r="E422" s="1" t="n">
        <v>46278</v>
      </c>
      <c r="F422" t="inlineStr">
        <is>
          <t>VÄRMLANDS LÄN</t>
        </is>
      </c>
      <c r="G422" t="inlineStr">
        <is>
          <t>HAGFORS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46278</v>
      </c>
      <c r="F423" t="inlineStr">
        <is>
          <t>VÄRMLANDS LÄN</t>
        </is>
      </c>
      <c r="G423" t="inlineStr">
        <is>
          <t>HAGFORS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19993-2026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46136</v>
      </c>
      <c r="E424" s="1" t="n">
        <v>46278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46278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25258-2023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45079</v>
      </c>
      <c r="E426" s="1" t="n">
        <v>46278</v>
      </c>
      <c r="F426" t="inlineStr">
        <is>
          <t>VÄRMLANDS LÄN</t>
        </is>
      </c>
      <c r="G426" t="inlineStr">
        <is>
          <t>HAGFORS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45786</v>
      </c>
      <c r="E427" s="1" t="n">
        <v>46278</v>
      </c>
      <c r="F427" t="inlineStr">
        <is>
          <t>VÄRMLANDS LÄN</t>
        </is>
      </c>
      <c r="G427" t="inlineStr">
        <is>
          <t>HAGFORS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46278</v>
      </c>
      <c r="F428" t="inlineStr">
        <is>
          <t>VÄRMLANDS LÄN</t>
        </is>
      </c>
      <c r="G428" t="inlineStr">
        <is>
          <t>HAGFORS</t>
        </is>
      </c>
      <c r="I428" t="n">
        <v>18.2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46278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45519</v>
      </c>
      <c r="E430" s="1" t="n">
        <v>46278</v>
      </c>
      <c r="F430" t="inlineStr">
        <is>
          <t>VÄRMLANDS LÄN</t>
        </is>
      </c>
      <c r="G430" t="inlineStr">
        <is>
          <t>HAGFORS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45847</v>
      </c>
      <c r="E431" s="1" t="n">
        <v>46278</v>
      </c>
      <c r="F431" t="inlineStr">
        <is>
          <t>VÄRMLANDS LÄN</t>
        </is>
      </c>
      <c r="G431" t="inlineStr">
        <is>
          <t>HAGFORS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45489</v>
      </c>
      <c r="E432" s="1" t="n">
        <v>46278</v>
      </c>
      <c r="F432" t="inlineStr">
        <is>
          <t>VÄRMLANDS LÄN</t>
        </is>
      </c>
      <c r="G432" t="inlineStr">
        <is>
          <t>HAGFORS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46278</v>
      </c>
      <c r="F433" t="inlineStr">
        <is>
          <t>VÄRMLANDS LÄN</t>
        </is>
      </c>
      <c r="G433" t="inlineStr">
        <is>
          <t>HAGFORS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46278</v>
      </c>
      <c r="F434" t="inlineStr">
        <is>
          <t>VÄRMLANDS LÄN</t>
        </is>
      </c>
      <c r="G434" t="inlineStr">
        <is>
          <t>HAGFORS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45484</v>
      </c>
      <c r="E435" s="1" t="n">
        <v>46278</v>
      </c>
      <c r="F435" t="inlineStr">
        <is>
          <t>VÄRMLANDS LÄN</t>
        </is>
      </c>
      <c r="G435" t="inlineStr">
        <is>
          <t>HAGFORS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46278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46278</v>
      </c>
      <c r="F437" t="inlineStr">
        <is>
          <t>VÄRMLANDS LÄN</t>
        </is>
      </c>
      <c r="G437" t="inlineStr">
        <is>
          <t>HAGFORS</t>
        </is>
      </c>
      <c r="I437" t="n">
        <v>13.1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46278</v>
      </c>
      <c r="F438" t="inlineStr">
        <is>
          <t>VÄRMLANDS LÄN</t>
        </is>
      </c>
      <c r="G438" t="inlineStr">
        <is>
          <t>HAGFORS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20260-2026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46278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46278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46278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46278</v>
      </c>
      <c r="F442" t="inlineStr">
        <is>
          <t>VÄRMLANDS LÄN</t>
        </is>
      </c>
      <c r="G442" t="inlineStr">
        <is>
          <t>HAGFORS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46049</v>
      </c>
      <c r="E443" s="1" t="n">
        <v>46278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45873</v>
      </c>
      <c r="E444" s="1" t="n">
        <v>46278</v>
      </c>
      <c r="F444" t="inlineStr">
        <is>
          <t>VÄRMLANDS LÄN</t>
        </is>
      </c>
      <c r="G444" t="inlineStr">
        <is>
          <t>HAGFORS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46278</v>
      </c>
      <c r="F445" t="inlineStr">
        <is>
          <t>VÄRMLANDS LÄN</t>
        </is>
      </c>
      <c r="G445" t="inlineStr">
        <is>
          <t>HAGFORS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46278</v>
      </c>
      <c r="F446" t="inlineStr">
        <is>
          <t>VÄRMLANDS LÄN</t>
        </is>
      </c>
      <c r="G446" t="inlineStr">
        <is>
          <t>HAGFORS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24638-2023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45084</v>
      </c>
      <c r="E447" s="1" t="n">
        <v>46278</v>
      </c>
      <c r="F447" t="inlineStr">
        <is>
          <t>VÄRMLANDS LÄN</t>
        </is>
      </c>
      <c r="G447" t="inlineStr">
        <is>
          <t>HAGFORS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46278</v>
      </c>
      <c r="F448" t="inlineStr">
        <is>
          <t>VÄRMLANDS LÄN</t>
        </is>
      </c>
      <c r="G448" t="inlineStr">
        <is>
          <t>HAGFORS</t>
        </is>
      </c>
      <c r="H448" t="inlineStr">
        <is>
          <t>Kyrkan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46278</v>
      </c>
      <c r="F449" t="inlineStr">
        <is>
          <t>VÄRMLANDS LÄN</t>
        </is>
      </c>
      <c r="G449" t="inlineStr">
        <is>
          <t>HAGFORS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46050</v>
      </c>
      <c r="E450" s="1" t="n">
        <v>46278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46278</v>
      </c>
      <c r="F451" t="inlineStr">
        <is>
          <t>VÄRMLANDS LÄN</t>
        </is>
      </c>
      <c r="G451" t="inlineStr">
        <is>
          <t>HAGFORS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44938</v>
      </c>
      <c r="E452" s="1" t="n">
        <v>46278</v>
      </c>
      <c r="F452" t="inlineStr">
        <is>
          <t>VÄRMLANDS LÄN</t>
        </is>
      </c>
      <c r="G452" t="inlineStr">
        <is>
          <t>HAGFORS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45343</v>
      </c>
      <c r="E453" s="1" t="n">
        <v>46278</v>
      </c>
      <c r="F453" t="inlineStr">
        <is>
          <t>VÄRMLANDS LÄN</t>
        </is>
      </c>
      <c r="G453" t="inlineStr">
        <is>
          <t>HAGFORS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46278</v>
      </c>
      <c r="F454" t="inlineStr">
        <is>
          <t>VÄRMLANDS LÄN</t>
        </is>
      </c>
      <c r="G454" t="inlineStr">
        <is>
          <t>HAGFORS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46278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46278</v>
      </c>
      <c r="F456" t="inlineStr">
        <is>
          <t>VÄRMLANDS LÄN</t>
        </is>
      </c>
      <c r="G456" t="inlineStr">
        <is>
          <t>HAGFORS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45475</v>
      </c>
      <c r="E457" s="1" t="n">
        <v>46278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46278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45428</v>
      </c>
      <c r="E459" s="1" t="n">
        <v>46278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19.5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46278</v>
      </c>
      <c r="F460" t="inlineStr">
        <is>
          <t>VÄRMLANDS LÄN</t>
        </is>
      </c>
      <c r="G460" t="inlineStr">
        <is>
          <t>HAGFORS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45335</v>
      </c>
      <c r="E461" s="1" t="n">
        <v>46278</v>
      </c>
      <c r="F461" t="inlineStr">
        <is>
          <t>VÄRMLANDS LÄN</t>
        </is>
      </c>
      <c r="G461" t="inlineStr">
        <is>
          <t>HAGFORS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17305-2023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45035</v>
      </c>
      <c r="E462" s="1" t="n">
        <v>46278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46278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44567</v>
      </c>
      <c r="E464" s="1" t="n">
        <v>46278</v>
      </c>
      <c r="F464" t="inlineStr">
        <is>
          <t>VÄRMLANDS LÄN</t>
        </is>
      </c>
      <c r="G464" t="inlineStr">
        <is>
          <t>HAGFORS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46278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10236-2022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44622</v>
      </c>
      <c r="E466" s="1" t="n">
        <v>46278</v>
      </c>
      <c r="F466" t="inlineStr">
        <is>
          <t>VÄRMLANDS LÄN</t>
        </is>
      </c>
      <c r="G466" t="inlineStr">
        <is>
          <t>HAGFORS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10297-2025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45720</v>
      </c>
      <c r="E467" s="1" t="n">
        <v>46278</v>
      </c>
      <c r="F467" t="inlineStr">
        <is>
          <t>VÄRMLANDS LÄN</t>
        </is>
      </c>
      <c r="G467" t="inlineStr">
        <is>
          <t>HAGFORS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45469</v>
      </c>
      <c r="E468" s="1" t="n">
        <v>46278</v>
      </c>
      <c r="F468" t="inlineStr">
        <is>
          <t>VÄRMLANDS LÄN</t>
        </is>
      </c>
      <c r="G468" t="inlineStr">
        <is>
          <t>HAGFORS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46278</v>
      </c>
      <c r="F469" t="inlineStr">
        <is>
          <t>VÄRMLANDS LÄN</t>
        </is>
      </c>
      <c r="G469" t="inlineStr">
        <is>
          <t>HAGFORS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12778-2025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46278</v>
      </c>
      <c r="F470" t="inlineStr">
        <is>
          <t>VÄRMLANDS LÄN</t>
        </is>
      </c>
      <c r="G470" t="inlineStr">
        <is>
          <t>HAGFORS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45175</v>
      </c>
      <c r="E471" s="1" t="n">
        <v>46278</v>
      </c>
      <c r="F471" t="inlineStr">
        <is>
          <t>VÄRMLANDS LÄN</t>
        </is>
      </c>
      <c r="G471" t="inlineStr">
        <is>
          <t>HAGFORS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34281-2025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45846</v>
      </c>
      <c r="E472" s="1" t="n">
        <v>46278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46278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46278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46278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44915</v>
      </c>
      <c r="E476" s="1" t="n">
        <v>46278</v>
      </c>
      <c r="F476" t="inlineStr">
        <is>
          <t>VÄRMLANDS LÄN</t>
        </is>
      </c>
      <c r="G476" t="inlineStr">
        <is>
          <t>HAGFORS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68252-2021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44526</v>
      </c>
      <c r="E477" s="1" t="n">
        <v>46278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20752-2026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46141</v>
      </c>
      <c r="E478" s="1" t="n">
        <v>46278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20729-2026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46278</v>
      </c>
      <c r="F479" t="inlineStr">
        <is>
          <t>VÄRMLANDS LÄN</t>
        </is>
      </c>
      <c r="G479" t="inlineStr">
        <is>
          <t>HAGFORS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20880-2026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46142</v>
      </c>
      <c r="E480" s="1" t="n">
        <v>46278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46278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45769</v>
      </c>
      <c r="E482" s="1" t="n">
        <v>46278</v>
      </c>
      <c r="F482" t="inlineStr">
        <is>
          <t>VÄRMLANDS LÄN</t>
        </is>
      </c>
      <c r="G482" t="inlineStr">
        <is>
          <t>HAGFORS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46278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45547</v>
      </c>
      <c r="E484" s="1" t="n">
        <v>46278</v>
      </c>
      <c r="F484" t="inlineStr">
        <is>
          <t>VÄRMLANDS LÄN</t>
        </is>
      </c>
      <c r="G484" t="inlineStr">
        <is>
          <t>HAGFORS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45145</v>
      </c>
      <c r="E485" s="1" t="n">
        <v>46278</v>
      </c>
      <c r="F485" t="inlineStr">
        <is>
          <t>VÄRMLANDS LÄN</t>
        </is>
      </c>
      <c r="G485" t="inlineStr">
        <is>
          <t>HAGFORS</t>
        </is>
      </c>
      <c r="I485" t="n">
        <v>13.5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45526</v>
      </c>
      <c r="E486" s="1" t="n">
        <v>46278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46278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46278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57162-2024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45629</v>
      </c>
      <c r="E489" s="1" t="n">
        <v>46278</v>
      </c>
      <c r="F489" t="inlineStr">
        <is>
          <t>VÄRMLANDS LÄN</t>
        </is>
      </c>
      <c r="G489" t="inlineStr">
        <is>
          <t>HAGFORS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46278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46278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40692-2022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44824</v>
      </c>
      <c r="E492" s="1" t="n">
        <v>46278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52083-2024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45608</v>
      </c>
      <c r="E493" s="1" t="n">
        <v>46278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45582</v>
      </c>
      <c r="E494" s="1" t="n">
        <v>46278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46150</v>
      </c>
      <c r="E495" s="1" t="n">
        <v>46278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43998-2024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46278</v>
      </c>
      <c r="F496" t="inlineStr">
        <is>
          <t>VÄRMLANDS LÄN</t>
        </is>
      </c>
      <c r="G496" t="inlineStr">
        <is>
          <t>HAGFORS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46278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45638</v>
      </c>
      <c r="E498" s="1" t="n">
        <v>46278</v>
      </c>
      <c r="F498" t="inlineStr">
        <is>
          <t>VÄRMLANDS LÄN</t>
        </is>
      </c>
      <c r="G498" t="inlineStr">
        <is>
          <t>HAGFORS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46278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44603</v>
      </c>
      <c r="E500" s="1" t="n">
        <v>46278</v>
      </c>
      <c r="F500" t="inlineStr">
        <is>
          <t>VÄRMLANDS LÄN</t>
        </is>
      </c>
      <c r="G500" t="inlineStr">
        <is>
          <t>HAGFORS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21762-2026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46150</v>
      </c>
      <c r="E501" s="1" t="n">
        <v>46278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44596</v>
      </c>
      <c r="E502" s="1" t="n">
        <v>46278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46278</v>
      </c>
      <c r="F503" t="inlineStr">
        <is>
          <t>VÄRMLANDS LÄN</t>
        </is>
      </c>
      <c r="G503" t="inlineStr">
        <is>
          <t>HAGFORS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41092-2024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45559</v>
      </c>
      <c r="E504" s="1" t="n">
        <v>46278</v>
      </c>
      <c r="F504" t="inlineStr">
        <is>
          <t>VÄRMLANDS LÄN</t>
        </is>
      </c>
      <c r="G504" t="inlineStr">
        <is>
          <t>HAGFORS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46278</v>
      </c>
      <c r="F505" t="inlineStr">
        <is>
          <t>VÄRMLANDS LÄN</t>
        </is>
      </c>
      <c r="G505" t="inlineStr">
        <is>
          <t>HAGFORS</t>
        </is>
      </c>
      <c r="H505" t="inlineStr">
        <is>
          <t>Kyrkan</t>
        </is>
      </c>
      <c r="I505" t="n">
        <v>8.800000000000001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45069</v>
      </c>
      <c r="E506" s="1" t="n">
        <v>46278</v>
      </c>
      <c r="F506" t="inlineStr">
        <is>
          <t>VÄRMLANDS LÄN</t>
        </is>
      </c>
      <c r="G506" t="inlineStr">
        <is>
          <t>HAGFORS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60582-2024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46278</v>
      </c>
      <c r="F507" t="inlineStr">
        <is>
          <t>VÄRMLANDS LÄN</t>
        </is>
      </c>
      <c r="G507" t="inlineStr">
        <is>
          <t>HAGFORS</t>
        </is>
      </c>
      <c r="H507" t="inlineStr">
        <is>
          <t>Kyrkan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8129-2024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45351</v>
      </c>
      <c r="E508" s="1" t="n">
        <v>46278</v>
      </c>
      <c r="F508" t="inlineStr">
        <is>
          <t>VÄRMLANDS LÄN</t>
        </is>
      </c>
      <c r="G508" t="inlineStr">
        <is>
          <t>HAGFORS</t>
        </is>
      </c>
      <c r="H508" t="inlineStr">
        <is>
          <t>Kyrkan</t>
        </is>
      </c>
      <c r="I508" t="n">
        <v>10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31657-2024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45506</v>
      </c>
      <c r="E509" s="1" t="n">
        <v>46278</v>
      </c>
      <c r="F509" t="inlineStr">
        <is>
          <t>VÄRMLANDS LÄN</t>
        </is>
      </c>
      <c r="G509" t="inlineStr">
        <is>
          <t>HAGFORS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46278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60991-2024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46278</v>
      </c>
      <c r="F511" t="inlineStr">
        <is>
          <t>VÄRMLANDS LÄN</t>
        </is>
      </c>
      <c r="G511" t="inlineStr">
        <is>
          <t>HAGFORS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15886-2022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44664</v>
      </c>
      <c r="E512" s="1" t="n">
        <v>46278</v>
      </c>
      <c r="F512" t="inlineStr">
        <is>
          <t>VÄRMLANDS LÄN</t>
        </is>
      </c>
      <c r="G512" t="inlineStr">
        <is>
          <t>HAGFORS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46278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46278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45659</v>
      </c>
      <c r="E515" s="1" t="n">
        <v>46278</v>
      </c>
      <c r="F515" t="inlineStr">
        <is>
          <t>VÄRMLANDS LÄN</t>
        </is>
      </c>
      <c r="G515" t="inlineStr">
        <is>
          <t>HAGFORS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46278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46278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46278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46278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45055</v>
      </c>
      <c r="E520" s="1" t="n">
        <v>46278</v>
      </c>
      <c r="F520" t="inlineStr">
        <is>
          <t>VÄRMLANDS LÄN</t>
        </is>
      </c>
      <c r="G520" t="inlineStr">
        <is>
          <t>HAGFORS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46278</v>
      </c>
      <c r="F521" t="inlineStr">
        <is>
          <t>VÄRMLANDS LÄN</t>
        </is>
      </c>
      <c r="G521" t="inlineStr">
        <is>
          <t>HAGFORS</t>
        </is>
      </c>
      <c r="H521" t="inlineStr">
        <is>
          <t>Kyrkan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46278</v>
      </c>
      <c r="F522" t="inlineStr">
        <is>
          <t>VÄRMLANDS LÄN</t>
        </is>
      </c>
      <c r="G522" t="inlineStr">
        <is>
          <t>HAGFORS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22925-2026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46160</v>
      </c>
      <c r="E523" s="1" t="n">
        <v>46278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45232</v>
      </c>
      <c r="E524" s="1" t="n">
        <v>46278</v>
      </c>
      <c r="F524" t="inlineStr">
        <is>
          <t>VÄRMLANDS LÄN</t>
        </is>
      </c>
      <c r="G524" t="inlineStr">
        <is>
          <t>HAGFORS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32627-2023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46278</v>
      </c>
      <c r="F525" t="inlineStr">
        <is>
          <t>VÄRMLANDS LÄN</t>
        </is>
      </c>
      <c r="G525" t="inlineStr">
        <is>
          <t>HAGFORS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45716</v>
      </c>
      <c r="E526" s="1" t="n">
        <v>46278</v>
      </c>
      <c r="F526" t="inlineStr">
        <is>
          <t>VÄRMLANDS LÄN</t>
        </is>
      </c>
      <c r="G526" t="inlineStr">
        <is>
          <t>HAGFORS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52924-2023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45226</v>
      </c>
      <c r="E527" s="1" t="n">
        <v>46278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45385</v>
      </c>
      <c r="E528" s="1" t="n">
        <v>46278</v>
      </c>
      <c r="F528" t="inlineStr">
        <is>
          <t>VÄRMLANDS LÄN</t>
        </is>
      </c>
      <c r="G528" t="inlineStr">
        <is>
          <t>HAGFORS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46278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46278</v>
      </c>
      <c r="F530" t="inlineStr">
        <is>
          <t>VÄRMLANDS LÄN</t>
        </is>
      </c>
      <c r="G530" t="inlineStr">
        <is>
          <t>HAGFORS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8496-2022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44613</v>
      </c>
      <c r="E531" s="1" t="n">
        <v>46278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45679</v>
      </c>
      <c r="E532" s="1" t="n">
        <v>46278</v>
      </c>
      <c r="F532" t="inlineStr">
        <is>
          <t>VÄRMLANDS LÄN</t>
        </is>
      </c>
      <c r="G532" t="inlineStr">
        <is>
          <t>HAGFORS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46278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46278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46278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45692</v>
      </c>
      <c r="E536" s="1" t="n">
        <v>46278</v>
      </c>
      <c r="F536" t="inlineStr">
        <is>
          <t>VÄRMLANDS LÄN</t>
        </is>
      </c>
      <c r="G536" t="inlineStr">
        <is>
          <t>HAGFORS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23549-2026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46278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23728-2026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46164</v>
      </c>
      <c r="E538" s="1" t="n">
        <v>46278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44638</v>
      </c>
      <c r="E539" s="1" t="n">
        <v>46278</v>
      </c>
      <c r="F539" t="inlineStr">
        <is>
          <t>VÄRMLANDS LÄN</t>
        </is>
      </c>
      <c r="G539" t="inlineStr">
        <is>
          <t>HAGFORS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45502</v>
      </c>
      <c r="E540" s="1" t="n">
        <v>46278</v>
      </c>
      <c r="F540" t="inlineStr">
        <is>
          <t>VÄRMLANDS LÄN</t>
        </is>
      </c>
      <c r="G540" t="inlineStr">
        <is>
          <t>HAGFORS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46164</v>
      </c>
      <c r="E541" s="1" t="n">
        <v>46278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45947</v>
      </c>
      <c r="E542" s="1" t="n">
        <v>46278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8.9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46278</v>
      </c>
      <c r="F543" t="inlineStr">
        <is>
          <t>VÄRMLANDS LÄN</t>
        </is>
      </c>
      <c r="G543" t="inlineStr">
        <is>
          <t>HAGFORS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45869</v>
      </c>
      <c r="E544" s="1" t="n">
        <v>46278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45703</v>
      </c>
      <c r="E545" s="1" t="n">
        <v>46278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15.9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45831</v>
      </c>
      <c r="E546" s="1" t="n">
        <v>46278</v>
      </c>
      <c r="F546" t="inlineStr">
        <is>
          <t>VÄRMLANDS LÄN</t>
        </is>
      </c>
      <c r="G546" t="inlineStr">
        <is>
          <t>HAGFORS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45148</v>
      </c>
      <c r="E547" s="1" t="n">
        <v>46278</v>
      </c>
      <c r="F547" t="inlineStr">
        <is>
          <t>VÄRMLANDS LÄN</t>
        </is>
      </c>
      <c r="G547" t="inlineStr">
        <is>
          <t>HAGFORS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46278</v>
      </c>
      <c r="F548" t="inlineStr">
        <is>
          <t>VÄRMLANDS LÄN</t>
        </is>
      </c>
      <c r="G548" t="inlineStr">
        <is>
          <t>HAGFORS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18699-2022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44687</v>
      </c>
      <c r="E549" s="1" t="n">
        <v>46278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45831</v>
      </c>
      <c r="E550" s="1" t="n">
        <v>46278</v>
      </c>
      <c r="F550" t="inlineStr">
        <is>
          <t>VÄRMLANDS LÄN</t>
        </is>
      </c>
      <c r="G550" t="inlineStr">
        <is>
          <t>HAGFORS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46278</v>
      </c>
      <c r="F551" t="inlineStr">
        <is>
          <t>VÄRMLANDS LÄN</t>
        </is>
      </c>
      <c r="G551" t="inlineStr">
        <is>
          <t>HAGFORS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24238-2026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46278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46278</v>
      </c>
      <c r="F553" t="inlineStr">
        <is>
          <t>VÄRMLANDS LÄN</t>
        </is>
      </c>
      <c r="G553" t="inlineStr">
        <is>
          <t>HAGFORS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24625-2026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46278</v>
      </c>
      <c r="F554" t="inlineStr">
        <is>
          <t>VÄRMLANDS LÄN</t>
        </is>
      </c>
      <c r="G554" t="inlineStr">
        <is>
          <t>HAGFORS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45684</v>
      </c>
      <c r="E555" s="1" t="n">
        <v>46278</v>
      </c>
      <c r="F555" t="inlineStr">
        <is>
          <t>VÄRMLANDS LÄN</t>
        </is>
      </c>
      <c r="G555" t="inlineStr">
        <is>
          <t>HAGFORS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24699-2026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46171</v>
      </c>
      <c r="E556" s="1" t="n">
        <v>46278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46278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46278</v>
      </c>
      <c r="F558" t="inlineStr">
        <is>
          <t>VÄRMLANDS LÄN</t>
        </is>
      </c>
      <c r="G558" t="inlineStr">
        <is>
          <t>HAGFORS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24761-2026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46171</v>
      </c>
      <c r="E559" s="1" t="n">
        <v>46278</v>
      </c>
      <c r="F559" t="inlineStr">
        <is>
          <t>VÄRMLANDS LÄN</t>
        </is>
      </c>
      <c r="G559" t="inlineStr">
        <is>
          <t>HAGFORS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40835-2023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45172</v>
      </c>
      <c r="E560" s="1" t="n">
        <v>46278</v>
      </c>
      <c r="F560" t="inlineStr">
        <is>
          <t>VÄRMLANDS LÄN</t>
        </is>
      </c>
      <c r="G560" t="inlineStr">
        <is>
          <t>HAGFORS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52224-2023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45224</v>
      </c>
      <c r="E561" s="1" t="n">
        <v>46278</v>
      </c>
      <c r="F561" t="inlineStr">
        <is>
          <t>VÄRMLANDS LÄN</t>
        </is>
      </c>
      <c r="G561" t="inlineStr">
        <is>
          <t>HAGFORS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24628-2026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46171</v>
      </c>
      <c r="E562" s="1" t="n">
        <v>46278</v>
      </c>
      <c r="F562" t="inlineStr">
        <is>
          <t>VÄRMLANDS LÄN</t>
        </is>
      </c>
      <c r="G562" t="inlineStr">
        <is>
          <t>HAGFORS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24626-2026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46171</v>
      </c>
      <c r="E563" s="1" t="n">
        <v>46278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24677-2026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46278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9474-2025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45715</v>
      </c>
      <c r="E565" s="1" t="n">
        <v>46278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18907-2025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45764</v>
      </c>
      <c r="E566" s="1" t="n">
        <v>46278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24862-2026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46278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9.699999999999999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46278</v>
      </c>
      <c r="F568" t="inlineStr">
        <is>
          <t>VÄRMLANDS LÄN</t>
        </is>
      </c>
      <c r="G568" t="inlineStr">
        <is>
          <t>HAGFORS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46278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46278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46278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25583-2026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46278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61232-2024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45645</v>
      </c>
      <c r="E573" s="1" t="n">
        <v>46278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46278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64155-2023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45279</v>
      </c>
      <c r="E575" s="1" t="n">
        <v>46278</v>
      </c>
      <c r="F575" t="inlineStr">
        <is>
          <t>VÄRMLANDS LÄN</t>
        </is>
      </c>
      <c r="G575" t="inlineStr">
        <is>
          <t>HAGFORS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46278</v>
      </c>
      <c r="F576" t="inlineStr">
        <is>
          <t>VÄRMLANDS LÄN</t>
        </is>
      </c>
      <c r="G576" t="inlineStr">
        <is>
          <t>HAGFORS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14464-2025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46278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26012-2026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46278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46278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46278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46278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46182</v>
      </c>
      <c r="E582" s="1" t="n">
        <v>46278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46278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46278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58437-2023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45250</v>
      </c>
      <c r="E585" s="1" t="n">
        <v>46278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45723</v>
      </c>
      <c r="E586" s="1" t="n">
        <v>46278</v>
      </c>
      <c r="F586" t="inlineStr">
        <is>
          <t>VÄRMLANDS LÄN</t>
        </is>
      </c>
      <c r="G586" t="inlineStr">
        <is>
          <t>HAGFORS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45725</v>
      </c>
      <c r="E587" s="1" t="n">
        <v>46278</v>
      </c>
      <c r="F587" t="inlineStr">
        <is>
          <t>VÄRMLANDS LÄN</t>
        </is>
      </c>
      <c r="G587" t="inlineStr">
        <is>
          <t>HAGFORS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26740-2026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46184</v>
      </c>
      <c r="E588" s="1" t="n">
        <v>46278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46278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18.2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46278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46278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30710-2022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44763</v>
      </c>
      <c r="E592" s="1" t="n">
        <v>46278</v>
      </c>
      <c r="F592" t="inlineStr">
        <is>
          <t>VÄRMLANDS LÄN</t>
        </is>
      </c>
      <c r="G592" t="inlineStr">
        <is>
          <t>HAGFORS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46278</v>
      </c>
      <c r="F593" t="inlineStr">
        <is>
          <t>VÄRMLANDS LÄN</t>
        </is>
      </c>
      <c r="G593" t="inlineStr">
        <is>
          <t>HAGFORS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45310</v>
      </c>
      <c r="E594" s="1" t="n">
        <v>46278</v>
      </c>
      <c r="F594" t="inlineStr">
        <is>
          <t>VÄRMLANDS LÄN</t>
        </is>
      </c>
      <c r="G594" t="inlineStr">
        <is>
          <t>HAGFORS</t>
        </is>
      </c>
      <c r="H594" t="inlineStr">
        <is>
          <t>Kyrkan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27306-2026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46278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46278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46278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46278</v>
      </c>
      <c r="F598" t="inlineStr">
        <is>
          <t>VÄRMLANDS LÄN</t>
        </is>
      </c>
      <c r="G598" t="inlineStr">
        <is>
          <t>HAGFORS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49585-2023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46278</v>
      </c>
      <c r="F599" t="inlineStr">
        <is>
          <t>VÄRMLANDS LÄN</t>
        </is>
      </c>
      <c r="G599" t="inlineStr">
        <is>
          <t>HAGFORS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45087</v>
      </c>
      <c r="E600" s="1" t="n">
        <v>46278</v>
      </c>
      <c r="F600" t="inlineStr">
        <is>
          <t>VÄRMLANDS LÄN</t>
        </is>
      </c>
      <c r="G600" t="inlineStr">
        <is>
          <t>HAGFORS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45264</v>
      </c>
      <c r="E601" s="1" t="n">
        <v>46278</v>
      </c>
      <c r="F601" t="inlineStr">
        <is>
          <t>VÄRMLANDS LÄN</t>
        </is>
      </c>
      <c r="G601" t="inlineStr">
        <is>
          <t>HAGFORS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5482-2022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44595</v>
      </c>
      <c r="E602" s="1" t="n">
        <v>46278</v>
      </c>
      <c r="F602" t="inlineStr">
        <is>
          <t>VÄRMLANDS LÄN</t>
        </is>
      </c>
      <c r="G602" t="inlineStr">
        <is>
          <t>HAGFORS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27280-2026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46278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46189</v>
      </c>
      <c r="E604" s="1" t="n">
        <v>46278</v>
      </c>
      <c r="F604" t="inlineStr">
        <is>
          <t>VÄRMLANDS LÄN</t>
        </is>
      </c>
      <c r="G604" t="inlineStr">
        <is>
          <t>HAGFORS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27929-2026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46191</v>
      </c>
      <c r="E605" s="1" t="n">
        <v>46278</v>
      </c>
      <c r="F605" t="inlineStr">
        <is>
          <t>VÄRMLANDS LÄN</t>
        </is>
      </c>
      <c r="G605" t="inlineStr">
        <is>
          <t>HAGFORS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30327-2022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44760</v>
      </c>
      <c r="E606" s="1" t="n">
        <v>46278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27799-2026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46191</v>
      </c>
      <c r="E607" s="1" t="n">
        <v>46278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45618</v>
      </c>
      <c r="E608" s="1" t="n">
        <v>46278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46278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44776</v>
      </c>
      <c r="E610" s="1" t="n">
        <v>46278</v>
      </c>
      <c r="F610" t="inlineStr">
        <is>
          <t>VÄRMLANDS LÄN</t>
        </is>
      </c>
      <c r="G610" t="inlineStr">
        <is>
          <t>HAGFORS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46278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45625</v>
      </c>
      <c r="E612" s="1" t="n">
        <v>46278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2317-2025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45673</v>
      </c>
      <c r="E613" s="1" t="n">
        <v>46278</v>
      </c>
      <c r="F613" t="inlineStr">
        <is>
          <t>VÄRMLANDS LÄN</t>
        </is>
      </c>
      <c r="G613" t="inlineStr">
        <is>
          <t>HAGFORS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45476</v>
      </c>
      <c r="E614" s="1" t="n">
        <v>46278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36206-2024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45534</v>
      </c>
      <c r="E615" s="1" t="n">
        <v>46278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31812-2024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45509</v>
      </c>
      <c r="E616" s="1" t="n">
        <v>46278</v>
      </c>
      <c r="F616" t="inlineStr">
        <is>
          <t>VÄRMLANDS LÄN</t>
        </is>
      </c>
      <c r="G616" t="inlineStr">
        <is>
          <t>HAGFORS</t>
        </is>
      </c>
      <c r="H616" t="inlineStr">
        <is>
          <t>Kommuner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32535-2026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46278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42150-2024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46278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60178-2023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45258</v>
      </c>
      <c r="E619" s="1" t="n">
        <v>46278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46239</v>
      </c>
      <c r="E620" s="1" t="n">
        <v>46278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19.3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32507-2026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46239</v>
      </c>
      <c r="E621" s="1" t="n">
        <v>46278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46239</v>
      </c>
      <c r="E622" s="1" t="n">
        <v>46278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28788-2026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46278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15270-2024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45400</v>
      </c>
      <c r="E624" s="1" t="n">
        <v>46278</v>
      </c>
      <c r="F624" t="inlineStr">
        <is>
          <t>VÄRMLANDS LÄN</t>
        </is>
      </c>
      <c r="G624" t="inlineStr">
        <is>
          <t>HAGFORS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46278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46241</v>
      </c>
      <c r="E626" s="1" t="n">
        <v>46278</v>
      </c>
      <c r="F626" t="inlineStr">
        <is>
          <t>VÄRMLANDS LÄN</t>
        </is>
      </c>
      <c r="G626" t="inlineStr">
        <is>
          <t>HAGFORS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46278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7.5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8304-2022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44610</v>
      </c>
      <c r="E628" s="1" t="n">
        <v>46278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55447-2022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44887</v>
      </c>
      <c r="E629" s="1" t="n">
        <v>46278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46278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44953</v>
      </c>
      <c r="E631" s="1" t="n">
        <v>46278</v>
      </c>
      <c r="F631" t="inlineStr">
        <is>
          <t>VÄRMLANDS LÄN</t>
        </is>
      </c>
      <c r="G631" t="inlineStr">
        <is>
          <t>HAGFORS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44951</v>
      </c>
      <c r="E632" s="1" t="n">
        <v>46278</v>
      </c>
      <c r="F632" t="inlineStr">
        <is>
          <t>VÄRMLANDS LÄN</t>
        </is>
      </c>
      <c r="G632" t="inlineStr">
        <is>
          <t>HAGFORS</t>
        </is>
      </c>
      <c r="H632" t="inlineStr">
        <is>
          <t>Kommuner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32712-2026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46278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28748-2026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46278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13850-2022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44649</v>
      </c>
      <c r="E635" s="1" t="n">
        <v>46278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46200</v>
      </c>
      <c r="E636" s="1" t="n">
        <v>46278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61902-2021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44502</v>
      </c>
      <c r="E637" s="1" t="n">
        <v>46278</v>
      </c>
      <c r="F637" t="inlineStr">
        <is>
          <t>VÄRMLANDS LÄN</t>
        </is>
      </c>
      <c r="G637" t="inlineStr">
        <is>
          <t>HAGFORS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46200</v>
      </c>
      <c r="E638" s="1" t="n">
        <v>46278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46245</v>
      </c>
      <c r="E639" s="1" t="n">
        <v>46278</v>
      </c>
      <c r="F639" t="inlineStr">
        <is>
          <t>VÄRMLANDS LÄN</t>
        </is>
      </c>
      <c r="G639" t="inlineStr">
        <is>
          <t>HAGFORS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58307-2023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45250</v>
      </c>
      <c r="E640" s="1" t="n">
        <v>46278</v>
      </c>
      <c r="F640" t="inlineStr">
        <is>
          <t>VÄRMLANDS LÄN</t>
        </is>
      </c>
      <c r="G640" t="inlineStr">
        <is>
          <t>HAGFORS</t>
        </is>
      </c>
      <c r="H640" t="inlineStr">
        <is>
          <t>Kommuner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11104-2022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44628</v>
      </c>
      <c r="E641" s="1" t="n">
        <v>46278</v>
      </c>
      <c r="F641" t="inlineStr">
        <is>
          <t>VÄRMLANDS LÄN</t>
        </is>
      </c>
      <c r="G641" t="inlineStr">
        <is>
          <t>HAGFORS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39396-2023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45166</v>
      </c>
      <c r="E642" s="1" t="n">
        <v>46278</v>
      </c>
      <c r="F642" t="inlineStr">
        <is>
          <t>VÄRMLANDS LÄN</t>
        </is>
      </c>
      <c r="G642" t="inlineStr">
        <is>
          <t>HAGFORS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46203</v>
      </c>
      <c r="E643" s="1" t="n">
        <v>46278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46278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46278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46278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29400-2026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46203</v>
      </c>
      <c r="E647" s="1" t="n">
        <v>46278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27855-2026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46191</v>
      </c>
      <c r="E648" s="1" t="n">
        <v>46278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46278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9.6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60664-2023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45259</v>
      </c>
      <c r="E650" s="1" t="n">
        <v>46278</v>
      </c>
      <c r="F650" t="inlineStr">
        <is>
          <t>VÄRMLANDS LÄN</t>
        </is>
      </c>
      <c r="G650" t="inlineStr">
        <is>
          <t>HAGFORS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46248</v>
      </c>
      <c r="E651" s="1" t="n">
        <v>46278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33515-2026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46248</v>
      </c>
      <c r="E652" s="1" t="n">
        <v>46278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46278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8820-2024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46278</v>
      </c>
      <c r="F654" t="inlineStr">
        <is>
          <t>VÄRMLANDS LÄN</t>
        </is>
      </c>
      <c r="G654" t="inlineStr">
        <is>
          <t>HAGFORS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33635-2026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46248</v>
      </c>
      <c r="E655" s="1" t="n">
        <v>46278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44566</v>
      </c>
      <c r="E656" s="1" t="n">
        <v>46278</v>
      </c>
      <c r="F656" t="inlineStr">
        <is>
          <t>VÄRMLANDS LÄN</t>
        </is>
      </c>
      <c r="G656" t="inlineStr">
        <is>
          <t>HAGFORS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46278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59048-2022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44903</v>
      </c>
      <c r="E658" s="1" t="n">
        <v>46278</v>
      </c>
      <c r="F658" t="inlineStr">
        <is>
          <t>VÄRMLANDS LÄN</t>
        </is>
      </c>
      <c r="G658" t="inlineStr">
        <is>
          <t>HAGFORS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30153-2026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46278</v>
      </c>
      <c r="F659" t="inlineStr">
        <is>
          <t>VÄRMLANDS LÄN</t>
        </is>
      </c>
      <c r="G659" t="inlineStr">
        <is>
          <t>HAGFORS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29372-2023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45106</v>
      </c>
      <c r="E660" s="1" t="n">
        <v>46278</v>
      </c>
      <c r="F660" t="inlineStr">
        <is>
          <t>VÄRMLANDS LÄN</t>
        </is>
      </c>
      <c r="G660" t="inlineStr">
        <is>
          <t>HAGFORS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46278</v>
      </c>
      <c r="F661" t="inlineStr">
        <is>
          <t>VÄRMLANDS LÄN</t>
        </is>
      </c>
      <c r="G661" t="inlineStr">
        <is>
          <t>HAGFORS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60221-2023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45258</v>
      </c>
      <c r="E662" s="1" t="n">
        <v>46278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46278</v>
      </c>
      <c r="F663" t="inlineStr">
        <is>
          <t>VÄRMLANDS LÄN</t>
        </is>
      </c>
      <c r="G663" t="inlineStr">
        <is>
          <t>HAGFORS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34541-2024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45525</v>
      </c>
      <c r="E664" s="1" t="n">
        <v>46278</v>
      </c>
      <c r="F664" t="inlineStr">
        <is>
          <t>VÄRMLANDS LÄN</t>
        </is>
      </c>
      <c r="G664" t="inlineStr">
        <is>
          <t>HAGFORS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45147</v>
      </c>
      <c r="E665" s="1" t="n">
        <v>46278</v>
      </c>
      <c r="F665" t="inlineStr">
        <is>
          <t>VÄRMLANDS LÄN</t>
        </is>
      </c>
      <c r="G665" t="inlineStr">
        <is>
          <t>HAGFORS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46190-2024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46278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34014-2026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46252</v>
      </c>
      <c r="E667" s="1" t="n">
        <v>46278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45678</v>
      </c>
      <c r="E668" s="1" t="n">
        <v>46278</v>
      </c>
      <c r="F668" t="inlineStr">
        <is>
          <t>VÄRMLANDS LÄN</t>
        </is>
      </c>
      <c r="G668" t="inlineStr">
        <is>
          <t>HAGFORS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30141-2026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46206</v>
      </c>
      <c r="E669" s="1" t="n">
        <v>46278</v>
      </c>
      <c r="F669" t="inlineStr">
        <is>
          <t>VÄRMLANDS LÄN</t>
        </is>
      </c>
      <c r="G669" t="inlineStr">
        <is>
          <t>HAGFORS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45470</v>
      </c>
      <c r="E670" s="1" t="n">
        <v>46278</v>
      </c>
      <c r="F670" t="inlineStr">
        <is>
          <t>VÄRMLANDS LÄN</t>
        </is>
      </c>
      <c r="G670" t="inlineStr">
        <is>
          <t>HAGFORS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29950-2026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46205</v>
      </c>
      <c r="E671" s="1" t="n">
        <v>46278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33833-2026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46251</v>
      </c>
      <c r="E672" s="1" t="n">
        <v>46278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46278</v>
      </c>
      <c r="F673" t="inlineStr">
        <is>
          <t>VÄRMLANDS LÄN</t>
        </is>
      </c>
      <c r="G673" t="inlineStr">
        <is>
          <t>HAGFORS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46278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11367-2025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45726</v>
      </c>
      <c r="E675" s="1" t="n">
        <v>46278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46208-2023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45196</v>
      </c>
      <c r="E676" s="1" t="n">
        <v>46278</v>
      </c>
      <c r="F676" t="inlineStr">
        <is>
          <t>VÄRMLANDS LÄN</t>
        </is>
      </c>
      <c r="G676" t="inlineStr">
        <is>
          <t>HAGFORS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46278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46278</v>
      </c>
      <c r="F678" t="inlineStr">
        <is>
          <t>VÄRMLANDS LÄN</t>
        </is>
      </c>
      <c r="G678" t="inlineStr">
        <is>
          <t>HAGFORS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4279-2024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45324</v>
      </c>
      <c r="E679" s="1" t="n">
        <v>46278</v>
      </c>
      <c r="F679" t="inlineStr">
        <is>
          <t>VÄRMLANDS LÄN</t>
        </is>
      </c>
      <c r="G679" t="inlineStr">
        <is>
          <t>HAGFORS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34399-2026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46254</v>
      </c>
      <c r="E680" s="1" t="n">
        <v>46278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52378-2021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44465</v>
      </c>
      <c r="E681" s="1" t="n">
        <v>46278</v>
      </c>
      <c r="F681" t="inlineStr">
        <is>
          <t>VÄRMLANDS LÄN</t>
        </is>
      </c>
      <c r="G681" t="inlineStr">
        <is>
          <t>HAGFORS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46258</v>
      </c>
      <c r="E682" s="1" t="n">
        <v>46278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46278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44949</v>
      </c>
      <c r="E684" s="1" t="n">
        <v>46278</v>
      </c>
      <c r="F684" t="inlineStr">
        <is>
          <t>VÄRMLANDS LÄN</t>
        </is>
      </c>
      <c r="G684" t="inlineStr">
        <is>
          <t>HAGFORS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42223-2022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44830</v>
      </c>
      <c r="E685" s="1" t="n">
        <v>46278</v>
      </c>
      <c r="F685" t="inlineStr">
        <is>
          <t>VÄRMLANDS LÄN</t>
        </is>
      </c>
      <c r="G685" t="inlineStr">
        <is>
          <t>HAGFORS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46213</v>
      </c>
      <c r="E686" s="1" t="n">
        <v>46278</v>
      </c>
      <c r="F686" t="inlineStr">
        <is>
          <t>VÄRMLANDS LÄN</t>
        </is>
      </c>
      <c r="G686" t="inlineStr">
        <is>
          <t>HAGFORS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46278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34456-2026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46278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17584-2023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45036</v>
      </c>
      <c r="E689" s="1" t="n">
        <v>46278</v>
      </c>
      <c r="F689" t="inlineStr">
        <is>
          <t>VÄRMLANDS LÄN</t>
        </is>
      </c>
      <c r="G689" t="inlineStr">
        <is>
          <t>HAGFORS</t>
        </is>
      </c>
      <c r="H689" t="inlineStr">
        <is>
          <t>Kommuner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46278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46278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35173-2026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46260</v>
      </c>
      <c r="E692" s="1" t="n">
        <v>46278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18.2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35184-2026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46260</v>
      </c>
      <c r="E693" s="1" t="n">
        <v>46278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46260</v>
      </c>
      <c r="E694" s="1" t="n">
        <v>46278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32696-2023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45112</v>
      </c>
      <c r="E695" s="1" t="n">
        <v>46278</v>
      </c>
      <c r="F695" t="inlineStr">
        <is>
          <t>VÄRMLANDS LÄN</t>
        </is>
      </c>
      <c r="G695" t="inlineStr">
        <is>
          <t>HAGFORS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58799-2022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44903</v>
      </c>
      <c r="E696" s="1" t="n">
        <v>46278</v>
      </c>
      <c r="F696" t="inlineStr">
        <is>
          <t>VÄRMLANDS LÄN</t>
        </is>
      </c>
      <c r="G696" t="inlineStr">
        <is>
          <t>HAGFORS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59092-2022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44904</v>
      </c>
      <c r="E697" s="1" t="n">
        <v>46278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20466-2023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45057</v>
      </c>
      <c r="E698" s="1" t="n">
        <v>46278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32031-2024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45510</v>
      </c>
      <c r="E699" s="1" t="n">
        <v>46278</v>
      </c>
      <c r="F699" t="inlineStr">
        <is>
          <t>VÄRMLANDS LÄN</t>
        </is>
      </c>
      <c r="G699" t="inlineStr">
        <is>
          <t>HAGFORS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53192-2022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44876</v>
      </c>
      <c r="E700" s="1" t="n">
        <v>46278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35574-2026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46278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46278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2371-2025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45673</v>
      </c>
      <c r="E703" s="1" t="n">
        <v>46278</v>
      </c>
      <c r="F703" t="inlineStr">
        <is>
          <t>VÄRMLANDS LÄN</t>
        </is>
      </c>
      <c r="G703" t="inlineStr">
        <is>
          <t>HAGFORS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18014-2024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45419</v>
      </c>
      <c r="E704" s="1" t="n">
        <v>46278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46278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45308</v>
      </c>
      <c r="E706" s="1" t="n">
        <v>46278</v>
      </c>
      <c r="F706" t="inlineStr">
        <is>
          <t>VÄRMLANDS LÄN</t>
        </is>
      </c>
      <c r="G706" t="inlineStr">
        <is>
          <t>HAGFORS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36013-2023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45149</v>
      </c>
      <c r="E707" s="1" t="n">
        <v>46278</v>
      </c>
      <c r="F707" t="inlineStr">
        <is>
          <t>VÄRMLANDS LÄN</t>
        </is>
      </c>
      <c r="G707" t="inlineStr">
        <is>
          <t>HAGFORS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56895-2023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45244</v>
      </c>
      <c r="E708" s="1" t="n">
        <v>46278</v>
      </c>
      <c r="F708" t="inlineStr">
        <is>
          <t>VÄRMLANDS LÄN</t>
        </is>
      </c>
      <c r="G708" t="inlineStr">
        <is>
          <t>HAGFORS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35664-2023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45147</v>
      </c>
      <c r="E709" s="1" t="n">
        <v>46278</v>
      </c>
      <c r="F709" t="inlineStr">
        <is>
          <t>VÄRMLANDS LÄN</t>
        </is>
      </c>
      <c r="G709" t="inlineStr">
        <is>
          <t>HAGFORS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35781-2026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46265</v>
      </c>
      <c r="E710" s="1" t="n">
        <v>46278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6478-2025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45699</v>
      </c>
      <c r="E711" s="1" t="n">
        <v>46278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35749-2026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46265</v>
      </c>
      <c r="E712" s="1" t="n">
        <v>46278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36281-2026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46268</v>
      </c>
      <c r="E713" s="1" t="n">
        <v>46278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4748-2024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45328</v>
      </c>
      <c r="E714" s="1" t="n">
        <v>46278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46278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46268</v>
      </c>
      <c r="E716" s="1" t="n">
        <v>46278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8.800000000000001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46225</v>
      </c>
      <c r="E717" s="1" t="n">
        <v>46278</v>
      </c>
      <c r="F717" t="inlineStr">
        <is>
          <t>VÄRMLANDS LÄN</t>
        </is>
      </c>
      <c r="G717" t="inlineStr">
        <is>
          <t>HAGFORS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13282-2024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45386</v>
      </c>
      <c r="E718" s="1" t="n">
        <v>46278</v>
      </c>
      <c r="F718" t="inlineStr">
        <is>
          <t>VÄRMLANDS LÄN</t>
        </is>
      </c>
      <c r="G718" t="inlineStr">
        <is>
          <t>HAGFORS</t>
        </is>
      </c>
      <c r="H718" t="inlineStr">
        <is>
          <t>Kommuner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46225</v>
      </c>
      <c r="E719" s="1" t="n">
        <v>46278</v>
      </c>
      <c r="F719" t="inlineStr">
        <is>
          <t>VÄRMLANDS LÄN</t>
        </is>
      </c>
      <c r="G719" t="inlineStr">
        <is>
          <t>HAGFORS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48276-2024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45590</v>
      </c>
      <c r="E720" s="1" t="n">
        <v>46278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46278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46272</v>
      </c>
      <c r="E722" s="1" t="n">
        <v>46278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36556-2026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46278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57159-2024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46278</v>
      </c>
      <c r="F724" t="inlineStr">
        <is>
          <t>VÄRMLANDS LÄN</t>
        </is>
      </c>
      <c r="G724" t="inlineStr">
        <is>
          <t>HAGFORS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36446-2026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46269</v>
      </c>
      <c r="E725" s="1" t="n">
        <v>46278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46278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36221-2026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46268</v>
      </c>
      <c r="E727" s="1" t="n">
        <v>46278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36721-2026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46272</v>
      </c>
      <c r="E728" s="1" t="n">
        <v>46278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36642-2026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46272</v>
      </c>
      <c r="E729" s="1" t="n">
        <v>46278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33146-2024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45518</v>
      </c>
      <c r="E730" s="1" t="n">
        <v>46278</v>
      </c>
      <c r="F730" t="inlineStr">
        <is>
          <t>VÄRMLANDS LÄN</t>
        </is>
      </c>
      <c r="G730" t="inlineStr">
        <is>
          <t>HAGFORS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31691-2026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46226</v>
      </c>
      <c r="E731" s="1" t="n">
        <v>46278</v>
      </c>
      <c r="F731" t="inlineStr">
        <is>
          <t>VÄRMLANDS LÄN</t>
        </is>
      </c>
      <c r="G731" t="inlineStr">
        <is>
          <t>HAGFORS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51346-2022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44869</v>
      </c>
      <c r="E732" s="1" t="n">
        <v>46278</v>
      </c>
      <c r="F732" t="inlineStr">
        <is>
          <t>VÄRMLANDS LÄN</t>
        </is>
      </c>
      <c r="G732" t="inlineStr">
        <is>
          <t>HAGFORS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36728-2026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46272</v>
      </c>
      <c r="E733" s="1" t="n">
        <v>46278</v>
      </c>
      <c r="F733" t="inlineStr">
        <is>
          <t>VÄRMLANDS LÄN</t>
        </is>
      </c>
      <c r="G733" t="inlineStr">
        <is>
          <t>HAGFORS</t>
        </is>
      </c>
      <c r="H733" t="inlineStr">
        <is>
          <t>Kyrkan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36447-2026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46269</v>
      </c>
      <c r="E734" s="1" t="n">
        <v>46278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32033-2024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45510</v>
      </c>
      <c r="E735" s="1" t="n">
        <v>46278</v>
      </c>
      <c r="F735" t="inlineStr">
        <is>
          <t>VÄRMLANDS LÄN</t>
        </is>
      </c>
      <c r="G735" t="inlineStr">
        <is>
          <t>HAGFORS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37157-2026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46274</v>
      </c>
      <c r="E736" s="1" t="n">
        <v>46278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46274</v>
      </c>
      <c r="E737" s="1" t="n">
        <v>46278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8.699999999999999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37269-2026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46274</v>
      </c>
      <c r="E738" s="1" t="n">
        <v>46278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56888-2023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45244</v>
      </c>
      <c r="E739" s="1" t="n">
        <v>46278</v>
      </c>
      <c r="F739" t="inlineStr">
        <is>
          <t>VÄRMLANDS LÄN</t>
        </is>
      </c>
      <c r="G739" t="inlineStr">
        <is>
          <t>HAGFORS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36110-2026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46267</v>
      </c>
      <c r="E740" s="1" t="n">
        <v>46278</v>
      </c>
      <c r="F740" t="inlineStr">
        <is>
          <t>VÄRMLANDS LÄN</t>
        </is>
      </c>
      <c r="G740" t="inlineStr">
        <is>
          <t>HAGFORS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60974-2024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45645</v>
      </c>
      <c r="E741" s="1" t="n">
        <v>46278</v>
      </c>
      <c r="F741" t="inlineStr">
        <is>
          <t>VÄRMLANDS LÄN</t>
        </is>
      </c>
      <c r="G741" t="inlineStr">
        <is>
          <t>HAGFORS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35775-2024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45532</v>
      </c>
      <c r="E742" s="1" t="n">
        <v>46278</v>
      </c>
      <c r="F742" t="inlineStr">
        <is>
          <t>VÄRMLANDS LÄN</t>
        </is>
      </c>
      <c r="G742" t="inlineStr">
        <is>
          <t>HAGFORS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45238-2024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45575</v>
      </c>
      <c r="E743" s="1" t="n">
        <v>46278</v>
      </c>
      <c r="F743" t="inlineStr">
        <is>
          <t>VÄRMLANDS LÄN</t>
        </is>
      </c>
      <c r="G743" t="inlineStr">
        <is>
          <t>HAGFORS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46233</v>
      </c>
      <c r="E744" s="1" t="n">
        <v>46278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46278</v>
      </c>
      <c r="F745" t="inlineStr">
        <is>
          <t>VÄRMLANDS LÄN</t>
        </is>
      </c>
      <c r="G745" t="inlineStr">
        <is>
          <t>HAGFORS</t>
        </is>
      </c>
      <c r="I745" t="n">
        <v>9.1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26777-2023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45093</v>
      </c>
      <c r="E746" s="1" t="n">
        <v>46278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56165-2024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45624</v>
      </c>
      <c r="E747" s="1" t="n">
        <v>46278</v>
      </c>
      <c r="F747" t="inlineStr">
        <is>
          <t>VÄRMLANDS LÄN</t>
        </is>
      </c>
      <c r="G747" t="inlineStr">
        <is>
          <t>HAGFORS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46278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32043-2026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46233</v>
      </c>
      <c r="E749" s="1" t="n">
        <v>46278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3980-2025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45684</v>
      </c>
      <c r="E750" s="1" t="n">
        <v>46278</v>
      </c>
      <c r="F750" t="inlineStr">
        <is>
          <t>VÄRMLANDS LÄN</t>
        </is>
      </c>
      <c r="G750" t="inlineStr">
        <is>
          <t>HAGFORS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45684</v>
      </c>
      <c r="E751" s="1" t="n">
        <v>46278</v>
      </c>
      <c r="F751" t="inlineStr">
        <is>
          <t>VÄRMLANDS LÄN</t>
        </is>
      </c>
      <c r="G751" t="inlineStr">
        <is>
          <t>HAGFORS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19894-2024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45433</v>
      </c>
      <c r="E752" s="1" t="n">
        <v>46278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37389-2026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46278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45335</v>
      </c>
      <c r="E754" s="1" t="n">
        <v>46278</v>
      </c>
      <c r="F754" t="inlineStr">
        <is>
          <t>VÄRMLANDS LÄN</t>
        </is>
      </c>
      <c r="G754" t="inlineStr">
        <is>
          <t>HAGFORS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4047-2024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45323</v>
      </c>
      <c r="E755" s="1" t="n">
        <v>46278</v>
      </c>
      <c r="F755" t="inlineStr">
        <is>
          <t>VÄRMLANDS LÄN</t>
        </is>
      </c>
      <c r="G755" t="inlineStr">
        <is>
          <t>HAGFORS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46275</v>
      </c>
      <c r="E756" s="1" t="n">
        <v>46278</v>
      </c>
      <c r="F756" t="inlineStr">
        <is>
          <t>VÄRMLANDS LÄN</t>
        </is>
      </c>
      <c r="G756" t="inlineStr">
        <is>
          <t>HAGFORS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36228-2024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46278</v>
      </c>
      <c r="F757" t="inlineStr">
        <is>
          <t>VÄRMLANDS LÄN</t>
        </is>
      </c>
      <c r="G757" t="inlineStr">
        <is>
          <t>HAGFORS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46278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45562</v>
      </c>
      <c r="E759" s="1" t="n">
        <v>46278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46278</v>
      </c>
      <c r="F760" t="inlineStr">
        <is>
          <t>VÄRMLANDS LÄN</t>
        </is>
      </c>
      <c r="G760" t="inlineStr">
        <is>
          <t>HAGFORS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45777</v>
      </c>
      <c r="E761" s="1" t="n">
        <v>46278</v>
      </c>
      <c r="F761" t="inlineStr">
        <is>
          <t>VÄRMLANDS LÄN</t>
        </is>
      </c>
      <c r="G761" t="inlineStr">
        <is>
          <t>HAGFORS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47425-2024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45587</v>
      </c>
      <c r="E762" s="1" t="n">
        <v>46278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24680-2024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45460</v>
      </c>
      <c r="E763" s="1" t="n">
        <v>46278</v>
      </c>
      <c r="F763" t="inlineStr">
        <is>
          <t>VÄRMLANDS LÄN</t>
        </is>
      </c>
      <c r="G763" t="inlineStr">
        <is>
          <t>HAGFORS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40332-2023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45169</v>
      </c>
      <c r="E764" s="1" t="n">
        <v>46278</v>
      </c>
      <c r="F764" t="inlineStr">
        <is>
          <t>VÄRMLANDS LÄN</t>
        </is>
      </c>
      <c r="G764" t="inlineStr">
        <is>
          <t>HAGFORS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21723-2025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45783</v>
      </c>
      <c r="E765" s="1" t="n">
        <v>46278</v>
      </c>
      <c r="F765" t="inlineStr">
        <is>
          <t>VÄRMLANDS LÄN</t>
        </is>
      </c>
      <c r="G765" t="inlineStr">
        <is>
          <t>HAGFORS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45786</v>
      </c>
      <c r="E766" s="1" t="n">
        <v>46278</v>
      </c>
      <c r="F766" t="inlineStr">
        <is>
          <t>VÄRMLANDS LÄN</t>
        </is>
      </c>
      <c r="G766" t="inlineStr">
        <is>
          <t>HAGFORS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17833-2022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44683</v>
      </c>
      <c r="E767" s="1" t="n">
        <v>46278</v>
      </c>
      <c r="F767" t="inlineStr">
        <is>
          <t>VÄRMLANDS LÄN</t>
        </is>
      </c>
      <c r="G767" t="inlineStr">
        <is>
          <t>HAGFORS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46278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46278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22799-2025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46278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23268-2025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45791</v>
      </c>
      <c r="E771" s="1" t="n">
        <v>46278</v>
      </c>
      <c r="F771" t="inlineStr">
        <is>
          <t>VÄRMLANDS LÄN</t>
        </is>
      </c>
      <c r="G771" t="inlineStr">
        <is>
          <t>HAGFORS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23556-2025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45792</v>
      </c>
      <c r="E772" s="1" t="n">
        <v>46278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23525-2025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45792</v>
      </c>
      <c r="E773" s="1" t="n">
        <v>46278</v>
      </c>
      <c r="F773" t="inlineStr">
        <is>
          <t>VÄRMLANDS LÄN</t>
        </is>
      </c>
      <c r="G773" t="inlineStr">
        <is>
          <t>HAGFORS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46278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54008-2024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45615</v>
      </c>
      <c r="E775" s="1" t="n">
        <v>46278</v>
      </c>
      <c r="F775" t="inlineStr">
        <is>
          <t>VÄRMLANDS LÄN</t>
        </is>
      </c>
      <c r="G775" t="inlineStr">
        <is>
          <t>HAGFORS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55950-2024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45623</v>
      </c>
      <c r="E776" s="1" t="n">
        <v>46278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23674-2025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45793</v>
      </c>
      <c r="E777" s="1" t="n">
        <v>46278</v>
      </c>
      <c r="F777" t="inlineStr">
        <is>
          <t>VÄRMLANDS LÄN</t>
        </is>
      </c>
      <c r="G777" t="inlineStr">
        <is>
          <t>HAGFORS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15643-2024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45404</v>
      </c>
      <c r="E778" s="1" t="n">
        <v>46278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23712-2025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46278</v>
      </c>
      <c r="F779" t="inlineStr">
        <is>
          <t>VÄRMLANDS LÄN</t>
        </is>
      </c>
      <c r="G779" t="inlineStr">
        <is>
          <t>HAGFORS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24435-2025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46278</v>
      </c>
      <c r="F780" t="inlineStr">
        <is>
          <t>VÄRMLANDS LÄN</t>
        </is>
      </c>
      <c r="G780" t="inlineStr">
        <is>
          <t>HAGFORS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16798-2025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45754</v>
      </c>
      <c r="E781" s="1" t="n">
        <v>46278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24434-2025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45797</v>
      </c>
      <c r="E782" s="1" t="n">
        <v>46278</v>
      </c>
      <c r="F782" t="inlineStr">
        <is>
          <t>VÄRMLANDS LÄN</t>
        </is>
      </c>
      <c r="G782" t="inlineStr">
        <is>
          <t>HAGFORS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45736</v>
      </c>
      <c r="E783" s="1" t="n">
        <v>46278</v>
      </c>
      <c r="F783" t="inlineStr">
        <is>
          <t>VÄRMLANDS LÄN</t>
        </is>
      </c>
      <c r="G783" t="inlineStr">
        <is>
          <t>HAGFORS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24438-2025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46278</v>
      </c>
      <c r="F784" t="inlineStr">
        <is>
          <t>VÄRMLANDS LÄN</t>
        </is>
      </c>
      <c r="G784" t="inlineStr">
        <is>
          <t>HAGFORS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24895-2025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45799</v>
      </c>
      <c r="E785" s="1" t="n">
        <v>46278</v>
      </c>
      <c r="F785" t="inlineStr">
        <is>
          <t>VÄRMLANDS LÄN</t>
        </is>
      </c>
      <c r="G785" t="inlineStr">
        <is>
          <t>HAGFORS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24793-2025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45799</v>
      </c>
      <c r="E786" s="1" t="n">
        <v>46278</v>
      </c>
      <c r="F786" t="inlineStr">
        <is>
          <t>VÄRMLANDS LÄN</t>
        </is>
      </c>
      <c r="G786" t="inlineStr">
        <is>
          <t>HAGFORS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25031-2025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45799</v>
      </c>
      <c r="E787" s="1" t="n">
        <v>46278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33823-2025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45842</v>
      </c>
      <c r="E788" s="1" t="n">
        <v>46278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38474-2024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45546</v>
      </c>
      <c r="E789" s="1" t="n">
        <v>46278</v>
      </c>
      <c r="F789" t="inlineStr">
        <is>
          <t>VÄRMLANDS LÄN</t>
        </is>
      </c>
      <c r="G789" t="inlineStr">
        <is>
          <t>HAGFORS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26463-2025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45807</v>
      </c>
      <c r="E790" s="1" t="n">
        <v>46278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52383-2024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45608</v>
      </c>
      <c r="E791" s="1" t="n">
        <v>46278</v>
      </c>
      <c r="F791" t="inlineStr">
        <is>
          <t>VÄRMLANDS LÄN</t>
        </is>
      </c>
      <c r="G791" t="inlineStr">
        <is>
          <t>HAGFORS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45754</v>
      </c>
      <c r="E792" s="1" t="n">
        <v>46278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26617-2025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45810</v>
      </c>
      <c r="E793" s="1" t="n">
        <v>46278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27071-2025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45811</v>
      </c>
      <c r="E794" s="1" t="n">
        <v>46278</v>
      </c>
      <c r="F794" t="inlineStr">
        <is>
          <t>VÄRMLANDS LÄN</t>
        </is>
      </c>
      <c r="G794" t="inlineStr">
        <is>
          <t>HAGFORS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26980-2025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45811</v>
      </c>
      <c r="E795" s="1" t="n">
        <v>46278</v>
      </c>
      <c r="F795" t="inlineStr">
        <is>
          <t>VÄRMLANDS LÄN</t>
        </is>
      </c>
      <c r="G795" t="inlineStr">
        <is>
          <t>HAGFORS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26982-2025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45811</v>
      </c>
      <c r="E796" s="1" t="n">
        <v>46278</v>
      </c>
      <c r="F796" t="inlineStr">
        <is>
          <t>VÄRMLANDS LÄN</t>
        </is>
      </c>
      <c r="G796" t="inlineStr">
        <is>
          <t>HAGFORS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45812</v>
      </c>
      <c r="E797" s="1" t="n">
        <v>46278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46278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27119-2025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46278</v>
      </c>
      <c r="F799" t="inlineStr">
        <is>
          <t>VÄRMLANDS LÄN</t>
        </is>
      </c>
      <c r="G799" t="inlineStr">
        <is>
          <t>HAGFORS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27181-2025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46278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46278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45812</v>
      </c>
      <c r="E802" s="1" t="n">
        <v>46278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50922-2023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45211</v>
      </c>
      <c r="E803" s="1" t="n">
        <v>46278</v>
      </c>
      <c r="F803" t="inlineStr">
        <is>
          <t>VÄRMLANDS LÄN</t>
        </is>
      </c>
      <c r="G803" t="inlineStr">
        <is>
          <t>HAGFORS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28309-2025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45818</v>
      </c>
      <c r="E804" s="1" t="n">
        <v>46278</v>
      </c>
      <c r="F804" t="inlineStr">
        <is>
          <t>VÄRMLANDS LÄN</t>
        </is>
      </c>
      <c r="G804" t="inlineStr">
        <is>
          <t>HAGFORS</t>
        </is>
      </c>
      <c r="H804" t="inlineStr">
        <is>
          <t>Kyrkan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2225-2020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44127</v>
      </c>
      <c r="E805" s="1" t="n">
        <v>46278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2050-2022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44671</v>
      </c>
      <c r="E806" s="1" t="n">
        <v>46278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937-2022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44606</v>
      </c>
      <c r="E807" s="1" t="n">
        <v>46278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59.4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931-2022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46278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49.5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262-2022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44578</v>
      </c>
      <c r="E809" s="1" t="n">
        <v>46278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78.90000000000001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46278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913-2022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46278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898-2022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46278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46278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914-2022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46278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4419-2023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46278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4420-2023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46278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44.2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4426-2023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46278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9.699999999999999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5512-2022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44834</v>
      </c>
      <c r="E818" s="1" t="n">
        <v>46278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29.9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4415-2023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46278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9.199999999999999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6970-2022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46278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4408-2023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46278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6968-2022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44901</v>
      </c>
      <c r="E822" s="1" t="n">
        <v>46278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4423-2023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46278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4418-2023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46278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45356</v>
      </c>
      <c r="E825" s="1" t="n">
        <v>46278</v>
      </c>
      <c r="F825" t="inlineStr">
        <is>
          <t>VÄRMLANDS LÄN</t>
        </is>
      </c>
      <c r="G825" t="inlineStr">
        <is>
          <t>HAGFORS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4145-2023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46278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6967-2022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46278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89-2025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45316</v>
      </c>
      <c r="E828" s="1" t="n">
        <v>46278</v>
      </c>
      <c r="F828" t="inlineStr">
        <is>
          <t>VÄRMLANDS LÄN</t>
        </is>
      </c>
      <c r="G828" t="inlineStr">
        <is>
          <t>HAGFORS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6969-2022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44901</v>
      </c>
      <c r="E829" s="1" t="n">
        <v>46278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45680</v>
      </c>
      <c r="E830" s="1" t="n">
        <v>46278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4150-2023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45247</v>
      </c>
      <c r="E831" s="1" t="n">
        <v>46278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4410-2023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46278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4409-2023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46278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4155-2023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45247</v>
      </c>
      <c r="E834" s="1" t="n">
        <v>46278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40.9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4140-2023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45247</v>
      </c>
      <c r="E835" s="1" t="n">
        <v>46278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36.5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6977-2022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46278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6973-2022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44901</v>
      </c>
      <c r="E837" s="1" t="n">
        <v>46278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30.1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4143-2023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45247</v>
      </c>
      <c r="E838" s="1" t="n">
        <v>46278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4407-2023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45266</v>
      </c>
      <c r="E839" s="1" t="n">
        <v>46278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6965-2022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44901</v>
      </c>
      <c r="E840" s="1" t="n">
        <v>46278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662-2025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45716</v>
      </c>
      <c r="E841" s="1" t="n">
        <v>46278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52.4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108-2026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46037</v>
      </c>
      <c r="E842" s="1" t="n">
        <v>46278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204.4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102-2026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46036</v>
      </c>
      <c r="E843" s="1" t="n">
        <v>46278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57.9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60-2026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46013</v>
      </c>
      <c r="E844" s="1" t="n">
        <v>46278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382-2025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45691</v>
      </c>
      <c r="E845" s="1" t="n">
        <v>46278</v>
      </c>
      <c r="F845" t="inlineStr">
        <is>
          <t>VÄRMLANDS LÄN</t>
        </is>
      </c>
      <c r="G845" t="inlineStr">
        <is>
          <t>HAGFORS</t>
        </is>
      </c>
      <c r="I845" t="n">
        <v>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2026-09-13T02:15:56Z</dcterms:created>
  <dcterms:modified xmlns:dcterms="http://purl.org/dc/terms/" xmlns:xsi="http://www.w3.org/2001/XMLSchema-instance" xsi:type="dcterms:W3CDTF">2026-09-13T02:15:57Z</dcterms:modified>
</cp:coreProperties>
</file>