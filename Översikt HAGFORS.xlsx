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46233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46233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46233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46233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46233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46233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46233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46233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46233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46233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46233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46233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46233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46233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46233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46233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46233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59972-2025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46233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1.8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Lunglav
Korallblylav</t>
        </is>
      </c>
      <c r="W19">
        <f>HYPERLINK("https://klasma.github.io/Logging_1783/artfynd/A 59972-2025 artfynd.xlsx", "A 59972-2025")</f>
        <v/>
      </c>
      <c r="X19">
        <f>HYPERLINK("https://klasma.github.io/Logging_1783/kartor/A 59972-2025 karta.png", "A 59972-2025")</f>
        <v/>
      </c>
      <c r="Y19">
        <f>HYPERLINK("https://klasma.github.io/Logging_1783/kartor_geotiff/A 59972-2025 georefererad karta.tif", "A 59972-2025")</f>
        <v/>
      </c>
      <c r="AA19">
        <f>HYPERLINK("https://klasma.github.io/Logging_1783/klagomål/A 59972-2025 FSC-klagomål.docx", "A 59972-2025")</f>
        <v/>
      </c>
      <c r="AB19">
        <f>HYPERLINK("https://klasma.github.io/Logging_1783/klagomålsmail/A 59972-2025 FSC-klagomål mail.docx", "A 59972-2025")</f>
        <v/>
      </c>
      <c r="AC19">
        <f>HYPERLINK("https://klasma.github.io/Logging_1783/tillsyn/A 59972-2025 tillsynsbegäran.docx", "A 59972-2025")</f>
        <v/>
      </c>
      <c r="AD19">
        <f>HYPERLINK("https://klasma.github.io/Logging_1783/tillsynsmail/A 59972-2025 tillsynsbegäran mail.docx", "A 59972-2025")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46233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46233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46233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46233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46233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46233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46233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46233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46233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46233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46233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46233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46233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62954-2025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46009</v>
      </c>
      <c r="E33" s="1" t="n">
        <v>46233</v>
      </c>
      <c r="F33" t="inlineStr">
        <is>
          <t>VÄRMLANDS LÄN</t>
        </is>
      </c>
      <c r="G33" t="inlineStr">
        <is>
          <t>HAGFORS</t>
        </is>
      </c>
      <c r="I33" t="n">
        <v>9.1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Kråka</t>
        </is>
      </c>
      <c r="W33">
        <f>HYPERLINK("https://klasma.github.io/Logging_1783/artfynd/A 62954-2025 artfynd.xlsx", "A 62954-2025")</f>
        <v/>
      </c>
      <c r="X33">
        <f>HYPERLINK("https://klasma.github.io/Logging_1783/kartor/A 62954-2025 karta.png", "A 62954-2025")</f>
        <v/>
      </c>
      <c r="Y33">
        <f>HYPERLINK("https://klasma.github.io/Logging_1783/kartor_geotiff/A 62954-2025 georefererad karta.tif", "A 62954-2025")</f>
        <v/>
      </c>
      <c r="AA33">
        <f>HYPERLINK("https://klasma.github.io/Logging_1783/klagomål/A 62954-2025 FSC-klagomål.docx", "A 62954-2025")</f>
        <v/>
      </c>
      <c r="AB33">
        <f>HYPERLINK("https://klasma.github.io/Logging_1783/klagomålsmail/A 62954-2025 FSC-klagomål mail.docx", "A 62954-2025")</f>
        <v/>
      </c>
      <c r="AC33">
        <f>HYPERLINK("https://klasma.github.io/Logging_1783/tillsyn/A 62954-2025 tillsynsbegäran.docx", "A 62954-2025")</f>
        <v/>
      </c>
      <c r="AD33">
        <f>HYPERLINK("https://klasma.github.io/Logging_1783/tillsynsmail/A 62954-2025 tillsynsbegäran mail.docx", "A 62954-2025")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46233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46233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46233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46233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46233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20119-2025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46233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HYPERLINK("https://klasma.github.io/Logging_1783/artfynd/A 20119-2025 artfynd.xlsx", "A 20119-2025")</f>
        <v/>
      </c>
      <c r="X39">
        <f>HYPERLINK("https://klasma.github.io/Logging_1783/kartor/A 20119-2025 karta.png", "A 20119-2025")</f>
        <v/>
      </c>
      <c r="Y39">
        <f>HYPERLINK("https://klasma.github.io/Logging_1783/kartor_geotiff/A 20119-2025 georefererad karta.tif", "A 20119-2025")</f>
        <v/>
      </c>
      <c r="AA39">
        <f>HYPERLINK("https://klasma.github.io/Logging_1783/klagomål/A 20119-2025 FSC-klagomål.docx", "A 20119-2025")</f>
        <v/>
      </c>
      <c r="AB39">
        <f>HYPERLINK("https://klasma.github.io/Logging_1783/klagomålsmail/A 20119-2025 FSC-klagomål mail.docx", "A 20119-2025")</f>
        <v/>
      </c>
      <c r="AC39">
        <f>HYPERLINK("https://klasma.github.io/Logging_1783/tillsyn/A 20119-2025 tillsynsbegäran.docx", "A 20119-2025")</f>
        <v/>
      </c>
      <c r="AD39">
        <f>HYPERLINK("https://klasma.github.io/Logging_1783/tillsynsmail/A 20119-2025 tillsynsbegäran mail.docx", "A 20119-2025")</f>
        <v/>
      </c>
      <c r="AE39">
        <f>HYPERLINK("https://klasma.github.io/Logging_1783/fåglar/A 20119-2025 prioriterade fågelarter.docx", "A 20119-2025")</f>
        <v/>
      </c>
    </row>
    <row r="40" ht="15" customHeight="1">
      <c r="A40" t="inlineStr">
        <is>
          <t>A 33905-2025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45842</v>
      </c>
      <c r="E40" s="1" t="n">
        <v>46233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7.8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33905-2025 artfynd.xlsx", "A 33905-2025")</f>
        <v/>
      </c>
      <c r="X40">
        <f>HYPERLINK("https://klasma.github.io/Logging_1783/kartor/A 33905-2025 karta.png", "A 33905-2025")</f>
        <v/>
      </c>
      <c r="Y40">
        <f>HYPERLINK("https://klasma.github.io/Logging_1783/kartor_geotiff/A 33905-2025 georefererad karta.tif", "A 33905-2025")</f>
        <v/>
      </c>
      <c r="AA40">
        <f>HYPERLINK("https://klasma.github.io/Logging_1783/klagomål/A 33905-2025 FSC-klagomål.docx", "A 33905-2025")</f>
        <v/>
      </c>
      <c r="AB40">
        <f>HYPERLINK("https://klasma.github.io/Logging_1783/klagomålsmail/A 33905-2025 FSC-klagomål mail.docx", "A 33905-2025")</f>
        <v/>
      </c>
      <c r="AC40">
        <f>HYPERLINK("https://klasma.github.io/Logging_1783/tillsyn/A 33905-2025 tillsynsbegäran.docx", "A 33905-2025")</f>
        <v/>
      </c>
      <c r="AD40">
        <f>HYPERLINK("https://klasma.github.io/Logging_1783/tillsynsmail/A 33905-2025 tillsynsbegäran mail.docx", "A 33905-2025")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46233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HYPERLINK("https://klasma.github.io/Logging_1783/artfynd/A 50030-2025 artfynd.xlsx", "A 50030-2025")</f>
        <v/>
      </c>
      <c r="X41">
        <f>HYPERLINK("https://klasma.github.io/Logging_1783/kartor/A 50030-2025 karta.png", "A 50030-2025")</f>
        <v/>
      </c>
      <c r="Y41">
        <f>HYPERLINK("https://klasma.github.io/Logging_1783/kartor_geotiff/A 50030-2025 georefererad karta.tif", "A 50030-2025")</f>
        <v/>
      </c>
      <c r="AA41">
        <f>HYPERLINK("https://klasma.github.io/Logging_1783/klagomål/A 50030-2025 FSC-klagomål.docx", "A 50030-2025")</f>
        <v/>
      </c>
      <c r="AB41">
        <f>HYPERLINK("https://klasma.github.io/Logging_1783/klagomålsmail/A 50030-2025 FSC-klagomål mail.docx", "A 50030-2025")</f>
        <v/>
      </c>
      <c r="AC41">
        <f>HYPERLINK("https://klasma.github.io/Logging_1783/tillsyn/A 50030-2025 tillsynsbegäran.docx", "A 50030-2025")</f>
        <v/>
      </c>
      <c r="AD41">
        <f>HYPERLINK("https://klasma.github.io/Logging_1783/tillsynsmail/A 50030-2025 tillsynsbegäran mail.docx", "A 50030-2025")</f>
        <v/>
      </c>
    </row>
    <row r="42" ht="15" customHeight="1">
      <c r="A42" t="inlineStr">
        <is>
          <t>A 8254-2026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46064</v>
      </c>
      <c r="E42" s="1" t="n">
        <v>46233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Ullticka</t>
        </is>
      </c>
      <c r="W42">
        <f>HYPERLINK("https://klasma.github.io/Logging_1783/artfynd/A 8254-2026 artfynd.xlsx", "A 8254-2026")</f>
        <v/>
      </c>
      <c r="X42">
        <f>HYPERLINK("https://klasma.github.io/Logging_1783/kartor/A 8254-2026 karta.png", "A 8254-2026")</f>
        <v/>
      </c>
      <c r="Y42">
        <f>HYPERLINK("https://klasma.github.io/Logging_1783/kartor_geotiff/A 8254-2026 georefererad karta.tif", "A 8254-2026")</f>
        <v/>
      </c>
      <c r="AA42">
        <f>HYPERLINK("https://klasma.github.io/Logging_1783/klagomål/A 8254-2026 FSC-klagomål.docx", "A 8254-2026")</f>
        <v/>
      </c>
      <c r="AB42">
        <f>HYPERLINK("https://klasma.github.io/Logging_1783/klagomålsmail/A 8254-2026 FSC-klagomål mail.docx", "A 8254-2026")</f>
        <v/>
      </c>
      <c r="AC42">
        <f>HYPERLINK("https://klasma.github.io/Logging_1783/tillsyn/A 8254-2026 tillsynsbegäran.docx", "A 8254-2026")</f>
        <v/>
      </c>
      <c r="AD42">
        <f>HYPERLINK("https://klasma.github.io/Logging_1783/tillsynsmail/A 8254-2026 tillsynsbegäran mail.docx", "A 8254-2026")</f>
        <v/>
      </c>
    </row>
    <row r="43" ht="15" customHeight="1">
      <c r="A43" t="inlineStr">
        <is>
          <t>A 54700-2025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45966</v>
      </c>
      <c r="E43" s="1" t="n">
        <v>46233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6.6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HYPERLINK("https://klasma.github.io/Logging_1783/artfynd/A 54700-2025 artfynd.xlsx", "A 54700-2025")</f>
        <v/>
      </c>
      <c r="X43">
        <f>HYPERLINK("https://klasma.github.io/Logging_1783/kartor/A 54700-2025 karta.png", "A 54700-2025")</f>
        <v/>
      </c>
      <c r="Y43">
        <f>HYPERLINK("https://klasma.github.io/Logging_1783/kartor_geotiff/A 54700-2025 georefererad karta.tif", "A 54700-2025")</f>
        <v/>
      </c>
      <c r="AA43">
        <f>HYPERLINK("https://klasma.github.io/Logging_1783/klagomål/A 54700-2025 FSC-klagomål.docx", "A 54700-2025")</f>
        <v/>
      </c>
      <c r="AB43">
        <f>HYPERLINK("https://klasma.github.io/Logging_1783/klagomålsmail/A 54700-2025 FSC-klagomål mail.docx", "A 54700-2025")</f>
        <v/>
      </c>
      <c r="AC43">
        <f>HYPERLINK("https://klasma.github.io/Logging_1783/tillsyn/A 54700-2025 tillsynsbegäran.docx", "A 54700-2025")</f>
        <v/>
      </c>
      <c r="AD43">
        <f>HYPERLINK("https://klasma.github.io/Logging_1783/tillsynsmail/A 54700-2025 tillsynsbegäran mail.docx", "A 54700-2025")</f>
        <v/>
      </c>
      <c r="AE43">
        <f>HYPERLINK("https://klasma.github.io/Logging_1783/fåglar/A 54700-2025 prioriterade fågelarter.docx", "A 54700-2025")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46233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HYPERLINK("https://klasma.github.io/Logging_1783/artfynd/A 55484-2025 artfynd.xlsx", "A 55484-2025")</f>
        <v/>
      </c>
      <c r="X44">
        <f>HYPERLINK("https://klasma.github.io/Logging_1783/kartor/A 55484-2025 karta.png", "A 55484-2025")</f>
        <v/>
      </c>
      <c r="Y44">
        <f>HYPERLINK("https://klasma.github.io/Logging_1783/kartor_geotiff/A 55484-2025 georefererad karta.tif", "A 55484-2025")</f>
        <v/>
      </c>
      <c r="AA44">
        <f>HYPERLINK("https://klasma.github.io/Logging_1783/klagomål/A 55484-2025 FSC-klagomål.docx", "A 55484-2025")</f>
        <v/>
      </c>
      <c r="AB44">
        <f>HYPERLINK("https://klasma.github.io/Logging_1783/klagomålsmail/A 55484-2025 FSC-klagomål mail.docx", "A 55484-2025")</f>
        <v/>
      </c>
      <c r="AC44">
        <f>HYPERLINK("https://klasma.github.io/Logging_1783/tillsyn/A 55484-2025 tillsynsbegäran.docx", "A 55484-2025")</f>
        <v/>
      </c>
      <c r="AD44">
        <f>HYPERLINK("https://klasma.github.io/Logging_1783/tillsynsmail/A 55484-2025 tillsynsbegäran mail.docx", "A 55484-2025")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46233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12445-2026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46233</v>
      </c>
      <c r="F46" t="inlineStr">
        <is>
          <t>VÄRMLANDS LÄN</t>
        </is>
      </c>
      <c r="G46" t="inlineStr">
        <is>
          <t>HAGFORS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HYPERLINK("https://klasma.github.io/Logging_1783/artfynd/A 12445-2026 artfynd.xlsx", "A 12445-2026")</f>
        <v/>
      </c>
      <c r="X46">
        <f>HYPERLINK("https://klasma.github.io/Logging_1783/kartor/A 12445-2026 karta.png", "A 12445-2026")</f>
        <v/>
      </c>
      <c r="Y46">
        <f>HYPERLINK("https://klasma.github.io/Logging_1783/kartor_geotiff/A 12445-2026 georefererad karta.tif", "A 12445-2026")</f>
        <v/>
      </c>
      <c r="AA46">
        <f>HYPERLINK("https://klasma.github.io/Logging_1783/klagomål/A 12445-2026 FSC-klagomål.docx", "A 12445-2026")</f>
        <v/>
      </c>
      <c r="AB46">
        <f>HYPERLINK("https://klasma.github.io/Logging_1783/klagomålsmail/A 12445-2026 FSC-klagomål mail.docx", "A 12445-2026")</f>
        <v/>
      </c>
      <c r="AC46">
        <f>HYPERLINK("https://klasma.github.io/Logging_1783/tillsyn/A 12445-2026 tillsynsbegäran.docx", "A 12445-2026")</f>
        <v/>
      </c>
      <c r="AD46">
        <f>HYPERLINK("https://klasma.github.io/Logging_1783/tillsynsmail/A 12445-2026 tillsynsbegäran mail.docx", "A 12445-2026")</f>
        <v/>
      </c>
      <c r="AE46">
        <f>HYPERLINK("https://klasma.github.io/Logging_1783/fåglar/A 12445-2026 prioriterade fågelarter.docx", "A 12445-2026")</f>
        <v/>
      </c>
    </row>
    <row r="47" ht="15" customHeight="1">
      <c r="A47" t="inlineStr">
        <is>
          <t>A 19362-2026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46133</v>
      </c>
      <c r="E47" s="1" t="n">
        <v>46233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19362-2026 artfynd.xlsx", "A 19362-2026")</f>
        <v/>
      </c>
      <c r="X47">
        <f>HYPERLINK("https://klasma.github.io/Logging_1783/kartor/A 19362-2026 karta.png", "A 19362-2026")</f>
        <v/>
      </c>
      <c r="Y47">
        <f>HYPERLINK("https://klasma.github.io/Logging_1783/kartor_geotiff/A 19362-2026 georefererad karta.tif", "A 19362-2026")</f>
        <v/>
      </c>
      <c r="AA47">
        <f>HYPERLINK("https://klasma.github.io/Logging_1783/klagomål/A 19362-2026 FSC-klagomål.docx", "A 19362-2026")</f>
        <v/>
      </c>
      <c r="AB47">
        <f>HYPERLINK("https://klasma.github.io/Logging_1783/klagomålsmail/A 19362-2026 FSC-klagomål mail.docx", "A 19362-2026")</f>
        <v/>
      </c>
      <c r="AC47">
        <f>HYPERLINK("https://klasma.github.io/Logging_1783/tillsyn/A 19362-2026 tillsynsbegäran.docx", "A 19362-2026")</f>
        <v/>
      </c>
      <c r="AD47">
        <f>HYPERLINK("https://klasma.github.io/Logging_1783/tillsynsmail/A 19362-2026 tillsynsbegäran mail.docx", "A 19362-2026")</f>
        <v/>
      </c>
    </row>
    <row r="48" ht="15" customHeight="1">
      <c r="A48" t="inlineStr">
        <is>
          <t>A 6986-2022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46233</v>
      </c>
      <c r="F48" t="inlineStr">
        <is>
          <t>VÄRMLANDS LÄN</t>
        </is>
      </c>
      <c r="G48" t="inlineStr">
        <is>
          <t>HAGFORS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HYPERLINK("https://klasma.github.io/Logging_1783/artfynd/A 6986-2022 artfynd.xlsx", "A 6986-2022")</f>
        <v/>
      </c>
      <c r="X48">
        <f>HYPERLINK("https://klasma.github.io/Logging_1783/kartor/A 6986-2022 karta.png", "A 6986-2022")</f>
        <v/>
      </c>
      <c r="Y48">
        <f>HYPERLINK("https://klasma.github.io/Logging_1783/kartor_geotiff/A 6986-2022 georefererad karta.tif", "A 6986-2022")</f>
        <v/>
      </c>
      <c r="AA48">
        <f>HYPERLINK("https://klasma.github.io/Logging_1783/klagomål/A 6986-2022 FSC-klagomål.docx", "A 6986-2022")</f>
        <v/>
      </c>
      <c r="AB48">
        <f>HYPERLINK("https://klasma.github.io/Logging_1783/klagomålsmail/A 6986-2022 FSC-klagomål mail.docx", "A 6986-2022")</f>
        <v/>
      </c>
      <c r="AC48">
        <f>HYPERLINK("https://klasma.github.io/Logging_1783/tillsyn/A 6986-2022 tillsynsbegäran.docx", "A 6986-2022")</f>
        <v/>
      </c>
      <c r="AD48">
        <f>HYPERLINK("https://klasma.github.io/Logging_1783/tillsynsmail/A 6986-2022 tillsynsbegäran mail.docx", "A 6986-2022")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46233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46233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44095-2023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46233</v>
      </c>
      <c r="F51" t="inlineStr">
        <is>
          <t>VÄRMLANDS LÄN</t>
        </is>
      </c>
      <c r="G51" t="inlineStr">
        <is>
          <t>HAGFORS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44095-2023 artfynd.xlsx", "A 44095-2023")</f>
        <v/>
      </c>
      <c r="X51">
        <f>HYPERLINK("https://klasma.github.io/Logging_1783/kartor/A 44095-2023 karta.png", "A 44095-2023")</f>
        <v/>
      </c>
      <c r="Y51">
        <f>HYPERLINK("https://klasma.github.io/Logging_1783/kartor_geotiff/A 44095-2023 georefererad karta.tif", "A 44095-2023")</f>
        <v/>
      </c>
      <c r="AA51">
        <f>HYPERLINK("https://klasma.github.io/Logging_1783/klagomål/A 44095-2023 FSC-klagomål.docx", "A 44095-2023")</f>
        <v/>
      </c>
      <c r="AB51">
        <f>HYPERLINK("https://klasma.github.io/Logging_1783/klagomålsmail/A 44095-2023 FSC-klagomål mail.docx", "A 44095-2023")</f>
        <v/>
      </c>
      <c r="AC51">
        <f>HYPERLINK("https://klasma.github.io/Logging_1783/tillsyn/A 44095-2023 tillsynsbegäran.docx", "A 44095-2023")</f>
        <v/>
      </c>
      <c r="AD51">
        <f>HYPERLINK("https://klasma.github.io/Logging_1783/tillsynsmail/A 44095-2023 tillsynsbegäran mail.docx", "A 44095-2023")</f>
        <v/>
      </c>
    </row>
    <row r="52" ht="15" customHeight="1">
      <c r="A52" t="inlineStr">
        <is>
          <t>A 51194-2022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46233</v>
      </c>
      <c r="F52" t="inlineStr">
        <is>
          <t>VÄRMLANDS LÄN</t>
        </is>
      </c>
      <c r="G52" t="inlineStr">
        <is>
          <t>HAGFORS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HYPERLINK("https://klasma.github.io/Logging_1783/artfynd/A 51194-2022 artfynd.xlsx", "A 51194-2022")</f>
        <v/>
      </c>
      <c r="X52">
        <f>HYPERLINK("https://klasma.github.io/Logging_1783/kartor/A 51194-2022 karta.png", "A 51194-2022")</f>
        <v/>
      </c>
      <c r="Y52">
        <f>HYPERLINK("https://klasma.github.io/Logging_1783/kartor_geotiff/A 51194-2022 georefererad karta.tif", "A 51194-2022")</f>
        <v/>
      </c>
      <c r="AA52">
        <f>HYPERLINK("https://klasma.github.io/Logging_1783/klagomål/A 51194-2022 FSC-klagomål.docx", "A 51194-2022")</f>
        <v/>
      </c>
      <c r="AB52">
        <f>HYPERLINK("https://klasma.github.io/Logging_1783/klagomålsmail/A 51194-2022 FSC-klagomål mail.docx", "A 51194-2022")</f>
        <v/>
      </c>
      <c r="AC52">
        <f>HYPERLINK("https://klasma.github.io/Logging_1783/tillsyn/A 51194-2022 tillsynsbegäran.docx", "A 51194-2022")</f>
        <v/>
      </c>
      <c r="AD52">
        <f>HYPERLINK("https://klasma.github.io/Logging_1783/tillsynsmail/A 51194-2022 tillsynsbegäran mail.docx", "A 51194-2022")</f>
        <v/>
      </c>
    </row>
    <row r="53" ht="15" customHeight="1">
      <c r="A53" t="inlineStr">
        <is>
          <t>A 29432-2026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46203</v>
      </c>
      <c r="E53" s="1" t="n">
        <v>46233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Vedtrappmossa</t>
        </is>
      </c>
      <c r="W53">
        <f>HYPERLINK("https://klasma.github.io/Logging_1783/artfynd/A 29432-2026 artfynd.xlsx", "A 29432-2026")</f>
        <v/>
      </c>
      <c r="X53">
        <f>HYPERLINK("https://klasma.github.io/Logging_1783/kartor/A 29432-2026 karta.png", "A 29432-2026")</f>
        <v/>
      </c>
      <c r="Y53">
        <f>HYPERLINK("https://klasma.github.io/Logging_1783/kartor_geotiff/A 29432-2026 georefererad karta.tif", "A 29432-2026")</f>
        <v/>
      </c>
      <c r="AA53">
        <f>HYPERLINK("https://klasma.github.io/Logging_1783/klagomål/A 29432-2026 FSC-klagomål.docx", "A 29432-2026")</f>
        <v/>
      </c>
      <c r="AB53">
        <f>HYPERLINK("https://klasma.github.io/Logging_1783/klagomålsmail/A 29432-2026 FSC-klagomål mail.docx", "A 29432-2026")</f>
        <v/>
      </c>
      <c r="AC53">
        <f>HYPERLINK("https://klasma.github.io/Logging_1783/tillsyn/A 29432-2026 tillsynsbegäran.docx", "A 29432-2026")</f>
        <v/>
      </c>
      <c r="AD53">
        <f>HYPERLINK("https://klasma.github.io/Logging_1783/tillsynsmail/A 29432-2026 tillsynsbegäran mail.docx", "A 29432-2026")</f>
        <v/>
      </c>
    </row>
    <row r="54" ht="15" customHeight="1">
      <c r="A54" t="inlineStr">
        <is>
          <t>A 42446-2024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46233</v>
      </c>
      <c r="F54" t="inlineStr">
        <is>
          <t>VÄRMLANDS LÄN</t>
        </is>
      </c>
      <c r="G54" t="inlineStr">
        <is>
          <t>HAGFORS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Strutbräken</t>
        </is>
      </c>
      <c r="W54">
        <f>HYPERLINK("https://klasma.github.io/Logging_1783/artfynd/A 42446-2024 artfynd.xlsx", "A 42446-2024")</f>
        <v/>
      </c>
      <c r="X54">
        <f>HYPERLINK("https://klasma.github.io/Logging_1783/kartor/A 42446-2024 karta.png", "A 42446-2024")</f>
        <v/>
      </c>
      <c r="Y54">
        <f>HYPERLINK("https://klasma.github.io/Logging_1783/kartor_geotiff/A 42446-2024 georefererad karta.tif", "A 42446-2024")</f>
        <v/>
      </c>
      <c r="AA54">
        <f>HYPERLINK("https://klasma.github.io/Logging_1783/klagomål/A 42446-2024 FSC-klagomål.docx", "A 42446-2024")</f>
        <v/>
      </c>
      <c r="AB54">
        <f>HYPERLINK("https://klasma.github.io/Logging_1783/klagomålsmail/A 42446-2024 FSC-klagomål mail.docx", "A 42446-2024")</f>
        <v/>
      </c>
      <c r="AC54">
        <f>HYPERLINK("https://klasma.github.io/Logging_1783/tillsyn/A 42446-2024 tillsynsbegäran.docx", "A 42446-2024")</f>
        <v/>
      </c>
      <c r="AD54">
        <f>HYPERLINK("https://klasma.github.io/Logging_1783/tillsynsmail/A 42446-2024 tillsynsbegäran mail.docx", "A 42446-2024")</f>
        <v/>
      </c>
    </row>
    <row r="55" ht="15" customHeight="1">
      <c r="A55" t="inlineStr">
        <is>
          <t>A 24659-2026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46233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82.3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HYPERLINK("https://klasma.github.io/Logging_1783/artfynd/A 24659-2026 artfynd.xlsx", "A 24659-2026")</f>
        <v/>
      </c>
      <c r="X55">
        <f>HYPERLINK("https://klasma.github.io/Logging_1783/kartor/A 24659-2026 karta.png", "A 24659-2026")</f>
        <v/>
      </c>
      <c r="Y55">
        <f>HYPERLINK("https://klasma.github.io/Logging_1783/kartor_geotiff/A 24659-2026 georefererad karta.tif", "A 24659-2026")</f>
        <v/>
      </c>
      <c r="AA55">
        <f>HYPERLINK("https://klasma.github.io/Logging_1783/klagomål/A 24659-2026 FSC-klagomål.docx", "A 24659-2026")</f>
        <v/>
      </c>
      <c r="AB55">
        <f>HYPERLINK("https://klasma.github.io/Logging_1783/klagomålsmail/A 24659-2026 FSC-klagomål mail.docx", "A 24659-2026")</f>
        <v/>
      </c>
      <c r="AC55">
        <f>HYPERLINK("https://klasma.github.io/Logging_1783/tillsyn/A 24659-2026 tillsynsbegäran.docx", "A 24659-2026")</f>
        <v/>
      </c>
      <c r="AD55">
        <f>HYPERLINK("https://klasma.github.io/Logging_1783/tillsynsmail/A 24659-2026 tillsynsbegäran mail.docx", "A 24659-2026")</f>
        <v/>
      </c>
    </row>
    <row r="56" ht="15" customHeight="1">
      <c r="A56" t="inlineStr">
        <is>
          <t>A 24716-2026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46233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Garnlav</t>
        </is>
      </c>
      <c r="W56">
        <f>HYPERLINK("https://klasma.github.io/Logging_1783/artfynd/A 24716-2026 artfynd.xlsx", "A 24716-2026")</f>
        <v/>
      </c>
      <c r="X56">
        <f>HYPERLINK("https://klasma.github.io/Logging_1783/kartor/A 24716-2026 karta.png", "A 24716-2026")</f>
        <v/>
      </c>
      <c r="Y56">
        <f>HYPERLINK("https://klasma.github.io/Logging_1783/kartor_geotiff/A 24716-2026 georefererad karta.tif", "A 24716-2026")</f>
        <v/>
      </c>
      <c r="AA56">
        <f>HYPERLINK("https://klasma.github.io/Logging_1783/klagomål/A 24716-2026 FSC-klagomål.docx", "A 24716-2026")</f>
        <v/>
      </c>
      <c r="AB56">
        <f>HYPERLINK("https://klasma.github.io/Logging_1783/klagomålsmail/A 24716-2026 FSC-klagomål mail.docx", "A 24716-2026")</f>
        <v/>
      </c>
      <c r="AC56">
        <f>HYPERLINK("https://klasma.github.io/Logging_1783/tillsyn/A 24716-2026 tillsynsbegäran.docx", "A 24716-2026")</f>
        <v/>
      </c>
      <c r="AD56">
        <f>HYPERLINK("https://klasma.github.io/Logging_1783/tillsynsmail/A 24716-2026 tillsynsbegäran mail.docx", "A 24716-2026")</f>
        <v/>
      </c>
    </row>
    <row r="57" ht="15" customHeight="1">
      <c r="A57" t="inlineStr">
        <is>
          <t>A 26189-2026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46182</v>
      </c>
      <c r="E57" s="1" t="n">
        <v>46233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Sävsparv</t>
        </is>
      </c>
      <c r="W57">
        <f>HYPERLINK("https://klasma.github.io/Logging_1783/artfynd/A 26189-2026 artfynd.xlsx", "A 26189-2026")</f>
        <v/>
      </c>
      <c r="X57">
        <f>HYPERLINK("https://klasma.github.io/Logging_1783/kartor/A 26189-2026 karta.png", "A 26189-2026")</f>
        <v/>
      </c>
      <c r="Y57">
        <f>HYPERLINK("https://klasma.github.io/Logging_1783/kartor_geotiff/A 26189-2026 georefererad karta.tif", "A 26189-2026")</f>
        <v/>
      </c>
      <c r="AA57">
        <f>HYPERLINK("https://klasma.github.io/Logging_1783/klagomål/A 26189-2026 FSC-klagomål.docx", "A 26189-2026")</f>
        <v/>
      </c>
      <c r="AB57">
        <f>HYPERLINK("https://klasma.github.io/Logging_1783/klagomålsmail/A 26189-2026 FSC-klagomål mail.docx", "A 26189-2026")</f>
        <v/>
      </c>
      <c r="AC57">
        <f>HYPERLINK("https://klasma.github.io/Logging_1783/tillsyn/A 26189-2026 tillsynsbegäran.docx", "A 26189-2026")</f>
        <v/>
      </c>
      <c r="AD57">
        <f>HYPERLINK("https://klasma.github.io/Logging_1783/tillsynsmail/A 26189-2026 tillsynsbegäran mail.docx", "A 26189-2026")</f>
        <v/>
      </c>
      <c r="AE57">
        <f>HYPERLINK("https://klasma.github.io/Logging_1783/fåglar/A 26189-2026 prioriterade fågelarter.docx", "A 26189-2026")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46233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22484-2025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45786</v>
      </c>
      <c r="E59" s="1" t="n">
        <v>46233</v>
      </c>
      <c r="F59" t="inlineStr">
        <is>
          <t>VÄRMLANDS LÄN</t>
        </is>
      </c>
      <c r="G59" t="inlineStr">
        <is>
          <t>HAGFORS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Rödlånke</t>
        </is>
      </c>
      <c r="W59">
        <f>HYPERLINK("https://klasma.github.io/Logging_1783/artfynd/A 22484-2025 artfynd.xlsx", "A 22484-2025")</f>
        <v/>
      </c>
      <c r="X59">
        <f>HYPERLINK("https://klasma.github.io/Logging_1783/kartor/A 22484-2025 karta.png", "A 22484-2025")</f>
        <v/>
      </c>
      <c r="Y59">
        <f>HYPERLINK("https://klasma.github.io/Logging_1783/kartor_geotiff/A 22484-2025 georefererad karta.tif", "A 22484-2025")</f>
        <v/>
      </c>
      <c r="AA59">
        <f>HYPERLINK("https://klasma.github.io/Logging_1783/klagomål/A 22484-2025 FSC-klagomål.docx", "A 22484-2025")</f>
        <v/>
      </c>
      <c r="AB59">
        <f>HYPERLINK("https://klasma.github.io/Logging_1783/klagomålsmail/A 22484-2025 FSC-klagomål mail.docx", "A 22484-2025")</f>
        <v/>
      </c>
      <c r="AC59">
        <f>HYPERLINK("https://klasma.github.io/Logging_1783/tillsyn/A 22484-2025 tillsynsbegäran.docx", "A 22484-2025")</f>
        <v/>
      </c>
      <c r="AD59">
        <f>HYPERLINK("https://klasma.github.io/Logging_1783/tillsynsmail/A 22484-2025 tillsynsbegäran mail.docx", "A 22484-2025")</f>
        <v/>
      </c>
    </row>
    <row r="60" ht="15" customHeight="1">
      <c r="A60" t="inlineStr">
        <is>
          <t>A 24885-2025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46233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Mörk husmossa</t>
        </is>
      </c>
      <c r="W60">
        <f>HYPERLINK("https://klasma.github.io/Logging_1783/artfynd/A 24885-2025 artfynd.xlsx", "A 24885-2025")</f>
        <v/>
      </c>
      <c r="X60">
        <f>HYPERLINK("https://klasma.github.io/Logging_1783/kartor/A 24885-2025 karta.png", "A 24885-2025")</f>
        <v/>
      </c>
      <c r="Y60">
        <f>HYPERLINK("https://klasma.github.io/Logging_1783/kartor_geotiff/A 24885-2025 georefererad karta.tif", "A 24885-2025")</f>
        <v/>
      </c>
      <c r="AA60">
        <f>HYPERLINK("https://klasma.github.io/Logging_1783/klagomål/A 24885-2025 FSC-klagomål.docx", "A 24885-2025")</f>
        <v/>
      </c>
      <c r="AB60">
        <f>HYPERLINK("https://klasma.github.io/Logging_1783/klagomålsmail/A 24885-2025 FSC-klagomål mail.docx", "A 24885-2025")</f>
        <v/>
      </c>
      <c r="AC60">
        <f>HYPERLINK("https://klasma.github.io/Logging_1783/tillsyn/A 24885-2025 tillsynsbegäran.docx", "A 24885-2025")</f>
        <v/>
      </c>
      <c r="AD60">
        <f>HYPERLINK("https://klasma.github.io/Logging_1783/tillsynsmail/A 24885-2025 tillsynsbegäran mail.docx", "A 24885-2025")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46233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46233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46233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46233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46233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46233</v>
      </c>
      <c r="F66" t="inlineStr">
        <is>
          <t>VÄRMLANDS LÄN</t>
        </is>
      </c>
      <c r="G66" t="inlineStr">
        <is>
          <t>HAGFORS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46233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46233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46233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46233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46233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46233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46233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46233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46233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46233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46233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46233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46233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46233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46233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46233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46233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46233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46233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46233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46233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46233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46233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44432</v>
      </c>
      <c r="E90" s="1" t="n">
        <v>46233</v>
      </c>
      <c r="F90" t="inlineStr">
        <is>
          <t>VÄRMLANDS LÄN</t>
        </is>
      </c>
      <c r="G90" t="inlineStr">
        <is>
          <t>HAGFORS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46233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46233</v>
      </c>
      <c r="F92" t="inlineStr">
        <is>
          <t>VÄRMLANDS LÄN</t>
        </is>
      </c>
      <c r="G92" t="inlineStr">
        <is>
          <t>HAGFORS</t>
        </is>
      </c>
      <c r="H92" t="inlineStr">
        <is>
          <t>Bergvik skog väst AB</t>
        </is>
      </c>
      <c r="I92" t="n">
        <v>28.9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44613</v>
      </c>
      <c r="E93" s="1" t="n">
        <v>46233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46233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46233</v>
      </c>
      <c r="F95" t="inlineStr">
        <is>
          <t>VÄRMLANDS LÄN</t>
        </is>
      </c>
      <c r="G95" t="inlineStr">
        <is>
          <t>HAGFORS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44763</v>
      </c>
      <c r="E96" s="1" t="n">
        <v>46233</v>
      </c>
      <c r="F96" t="inlineStr">
        <is>
          <t>VÄRMLANDS LÄN</t>
        </is>
      </c>
      <c r="G96" t="inlineStr">
        <is>
          <t>HAGFORS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46233</v>
      </c>
      <c r="F97" t="inlineStr">
        <is>
          <t>VÄRMLANDS LÄN</t>
        </is>
      </c>
      <c r="G97" t="inlineStr">
        <is>
          <t>HAGFORS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44699</v>
      </c>
      <c r="E98" s="1" t="n">
        <v>46233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46233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46233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46233</v>
      </c>
      <c r="F101" t="inlineStr">
        <is>
          <t>VÄRMLANDS LÄN</t>
        </is>
      </c>
      <c r="G101" t="inlineStr">
        <is>
          <t>HAGFORS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46233</v>
      </c>
      <c r="F102" t="inlineStr">
        <is>
          <t>VÄRMLANDS LÄN</t>
        </is>
      </c>
      <c r="G102" t="inlineStr">
        <is>
          <t>HAGFORS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44545</v>
      </c>
      <c r="E103" s="1" t="n">
        <v>46233</v>
      </c>
      <c r="F103" t="inlineStr">
        <is>
          <t>VÄRMLANDS LÄN</t>
        </is>
      </c>
      <c r="G103" t="inlineStr">
        <is>
          <t>HAGFORS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46233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46233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46233</v>
      </c>
      <c r="F106" t="inlineStr">
        <is>
          <t>VÄRMLANDS LÄN</t>
        </is>
      </c>
      <c r="G106" t="inlineStr">
        <is>
          <t>HAGFORS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44836</v>
      </c>
      <c r="E107" s="1" t="n">
        <v>46233</v>
      </c>
      <c r="F107" t="inlineStr">
        <is>
          <t>VÄRMLANDS LÄN</t>
        </is>
      </c>
      <c r="G107" t="inlineStr">
        <is>
          <t>HAGFORS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46233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46233</v>
      </c>
      <c r="F109" t="inlineStr">
        <is>
          <t>VÄRMLANDS LÄN</t>
        </is>
      </c>
      <c r="G109" t="inlineStr">
        <is>
          <t>HAGFORS</t>
        </is>
      </c>
      <c r="H109" t="inlineStr">
        <is>
          <t>Kommuner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46233</v>
      </c>
      <c r="F110" t="inlineStr">
        <is>
          <t>VÄRMLANDS LÄN</t>
        </is>
      </c>
      <c r="G110" t="inlineStr">
        <is>
          <t>HAGFORS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44858</v>
      </c>
      <c r="E111" s="1" t="n">
        <v>46233</v>
      </c>
      <c r="F111" t="inlineStr">
        <is>
          <t>VÄRMLANDS LÄN</t>
        </is>
      </c>
      <c r="G111" t="inlineStr">
        <is>
          <t>HAGFORS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44594</v>
      </c>
      <c r="E112" s="1" t="n">
        <v>46233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46233</v>
      </c>
      <c r="F113" t="inlineStr">
        <is>
          <t>VÄRMLANDS LÄN</t>
        </is>
      </c>
      <c r="G113" t="inlineStr">
        <is>
          <t>HAGFORS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46233</v>
      </c>
      <c r="F114" t="inlineStr">
        <is>
          <t>VÄRMLANDS LÄN</t>
        </is>
      </c>
      <c r="G114" t="inlineStr">
        <is>
          <t>HAGFORS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65565-2021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46233</v>
      </c>
      <c r="F115" t="inlineStr">
        <is>
          <t>VÄRMLANDS LÄN</t>
        </is>
      </c>
      <c r="G115" t="inlineStr">
        <is>
          <t>HAGFORS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17402-2022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44678</v>
      </c>
      <c r="E116" s="1" t="n">
        <v>46233</v>
      </c>
      <c r="F116" t="inlineStr">
        <is>
          <t>VÄRMLANDS LÄN</t>
        </is>
      </c>
      <c r="G116" t="inlineStr">
        <is>
          <t>HAGFORS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46233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46233</v>
      </c>
      <c r="F118" t="inlineStr">
        <is>
          <t>VÄRMLANDS LÄN</t>
        </is>
      </c>
      <c r="G118" t="inlineStr">
        <is>
          <t>HAGFORS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45621</v>
      </c>
      <c r="E119" s="1" t="n">
        <v>46233</v>
      </c>
      <c r="F119" t="inlineStr">
        <is>
          <t>VÄRMLANDS LÄN</t>
        </is>
      </c>
      <c r="G119" t="inlineStr">
        <is>
          <t>HAGFORS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46233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46233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46233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46233</v>
      </c>
      <c r="F123" t="inlineStr">
        <is>
          <t>VÄRMLANDS LÄN</t>
        </is>
      </c>
      <c r="G123" t="inlineStr">
        <is>
          <t>HAGFORS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46233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45414</v>
      </c>
      <c r="E125" s="1" t="n">
        <v>46233</v>
      </c>
      <c r="F125" t="inlineStr">
        <is>
          <t>VÄRMLANDS LÄN</t>
        </is>
      </c>
      <c r="G125" t="inlineStr">
        <is>
          <t>HAGFORS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17329-2024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45414</v>
      </c>
      <c r="E126" s="1" t="n">
        <v>46233</v>
      </c>
      <c r="F126" t="inlineStr">
        <is>
          <t>VÄRMLANDS LÄN</t>
        </is>
      </c>
      <c r="G126" t="inlineStr">
        <is>
          <t>HAGFORS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45373</v>
      </c>
      <c r="E127" s="1" t="n">
        <v>46233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46233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46233</v>
      </c>
      <c r="F129" t="inlineStr">
        <is>
          <t>VÄRMLANDS LÄN</t>
        </is>
      </c>
      <c r="G129" t="inlineStr">
        <is>
          <t>HAGFORS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44770</v>
      </c>
      <c r="E130" s="1" t="n">
        <v>46233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10.1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45400</v>
      </c>
      <c r="E131" s="1" t="n">
        <v>46233</v>
      </c>
      <c r="F131" t="inlineStr">
        <is>
          <t>VÄRMLANDS LÄN</t>
        </is>
      </c>
      <c r="G131" t="inlineStr">
        <is>
          <t>HAGFORS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15538-2024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45401</v>
      </c>
      <c r="E132" s="1" t="n">
        <v>46233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46233</v>
      </c>
      <c r="F133" t="inlineStr">
        <is>
          <t>VÄRMLANDS LÄN</t>
        </is>
      </c>
      <c r="G133" t="inlineStr">
        <is>
          <t>HAGFORS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45441</v>
      </c>
      <c r="E134" s="1" t="n">
        <v>46233</v>
      </c>
      <c r="F134" t="inlineStr">
        <is>
          <t>VÄRMLANDS LÄN</t>
        </is>
      </c>
      <c r="G134" t="inlineStr">
        <is>
          <t>HAGFORS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45434</v>
      </c>
      <c r="E135" s="1" t="n">
        <v>46233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46233</v>
      </c>
      <c r="F136" t="inlineStr">
        <is>
          <t>VÄRMLANDS LÄN</t>
        </is>
      </c>
      <c r="G136" t="inlineStr">
        <is>
          <t>HAGFORS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12673-2024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45384</v>
      </c>
      <c r="E137" s="1" t="n">
        <v>46233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45244</v>
      </c>
      <c r="E138" s="1" t="n">
        <v>46233</v>
      </c>
      <c r="F138" t="inlineStr">
        <is>
          <t>VÄRMLANDS LÄN</t>
        </is>
      </c>
      <c r="G138" t="inlineStr">
        <is>
          <t>HAGFORS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39211-2022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44817</v>
      </c>
      <c r="E139" s="1" t="n">
        <v>46233</v>
      </c>
      <c r="F139" t="inlineStr">
        <is>
          <t>VÄRMLANDS LÄN</t>
        </is>
      </c>
      <c r="G139" t="inlineStr">
        <is>
          <t>HAGFORS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46233</v>
      </c>
      <c r="F140" t="inlineStr">
        <is>
          <t>VÄRMLANDS LÄN</t>
        </is>
      </c>
      <c r="G140" t="inlineStr">
        <is>
          <t>HAGFORS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46233</v>
      </c>
      <c r="F141" t="inlineStr">
        <is>
          <t>VÄRMLANDS LÄN</t>
        </is>
      </c>
      <c r="G141" t="inlineStr">
        <is>
          <t>HAGFORS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46233</v>
      </c>
      <c r="F142" t="inlineStr">
        <is>
          <t>VÄRMLANDS LÄN</t>
        </is>
      </c>
      <c r="G142" t="inlineStr">
        <is>
          <t>HAGFORS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45335</v>
      </c>
      <c r="E143" s="1" t="n">
        <v>46233</v>
      </c>
      <c r="F143" t="inlineStr">
        <is>
          <t>VÄRMLANDS LÄN</t>
        </is>
      </c>
      <c r="G143" t="inlineStr">
        <is>
          <t>HAGFORS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45562</v>
      </c>
      <c r="E144" s="1" t="n">
        <v>46233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45420</v>
      </c>
      <c r="E145" s="1" t="n">
        <v>46233</v>
      </c>
      <c r="F145" t="inlineStr">
        <is>
          <t>VÄRMLANDS LÄN</t>
        </is>
      </c>
      <c r="G145" t="inlineStr">
        <is>
          <t>HAGFORS</t>
        </is>
      </c>
      <c r="I145" t="n">
        <v>11.5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45527</v>
      </c>
      <c r="E146" s="1" t="n">
        <v>46233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10562-2024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45366</v>
      </c>
      <c r="E147" s="1" t="n">
        <v>46233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46233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44834</v>
      </c>
      <c r="E149" s="1" t="n">
        <v>46233</v>
      </c>
      <c r="F149" t="inlineStr">
        <is>
          <t>VÄRMLANDS LÄN</t>
        </is>
      </c>
      <c r="G149" t="inlineStr">
        <is>
          <t>HAGFORS</t>
        </is>
      </c>
      <c r="H149" t="inlineStr">
        <is>
          <t>Kyrkan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45226</v>
      </c>
      <c r="E150" s="1" t="n">
        <v>46233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46233</v>
      </c>
      <c r="F151" t="inlineStr">
        <is>
          <t>VÄRMLANDS LÄN</t>
        </is>
      </c>
      <c r="G151" t="inlineStr">
        <is>
          <t>HAGFORS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35994-2024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46233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46233</v>
      </c>
      <c r="F153" t="inlineStr">
        <is>
          <t>VÄRMLANDS LÄN</t>
        </is>
      </c>
      <c r="G153" t="inlineStr">
        <is>
          <t>HAGFORS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60167-2023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45258</v>
      </c>
      <c r="E154" s="1" t="n">
        <v>46233</v>
      </c>
      <c r="F154" t="inlineStr">
        <is>
          <t>VÄRMLANDS LÄN</t>
        </is>
      </c>
      <c r="G154" t="inlineStr">
        <is>
          <t>HAGFORS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36293-2023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45152</v>
      </c>
      <c r="E155" s="1" t="n">
        <v>46233</v>
      </c>
      <c r="F155" t="inlineStr">
        <is>
          <t>VÄRMLANDS LÄN</t>
        </is>
      </c>
      <c r="G155" t="inlineStr">
        <is>
          <t>HAGFORS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46233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33.2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46233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46233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46233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61169-2024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45645</v>
      </c>
      <c r="E160" s="1" t="n">
        <v>46233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45140</v>
      </c>
      <c r="E161" s="1" t="n">
        <v>46233</v>
      </c>
      <c r="F161" t="inlineStr">
        <is>
          <t>VÄRMLANDS LÄN</t>
        </is>
      </c>
      <c r="G161" t="inlineStr">
        <is>
          <t>HAGFORS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45842</v>
      </c>
      <c r="E162" s="1" t="n">
        <v>46233</v>
      </c>
      <c r="F162" t="inlineStr">
        <is>
          <t>VÄRMLANDS LÄN</t>
        </is>
      </c>
      <c r="G162" t="inlineStr">
        <is>
          <t>HAGFORS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71447-2021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44540</v>
      </c>
      <c r="E163" s="1" t="n">
        <v>46233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46233</v>
      </c>
      <c r="F164" t="inlineStr">
        <is>
          <t>VÄRMLANDS LÄN</t>
        </is>
      </c>
      <c r="G164" t="inlineStr">
        <is>
          <t>HAGFORS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26463-2025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45807</v>
      </c>
      <c r="E165" s="1" t="n">
        <v>46233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45608</v>
      </c>
      <c r="E166" s="1" t="n">
        <v>46233</v>
      </c>
      <c r="F166" t="inlineStr">
        <is>
          <t>VÄRMLANDS LÄN</t>
        </is>
      </c>
      <c r="G166" t="inlineStr">
        <is>
          <t>HAGFORS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46233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44924</v>
      </c>
      <c r="E168" s="1" t="n">
        <v>46233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46233</v>
      </c>
      <c r="F169" t="inlineStr">
        <is>
          <t>VÄRMLANDS LÄN</t>
        </is>
      </c>
      <c r="G169" t="inlineStr">
        <is>
          <t>HAGFORS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58132-2024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46233</v>
      </c>
      <c r="F170" t="inlineStr">
        <is>
          <t>VÄRMLANDS LÄN</t>
        </is>
      </c>
      <c r="G170" t="inlineStr">
        <is>
          <t>HAGFORS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26617-2025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45810</v>
      </c>
      <c r="E171" s="1" t="n">
        <v>46233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46233</v>
      </c>
      <c r="F172" t="inlineStr">
        <is>
          <t>VÄRMLANDS LÄN</t>
        </is>
      </c>
      <c r="G172" t="inlineStr">
        <is>
          <t>HAGFORS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46233</v>
      </c>
      <c r="F173" t="inlineStr">
        <is>
          <t>VÄRMLANDS LÄN</t>
        </is>
      </c>
      <c r="G173" t="inlineStr">
        <is>
          <t>HAGFORS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46233</v>
      </c>
      <c r="F174" t="inlineStr">
        <is>
          <t>VÄRMLANDS LÄN</t>
        </is>
      </c>
      <c r="G174" t="inlineStr">
        <is>
          <t>HAGFORS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46233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46233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46233</v>
      </c>
      <c r="F177" t="inlineStr">
        <is>
          <t>VÄRMLANDS LÄN</t>
        </is>
      </c>
      <c r="G177" t="inlineStr">
        <is>
          <t>HAGFORS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46233</v>
      </c>
      <c r="F178" t="inlineStr">
        <is>
          <t>VÄRMLANDS LÄN</t>
        </is>
      </c>
      <c r="G178" t="inlineStr">
        <is>
          <t>HAGFORS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46233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46233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45812</v>
      </c>
      <c r="E181" s="1" t="n">
        <v>46233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46233</v>
      </c>
      <c r="F182" t="inlineStr">
        <is>
          <t>VÄRMLANDS LÄN</t>
        </is>
      </c>
      <c r="G182" t="inlineStr">
        <is>
          <t>HAGFORS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46233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45211</v>
      </c>
      <c r="E184" s="1" t="n">
        <v>46233</v>
      </c>
      <c r="F184" t="inlineStr">
        <is>
          <t>VÄRMLANDS LÄN</t>
        </is>
      </c>
      <c r="G184" t="inlineStr">
        <is>
          <t>HAGFORS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19583-2023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45050</v>
      </c>
      <c r="E185" s="1" t="n">
        <v>46233</v>
      </c>
      <c r="F185" t="inlineStr">
        <is>
          <t>VÄRMLANDS LÄN</t>
        </is>
      </c>
      <c r="G185" t="inlineStr">
        <is>
          <t>HAGFORS</t>
        </is>
      </c>
      <c r="H185" t="inlineStr">
        <is>
          <t>Kommuner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46233</v>
      </c>
      <c r="F186" t="inlineStr">
        <is>
          <t>VÄRMLANDS LÄN</t>
        </is>
      </c>
      <c r="G186" t="inlineStr">
        <is>
          <t>HAGFORS</t>
        </is>
      </c>
      <c r="H186" t="inlineStr">
        <is>
          <t>Kyrkan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46233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46233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40843-2021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44421</v>
      </c>
      <c r="E189" s="1" t="n">
        <v>46233</v>
      </c>
      <c r="F189" t="inlineStr">
        <is>
          <t>VÄRMLANDS LÄN</t>
        </is>
      </c>
      <c r="G189" t="inlineStr">
        <is>
          <t>HAGFORS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46233</v>
      </c>
      <c r="F190" t="inlineStr">
        <is>
          <t>VÄRMLANDS LÄN</t>
        </is>
      </c>
      <c r="G190" t="inlineStr">
        <is>
          <t>HAGFORS</t>
        </is>
      </c>
      <c r="I190" t="n">
        <v>13.1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46233</v>
      </c>
      <c r="F191" t="inlineStr">
        <is>
          <t>VÄRMLANDS LÄN</t>
        </is>
      </c>
      <c r="G191" t="inlineStr">
        <is>
          <t>HAGFORS</t>
        </is>
      </c>
      <c r="H191" t="inlineStr">
        <is>
          <t>Kyrkan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44938</v>
      </c>
      <c r="E192" s="1" t="n">
        <v>46233</v>
      </c>
      <c r="F192" t="inlineStr">
        <is>
          <t>VÄRMLANDS LÄN</t>
        </is>
      </c>
      <c r="G192" t="inlineStr">
        <is>
          <t>HAGFORS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28437-2025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46233</v>
      </c>
      <c r="F193" t="inlineStr">
        <is>
          <t>VÄRMLANDS LÄN</t>
        </is>
      </c>
      <c r="G193" t="inlineStr">
        <is>
          <t>HAGFORS</t>
        </is>
      </c>
      <c r="H193" t="inlineStr">
        <is>
          <t>Kyrkan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49766-2023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45212</v>
      </c>
      <c r="E194" s="1" t="n">
        <v>46233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45562</v>
      </c>
      <c r="E195" s="1" t="n">
        <v>46233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45562</v>
      </c>
      <c r="E196" s="1" t="n">
        <v>46233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45562</v>
      </c>
      <c r="E197" s="1" t="n">
        <v>46233</v>
      </c>
      <c r="F197" t="inlineStr">
        <is>
          <t>VÄRMLANDS LÄN</t>
        </is>
      </c>
      <c r="G197" t="inlineStr">
        <is>
          <t>HAGFORS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46233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46233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46233</v>
      </c>
      <c r="F200" t="inlineStr">
        <is>
          <t>VÄRMLANDS LÄN</t>
        </is>
      </c>
      <c r="G200" t="inlineStr">
        <is>
          <t>HAGFORS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45492</v>
      </c>
      <c r="E201" s="1" t="n">
        <v>46233</v>
      </c>
      <c r="F201" t="inlineStr">
        <is>
          <t>VÄRMLANDS LÄN</t>
        </is>
      </c>
      <c r="G201" t="inlineStr">
        <is>
          <t>HAGFORS</t>
        </is>
      </c>
      <c r="H201" t="inlineStr">
        <is>
          <t>Kyrkan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46233</v>
      </c>
      <c r="F202" t="inlineStr">
        <is>
          <t>VÄRMLANDS LÄN</t>
        </is>
      </c>
      <c r="G202" t="inlineStr">
        <is>
          <t>HAGFORS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46233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46233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15.9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46233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46233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45729</v>
      </c>
      <c r="E207" s="1" t="n">
        <v>46233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46233</v>
      </c>
      <c r="F208" t="inlineStr">
        <is>
          <t>VÄRMLANDS LÄN</t>
        </is>
      </c>
      <c r="G208" t="inlineStr">
        <is>
          <t>HAGFORS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46233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45739</v>
      </c>
      <c r="E210" s="1" t="n">
        <v>46233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46233</v>
      </c>
      <c r="F211" t="inlineStr">
        <is>
          <t>VÄRMLANDS LÄN</t>
        </is>
      </c>
      <c r="G211" t="inlineStr">
        <is>
          <t>HAGFORS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46233</v>
      </c>
      <c r="F212" t="inlineStr">
        <is>
          <t>VÄRMLANDS LÄN</t>
        </is>
      </c>
      <c r="G212" t="inlineStr">
        <is>
          <t>HAGFORS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46233</v>
      </c>
      <c r="F213" t="inlineStr">
        <is>
          <t>VÄRMLANDS LÄN</t>
        </is>
      </c>
      <c r="G213" t="inlineStr">
        <is>
          <t>HAGFORS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46233</v>
      </c>
      <c r="F214" t="inlineStr">
        <is>
          <t>VÄRMLANDS LÄN</t>
        </is>
      </c>
      <c r="G214" t="inlineStr">
        <is>
          <t>HAGFORS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41739-2025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45902</v>
      </c>
      <c r="E215" s="1" t="n">
        <v>46233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45831</v>
      </c>
      <c r="E216" s="1" t="n">
        <v>46233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45614</v>
      </c>
      <c r="E217" s="1" t="n">
        <v>46233</v>
      </c>
      <c r="F217" t="inlineStr">
        <is>
          <t>VÄRMLANDS LÄN</t>
        </is>
      </c>
      <c r="G217" t="inlineStr">
        <is>
          <t>HAGFORS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46233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16824-2023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45033</v>
      </c>
      <c r="E219" s="1" t="n">
        <v>46233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54757-2022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44883</v>
      </c>
      <c r="E220" s="1" t="n">
        <v>46233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46233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45420</v>
      </c>
      <c r="E222" s="1" t="n">
        <v>46233</v>
      </c>
      <c r="F222" t="inlineStr">
        <is>
          <t>VÄRMLANDS LÄN</t>
        </is>
      </c>
      <c r="G222" t="inlineStr">
        <is>
          <t>HAGFORS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45201</v>
      </c>
      <c r="E223" s="1" t="n">
        <v>46233</v>
      </c>
      <c r="F223" t="inlineStr">
        <is>
          <t>VÄRMLANDS LÄN</t>
        </is>
      </c>
      <c r="G223" t="inlineStr">
        <is>
          <t>HAGFORS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45201</v>
      </c>
      <c r="E224" s="1" t="n">
        <v>46233</v>
      </c>
      <c r="F224" t="inlineStr">
        <is>
          <t>VÄRMLANDS LÄN</t>
        </is>
      </c>
      <c r="G224" t="inlineStr">
        <is>
          <t>HAGFORS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45201</v>
      </c>
      <c r="E225" s="1" t="n">
        <v>46233</v>
      </c>
      <c r="F225" t="inlineStr">
        <is>
          <t>VÄRMLANDS LÄN</t>
        </is>
      </c>
      <c r="G225" t="inlineStr">
        <is>
          <t>HAGFORS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46233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42406-2025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46233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12426-2024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45379</v>
      </c>
      <c r="E228" s="1" t="n">
        <v>46233</v>
      </c>
      <c r="F228" t="inlineStr">
        <is>
          <t>VÄRMLANDS LÄN</t>
        </is>
      </c>
      <c r="G228" t="inlineStr">
        <is>
          <t>HAGFORS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32235-2025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45835</v>
      </c>
      <c r="E229" s="1" t="n">
        <v>46233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46233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45835</v>
      </c>
      <c r="E231" s="1" t="n">
        <v>46233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46233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46233</v>
      </c>
      <c r="F233" t="inlineStr">
        <is>
          <t>VÄRMLANDS LÄN</t>
        </is>
      </c>
      <c r="G233" t="inlineStr">
        <is>
          <t>HAGFORS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46233</v>
      </c>
      <c r="F234" t="inlineStr">
        <is>
          <t>VÄRMLANDS LÄN</t>
        </is>
      </c>
      <c r="G234" t="inlineStr">
        <is>
          <t>HAGFORS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46049</v>
      </c>
      <c r="E235" s="1" t="n">
        <v>46233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46050</v>
      </c>
      <c r="E236" s="1" t="n">
        <v>46233</v>
      </c>
      <c r="F236" t="inlineStr">
        <is>
          <t>VÄRMLANDS LÄN</t>
        </is>
      </c>
      <c r="G236" t="inlineStr">
        <is>
          <t>HAGFORS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45824</v>
      </c>
      <c r="E237" s="1" t="n">
        <v>46233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46050</v>
      </c>
      <c r="E238" s="1" t="n">
        <v>46233</v>
      </c>
      <c r="F238" t="inlineStr">
        <is>
          <t>VÄRMLANDS LÄN</t>
        </is>
      </c>
      <c r="G238" t="inlineStr">
        <is>
          <t>HAGFORS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46050</v>
      </c>
      <c r="E239" s="1" t="n">
        <v>46233</v>
      </c>
      <c r="F239" t="inlineStr">
        <is>
          <t>VÄRMLANDS LÄN</t>
        </is>
      </c>
      <c r="G239" t="inlineStr">
        <is>
          <t>HAGFORS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46050</v>
      </c>
      <c r="E240" s="1" t="n">
        <v>46233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46050</v>
      </c>
      <c r="E241" s="1" t="n">
        <v>46233</v>
      </c>
      <c r="F241" t="inlineStr">
        <is>
          <t>VÄRMLANDS LÄN</t>
        </is>
      </c>
      <c r="G241" t="inlineStr">
        <is>
          <t>HAGFORS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45446</v>
      </c>
      <c r="E242" s="1" t="n">
        <v>46233</v>
      </c>
      <c r="F242" t="inlineStr">
        <is>
          <t>VÄRMLANDS LÄN</t>
        </is>
      </c>
      <c r="G242" t="inlineStr">
        <is>
          <t>HAGFORS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33364-2025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46233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64936-2023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45282</v>
      </c>
      <c r="E244" s="1" t="n">
        <v>46233</v>
      </c>
      <c r="F244" t="inlineStr">
        <is>
          <t>VÄRMLANDS LÄN</t>
        </is>
      </c>
      <c r="G244" t="inlineStr">
        <is>
          <t>HAGFORS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33440-2025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45841</v>
      </c>
      <c r="E245" s="1" t="n">
        <v>46233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45790</v>
      </c>
      <c r="E246" s="1" t="n">
        <v>46233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46233</v>
      </c>
      <c r="F247" t="inlineStr">
        <is>
          <t>VÄRMLANDS LÄN</t>
        </is>
      </c>
      <c r="G247" t="inlineStr">
        <is>
          <t>HAGFORS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33611-2025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46233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6.4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46233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46233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46233</v>
      </c>
      <c r="F251" t="inlineStr">
        <is>
          <t>VÄRMLANDS LÄN</t>
        </is>
      </c>
      <c r="G251" t="inlineStr">
        <is>
          <t>HAGFORS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46233</v>
      </c>
      <c r="F252" t="inlineStr">
        <is>
          <t>VÄRMLANDS LÄN</t>
        </is>
      </c>
      <c r="G252" t="inlineStr">
        <is>
          <t>HAGFORS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45845</v>
      </c>
      <c r="E253" s="1" t="n">
        <v>46233</v>
      </c>
      <c r="F253" t="inlineStr">
        <is>
          <t>VÄRMLANDS LÄN</t>
        </is>
      </c>
      <c r="G253" t="inlineStr">
        <is>
          <t>HAGFORS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46233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45784</v>
      </c>
      <c r="E255" s="1" t="n">
        <v>46233</v>
      </c>
      <c r="F255" t="inlineStr">
        <is>
          <t>VÄRMLANDS LÄN</t>
        </is>
      </c>
      <c r="G255" t="inlineStr">
        <is>
          <t>HAGFORS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45770</v>
      </c>
      <c r="E256" s="1" t="n">
        <v>46233</v>
      </c>
      <c r="F256" t="inlineStr">
        <is>
          <t>VÄRMLANDS LÄN</t>
        </is>
      </c>
      <c r="G256" t="inlineStr">
        <is>
          <t>HAGFORS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45565</v>
      </c>
      <c r="E257" s="1" t="n">
        <v>46233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45390</v>
      </c>
      <c r="E258" s="1" t="n">
        <v>46233</v>
      </c>
      <c r="F258" t="inlineStr">
        <is>
          <t>VÄRMLANDS LÄN</t>
        </is>
      </c>
      <c r="G258" t="inlineStr">
        <is>
          <t>HAGFORS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46233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46233</v>
      </c>
      <c r="F260" t="inlineStr">
        <is>
          <t>VÄRMLANDS LÄN</t>
        </is>
      </c>
      <c r="G260" t="inlineStr">
        <is>
          <t>HAGFORS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46233</v>
      </c>
      <c r="F261" t="inlineStr">
        <is>
          <t>VÄRMLANDS LÄN</t>
        </is>
      </c>
      <c r="G261" t="inlineStr">
        <is>
          <t>HAGFORS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45854</v>
      </c>
      <c r="E262" s="1" t="n">
        <v>46233</v>
      </c>
      <c r="F262" t="inlineStr">
        <is>
          <t>VÄRMLANDS LÄN</t>
        </is>
      </c>
      <c r="G262" t="inlineStr">
        <is>
          <t>HAGFORS</t>
        </is>
      </c>
      <c r="H262" t="inlineStr">
        <is>
          <t>Kyrkan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46233</v>
      </c>
      <c r="F263" t="inlineStr">
        <is>
          <t>VÄRMLANDS LÄN</t>
        </is>
      </c>
      <c r="G263" t="inlineStr">
        <is>
          <t>HAGFORS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45854</v>
      </c>
      <c r="E264" s="1" t="n">
        <v>46233</v>
      </c>
      <c r="F264" t="inlineStr">
        <is>
          <t>VÄRMLANDS LÄN</t>
        </is>
      </c>
      <c r="G264" t="inlineStr">
        <is>
          <t>HAGFORS</t>
        </is>
      </c>
      <c r="H264" t="inlineStr">
        <is>
          <t>Kyrkan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35212-2025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45853</v>
      </c>
      <c r="E265" s="1" t="n">
        <v>46233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46233</v>
      </c>
      <c r="F266" t="inlineStr">
        <is>
          <t>VÄRMLANDS LÄN</t>
        </is>
      </c>
      <c r="G266" t="inlineStr">
        <is>
          <t>HAGFORS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46233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45765</v>
      </c>
      <c r="E268" s="1" t="n">
        <v>46233</v>
      </c>
      <c r="F268" t="inlineStr">
        <is>
          <t>VÄRMLANDS LÄN</t>
        </is>
      </c>
      <c r="G268" t="inlineStr">
        <is>
          <t>HAGFORS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45713</v>
      </c>
      <c r="E269" s="1" t="n">
        <v>46233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46052</v>
      </c>
      <c r="E270" s="1" t="n">
        <v>46233</v>
      </c>
      <c r="F270" t="inlineStr">
        <is>
          <t>VÄRMLANDS LÄN</t>
        </is>
      </c>
      <c r="G270" t="inlineStr">
        <is>
          <t>HAGFORS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46233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46233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46832-2025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45927</v>
      </c>
      <c r="E273" s="1" t="n">
        <v>46233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46233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45927</v>
      </c>
      <c r="E275" s="1" t="n">
        <v>46233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45838</v>
      </c>
      <c r="E276" s="1" t="n">
        <v>46233</v>
      </c>
      <c r="F276" t="inlineStr">
        <is>
          <t>VÄRMLANDS LÄN</t>
        </is>
      </c>
      <c r="G276" t="inlineStr">
        <is>
          <t>HAGFORS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46233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46838-2025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45928</v>
      </c>
      <c r="E278" s="1" t="n">
        <v>46233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48042-2025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45932</v>
      </c>
      <c r="E279" s="1" t="n">
        <v>46233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46233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45005</v>
      </c>
      <c r="E281" s="1" t="n">
        <v>46233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44125-2021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44434</v>
      </c>
      <c r="E282" s="1" t="n">
        <v>46233</v>
      </c>
      <c r="F282" t="inlineStr">
        <is>
          <t>VÄRMLANDS LÄN</t>
        </is>
      </c>
      <c r="G282" t="inlineStr">
        <is>
          <t>HAGFORS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46233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46233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46233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46233</v>
      </c>
      <c r="F286" t="inlineStr">
        <is>
          <t>VÄRMLANDS LÄN</t>
        </is>
      </c>
      <c r="G286" t="inlineStr">
        <is>
          <t>HAGFORS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46233</v>
      </c>
      <c r="F287" t="inlineStr">
        <is>
          <t>VÄRMLANDS LÄN</t>
        </is>
      </c>
      <c r="G287" t="inlineStr">
        <is>
          <t>HAGFORS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46233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46233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52494-2024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45609</v>
      </c>
      <c r="E290" s="1" t="n">
        <v>46233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45623</v>
      </c>
      <c r="E291" s="1" t="n">
        <v>46233</v>
      </c>
      <c r="F291" t="inlineStr">
        <is>
          <t>VÄRMLANDS LÄN</t>
        </is>
      </c>
      <c r="G291" t="inlineStr">
        <is>
          <t>HAGFORS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8830-2024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45356</v>
      </c>
      <c r="E292" s="1" t="n">
        <v>46233</v>
      </c>
      <c r="F292" t="inlineStr">
        <is>
          <t>VÄRMLANDS LÄN</t>
        </is>
      </c>
      <c r="G292" t="inlineStr">
        <is>
          <t>HAGFORS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45569</v>
      </c>
      <c r="E293" s="1" t="n">
        <v>46233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46233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46233</v>
      </c>
      <c r="F295" t="inlineStr">
        <is>
          <t>VÄRMLANDS LÄN</t>
        </is>
      </c>
      <c r="G295" t="inlineStr">
        <is>
          <t>HAGFORS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45750</v>
      </c>
      <c r="E296" s="1" t="n">
        <v>46233</v>
      </c>
      <c r="F296" t="inlineStr">
        <is>
          <t>VÄRMLANDS LÄN</t>
        </is>
      </c>
      <c r="G296" t="inlineStr">
        <is>
          <t>HAGFORS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45937</v>
      </c>
      <c r="E297" s="1" t="n">
        <v>46233</v>
      </c>
      <c r="F297" t="inlineStr">
        <is>
          <t>VÄRMLANDS LÄN</t>
        </is>
      </c>
      <c r="G297" t="inlineStr">
        <is>
          <t>HAGFORS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45132</v>
      </c>
      <c r="E298" s="1" t="n">
        <v>46233</v>
      </c>
      <c r="F298" t="inlineStr">
        <is>
          <t>VÄRMLANDS LÄN</t>
        </is>
      </c>
      <c r="G298" t="inlineStr">
        <is>
          <t>HAGFORS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46233</v>
      </c>
      <c r="F299" t="inlineStr">
        <is>
          <t>VÄRMLANDS LÄN</t>
        </is>
      </c>
      <c r="G299" t="inlineStr">
        <is>
          <t>HAGFORS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49967-2025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45941</v>
      </c>
      <c r="E300" s="1" t="n">
        <v>46233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46057</v>
      </c>
      <c r="E301" s="1" t="n">
        <v>46233</v>
      </c>
      <c r="F301" t="inlineStr">
        <is>
          <t>VÄRMLANDS LÄN</t>
        </is>
      </c>
      <c r="G301" t="inlineStr">
        <is>
          <t>HAGFORS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27185-2025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46233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45946</v>
      </c>
      <c r="E303" s="1" t="n">
        <v>46233</v>
      </c>
      <c r="F303" t="inlineStr">
        <is>
          <t>VÄRMLANDS LÄN</t>
        </is>
      </c>
      <c r="G303" t="inlineStr">
        <is>
          <t>HAGFORS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46233</v>
      </c>
      <c r="F304" t="inlineStr">
        <is>
          <t>VÄRMLANDS LÄN</t>
        </is>
      </c>
      <c r="G304" t="inlineStr">
        <is>
          <t>HAGFORS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45006</v>
      </c>
      <c r="E305" s="1" t="n">
        <v>46233</v>
      </c>
      <c r="F305" t="inlineStr">
        <is>
          <t>VÄRMLANDS LÄN</t>
        </is>
      </c>
      <c r="G305" t="inlineStr">
        <is>
          <t>HAGFORS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45051</v>
      </c>
      <c r="E306" s="1" t="n">
        <v>46233</v>
      </c>
      <c r="F306" t="inlineStr">
        <is>
          <t>VÄRMLANDS LÄN</t>
        </is>
      </c>
      <c r="G306" t="inlineStr">
        <is>
          <t>HAGFORS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45461</v>
      </c>
      <c r="E307" s="1" t="n">
        <v>46233</v>
      </c>
      <c r="F307" t="inlineStr">
        <is>
          <t>VÄRMLANDS LÄN</t>
        </is>
      </c>
      <c r="G307" t="inlineStr">
        <is>
          <t>HAGFORS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51160-2025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46233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50977-2025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46233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9.300000000000001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45949</v>
      </c>
      <c r="E310" s="1" t="n">
        <v>46233</v>
      </c>
      <c r="F310" t="inlineStr">
        <is>
          <t>VÄRMLANDS LÄN</t>
        </is>
      </c>
      <c r="G310" t="inlineStr">
        <is>
          <t>HAGFORS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46233</v>
      </c>
      <c r="F311" t="inlineStr">
        <is>
          <t>VÄRMLANDS LÄN</t>
        </is>
      </c>
      <c r="G311" t="inlineStr">
        <is>
          <t>HAGFORS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45951</v>
      </c>
      <c r="E312" s="1" t="n">
        <v>46233</v>
      </c>
      <c r="F312" t="inlineStr">
        <is>
          <t>VÄRMLANDS LÄN</t>
        </is>
      </c>
      <c r="G312" t="inlineStr">
        <is>
          <t>HAGFORS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45162</v>
      </c>
      <c r="E313" s="1" t="n">
        <v>46233</v>
      </c>
      <c r="F313" t="inlineStr">
        <is>
          <t>VÄRMLANDS LÄN</t>
        </is>
      </c>
      <c r="G313" t="inlineStr">
        <is>
          <t>HAGFORS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52479-2025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45954</v>
      </c>
      <c r="E314" s="1" t="n">
        <v>46233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46233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9.800000000000001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20682-2024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45436</v>
      </c>
      <c r="E316" s="1" t="n">
        <v>46233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46233</v>
      </c>
      <c r="F317" t="inlineStr">
        <is>
          <t>VÄRMLANDS LÄN</t>
        </is>
      </c>
      <c r="G317" t="inlineStr">
        <is>
          <t>HAGFORS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52462-2025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46233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46065</v>
      </c>
      <c r="E319" s="1" t="n">
        <v>46233</v>
      </c>
      <c r="F319" t="inlineStr">
        <is>
          <t>VÄRMLANDS LÄN</t>
        </is>
      </c>
      <c r="G319" t="inlineStr">
        <is>
          <t>HAGFORS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46233</v>
      </c>
      <c r="F320" t="inlineStr">
        <is>
          <t>VÄRMLANDS LÄN</t>
        </is>
      </c>
      <c r="G320" t="inlineStr">
        <is>
          <t>HAGFORS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53620-2025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46233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53574-2025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46233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45615</v>
      </c>
      <c r="E323" s="1" t="n">
        <v>46233</v>
      </c>
      <c r="F323" t="inlineStr">
        <is>
          <t>VÄRMLANDS LÄN</t>
        </is>
      </c>
      <c r="G323" t="inlineStr">
        <is>
          <t>HAGFORS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46233</v>
      </c>
      <c r="F324" t="inlineStr">
        <is>
          <t>VÄRMLANDS LÄN</t>
        </is>
      </c>
      <c r="G324" t="inlineStr">
        <is>
          <t>HAGFORS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30180-2022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44757</v>
      </c>
      <c r="E325" s="1" t="n">
        <v>46233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46233</v>
      </c>
      <c r="F326" t="inlineStr">
        <is>
          <t>VÄRMLANDS LÄN</t>
        </is>
      </c>
      <c r="G326" t="inlineStr">
        <is>
          <t>HAGFORS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44694</v>
      </c>
      <c r="E327" s="1" t="n">
        <v>46233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24.6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46233</v>
      </c>
      <c r="F328" t="inlineStr">
        <is>
          <t>VÄRMLANDS LÄN</t>
        </is>
      </c>
      <c r="G328" t="inlineStr">
        <is>
          <t>HAGFORS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31166-2022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44770</v>
      </c>
      <c r="E329" s="1" t="n">
        <v>46233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54684-2025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46233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45966</v>
      </c>
      <c r="E331" s="1" t="n">
        <v>46233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46072</v>
      </c>
      <c r="E332" s="1" t="n">
        <v>46233</v>
      </c>
      <c r="F332" t="inlineStr">
        <is>
          <t>VÄRMLANDS LÄN</t>
        </is>
      </c>
      <c r="G332" t="inlineStr">
        <is>
          <t>HAGFORS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46072</v>
      </c>
      <c r="E333" s="1" t="n">
        <v>46233</v>
      </c>
      <c r="F333" t="inlineStr">
        <is>
          <t>VÄRMLANDS LÄN</t>
        </is>
      </c>
      <c r="G333" t="inlineStr">
        <is>
          <t>HAGFORS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55190-2025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45968</v>
      </c>
      <c r="E334" s="1" t="n">
        <v>46233</v>
      </c>
      <c r="F334" t="inlineStr">
        <is>
          <t>VÄRMLANDS LÄN</t>
        </is>
      </c>
      <c r="G334" t="inlineStr">
        <is>
          <t>HAGFORS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55001-2025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45967</v>
      </c>
      <c r="E335" s="1" t="n">
        <v>46233</v>
      </c>
      <c r="F335" t="inlineStr">
        <is>
          <t>VÄRMLANDS LÄN</t>
        </is>
      </c>
      <c r="G335" t="inlineStr">
        <is>
          <t>HAGFORS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46233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57379-2022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44896</v>
      </c>
      <c r="E337" s="1" t="n">
        <v>46233</v>
      </c>
      <c r="F337" t="inlineStr">
        <is>
          <t>VÄRMLANDS LÄN</t>
        </is>
      </c>
      <c r="G337" t="inlineStr">
        <is>
          <t>HAGFORS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46233</v>
      </c>
      <c r="F338" t="inlineStr">
        <is>
          <t>VÄRMLANDS LÄN</t>
        </is>
      </c>
      <c r="G338" t="inlineStr">
        <is>
          <t>HAGFORS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46233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47019-2023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46233</v>
      </c>
      <c r="F340" t="inlineStr">
        <is>
          <t>VÄRMLANDS LÄN</t>
        </is>
      </c>
      <c r="G340" t="inlineStr">
        <is>
          <t>HAGFORS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16525-2023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45029</v>
      </c>
      <c r="E341" s="1" t="n">
        <v>46233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46233</v>
      </c>
      <c r="F342" t="inlineStr">
        <is>
          <t>VÄRMLANDS LÄN</t>
        </is>
      </c>
      <c r="G342" t="inlineStr">
        <is>
          <t>HAGFORS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39029-2022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44817</v>
      </c>
      <c r="E343" s="1" t="n">
        <v>46233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61981-2024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45653</v>
      </c>
      <c r="E344" s="1" t="n">
        <v>46233</v>
      </c>
      <c r="F344" t="inlineStr">
        <is>
          <t>VÄRMLANDS LÄN</t>
        </is>
      </c>
      <c r="G344" t="inlineStr">
        <is>
          <t>HAGFORS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45057</v>
      </c>
      <c r="E345" s="1" t="n">
        <v>46233</v>
      </c>
      <c r="F345" t="inlineStr">
        <is>
          <t>VÄRMLANDS LÄN</t>
        </is>
      </c>
      <c r="G345" t="inlineStr">
        <is>
          <t>HAGFORS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20652-2022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44700</v>
      </c>
      <c r="E346" s="1" t="n">
        <v>46233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56714-2025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45975</v>
      </c>
      <c r="E347" s="1" t="n">
        <v>46233</v>
      </c>
      <c r="F347" t="inlineStr">
        <is>
          <t>VÄRMLANDS LÄN</t>
        </is>
      </c>
      <c r="G347" t="inlineStr">
        <is>
          <t>HAGFORS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56477-2025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45975</v>
      </c>
      <c r="E348" s="1" t="n">
        <v>46233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56468-2025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46233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46233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10382-2025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45720</v>
      </c>
      <c r="E351" s="1" t="n">
        <v>46233</v>
      </c>
      <c r="F351" t="inlineStr">
        <is>
          <t>VÄRMLANDS LÄN</t>
        </is>
      </c>
      <c r="G351" t="inlineStr">
        <is>
          <t>HAGFORS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46233</v>
      </c>
      <c r="F352" t="inlineStr">
        <is>
          <t>VÄRMLANDS LÄN</t>
        </is>
      </c>
      <c r="G352" t="inlineStr">
        <is>
          <t>HAGFORS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46233</v>
      </c>
      <c r="F353" t="inlineStr">
        <is>
          <t>VÄRMLANDS LÄN</t>
        </is>
      </c>
      <c r="G353" t="inlineStr">
        <is>
          <t>HAGFORS</t>
        </is>
      </c>
      <c r="H353" t="inlineStr">
        <is>
          <t>Kyrkan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46233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45223</v>
      </c>
      <c r="E355" s="1" t="n">
        <v>46233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46233</v>
      </c>
      <c r="F356" t="inlineStr">
        <is>
          <t>VÄRMLANDS LÄN</t>
        </is>
      </c>
      <c r="G356" t="inlineStr">
        <is>
          <t>HAGFORS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44937</v>
      </c>
      <c r="E357" s="1" t="n">
        <v>46233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46087</v>
      </c>
      <c r="E358" s="1" t="n">
        <v>46233</v>
      </c>
      <c r="F358" t="inlineStr">
        <is>
          <t>VÄRMLANDS LÄN</t>
        </is>
      </c>
      <c r="G358" t="inlineStr">
        <is>
          <t>HAGFORS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46233</v>
      </c>
      <c r="F359" t="inlineStr">
        <is>
          <t>VÄRMLANDS LÄN</t>
        </is>
      </c>
      <c r="G359" t="inlineStr">
        <is>
          <t>HAGFORS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59047-2025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45988</v>
      </c>
      <c r="E360" s="1" t="n">
        <v>46233</v>
      </c>
      <c r="F360" t="inlineStr">
        <is>
          <t>VÄRMLANDS LÄN</t>
        </is>
      </c>
      <c r="G360" t="inlineStr">
        <is>
          <t>HAGFORS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37085-2023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45155</v>
      </c>
      <c r="E361" s="1" t="n">
        <v>46233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37463-2022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44809</v>
      </c>
      <c r="E362" s="1" t="n">
        <v>46233</v>
      </c>
      <c r="F362" t="inlineStr">
        <is>
          <t>VÄRMLANDS LÄN</t>
        </is>
      </c>
      <c r="G362" t="inlineStr">
        <is>
          <t>HAGFORS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59642-2025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46233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18.8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46792-2022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44851</v>
      </c>
      <c r="E364" s="1" t="n">
        <v>46233</v>
      </c>
      <c r="F364" t="inlineStr">
        <is>
          <t>VÄRMLANDS LÄN</t>
        </is>
      </c>
      <c r="G364" t="inlineStr">
        <is>
          <t>HAGFORS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34540-2024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45525</v>
      </c>
      <c r="E365" s="1" t="n">
        <v>46233</v>
      </c>
      <c r="F365" t="inlineStr">
        <is>
          <t>VÄRMLANDS LÄN</t>
        </is>
      </c>
      <c r="G365" t="inlineStr">
        <is>
          <t>HAGFORS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46091</v>
      </c>
      <c r="E366" s="1" t="n">
        <v>46233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46090</v>
      </c>
      <c r="E367" s="1" t="n">
        <v>46233</v>
      </c>
      <c r="F367" t="inlineStr">
        <is>
          <t>VÄRMLANDS LÄN</t>
        </is>
      </c>
      <c r="G367" t="inlineStr">
        <is>
          <t>HAGFORS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33969-2022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44790</v>
      </c>
      <c r="E368" s="1" t="n">
        <v>46233</v>
      </c>
      <c r="F368" t="inlineStr">
        <is>
          <t>VÄRMLANDS LÄN</t>
        </is>
      </c>
      <c r="G368" t="inlineStr">
        <is>
          <t>HAGFORS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46233</v>
      </c>
      <c r="F369" t="inlineStr">
        <is>
          <t>VÄRMLANDS LÄN</t>
        </is>
      </c>
      <c r="G369" t="inlineStr">
        <is>
          <t>HAGFORS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46233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46233</v>
      </c>
      <c r="F371" t="inlineStr">
        <is>
          <t>VÄRMLANDS LÄN</t>
        </is>
      </c>
      <c r="G371" t="inlineStr">
        <is>
          <t>HAGFORS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13360-2026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46233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46233</v>
      </c>
      <c r="F373" t="inlineStr">
        <is>
          <t>VÄRMLANDS LÄN</t>
        </is>
      </c>
      <c r="G373" t="inlineStr">
        <is>
          <t>HAGFORS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24814-2024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45461</v>
      </c>
      <c r="E374" s="1" t="n">
        <v>46233</v>
      </c>
      <c r="F374" t="inlineStr">
        <is>
          <t>VÄRMLANDS LÄN</t>
        </is>
      </c>
      <c r="G374" t="inlineStr">
        <is>
          <t>HAGFORS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46099</v>
      </c>
      <c r="E375" s="1" t="n">
        <v>46233</v>
      </c>
      <c r="F375" t="inlineStr">
        <is>
          <t>VÄRMLANDS LÄN</t>
        </is>
      </c>
      <c r="G375" t="inlineStr">
        <is>
          <t>HAGFORS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46098</v>
      </c>
      <c r="E376" s="1" t="n">
        <v>46233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46233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14288-2026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46233</v>
      </c>
      <c r="F378" t="inlineStr">
        <is>
          <t>VÄRMLANDS LÄN</t>
        </is>
      </c>
      <c r="G378" t="inlineStr">
        <is>
          <t>HAGFORS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46098</v>
      </c>
      <c r="E379" s="1" t="n">
        <v>46233</v>
      </c>
      <c r="F379" t="inlineStr">
        <is>
          <t>VÄRMLANDS LÄN</t>
        </is>
      </c>
      <c r="G379" t="inlineStr">
        <is>
          <t>HAGFORS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60606-2025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45996</v>
      </c>
      <c r="E380" s="1" t="n">
        <v>46233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60648-2025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45996</v>
      </c>
      <c r="E381" s="1" t="n">
        <v>46233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61311-2023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45264</v>
      </c>
      <c r="E382" s="1" t="n">
        <v>46233</v>
      </c>
      <c r="F382" t="inlineStr">
        <is>
          <t>VÄRMLANDS LÄN</t>
        </is>
      </c>
      <c r="G382" t="inlineStr">
        <is>
          <t>HAGFORS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46233</v>
      </c>
      <c r="F383" t="inlineStr">
        <is>
          <t>VÄRMLANDS LÄN</t>
        </is>
      </c>
      <c r="G383" t="inlineStr">
        <is>
          <t>HAGFORS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46233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46233</v>
      </c>
      <c r="F385" t="inlineStr">
        <is>
          <t>VÄRMLANDS LÄN</t>
        </is>
      </c>
      <c r="G385" t="inlineStr">
        <is>
          <t>HAGFORS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70712-2021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44537</v>
      </c>
      <c r="E386" s="1" t="n">
        <v>46233</v>
      </c>
      <c r="F386" t="inlineStr">
        <is>
          <t>VÄRMLANDS LÄN</t>
        </is>
      </c>
      <c r="G386" t="inlineStr">
        <is>
          <t>HAGFORS</t>
        </is>
      </c>
      <c r="H386" t="inlineStr">
        <is>
          <t>Kommuner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14574-2026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46101</v>
      </c>
      <c r="E387" s="1" t="n">
        <v>46233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20060-2023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45054</v>
      </c>
      <c r="E388" s="1" t="n">
        <v>46233</v>
      </c>
      <c r="F388" t="inlineStr">
        <is>
          <t>VÄRMLANDS LÄN</t>
        </is>
      </c>
      <c r="G388" t="inlineStr">
        <is>
          <t>HAGFORS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44571</v>
      </c>
      <c r="E389" s="1" t="n">
        <v>46233</v>
      </c>
      <c r="F389" t="inlineStr">
        <is>
          <t>VÄRMLANDS LÄN</t>
        </is>
      </c>
      <c r="G389" t="inlineStr">
        <is>
          <t>HAGFORS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45758</v>
      </c>
      <c r="E390" s="1" t="n">
        <v>46233</v>
      </c>
      <c r="F390" t="inlineStr">
        <is>
          <t>VÄRMLANDS LÄN</t>
        </is>
      </c>
      <c r="G390" t="inlineStr">
        <is>
          <t>HAGFORS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44924</v>
      </c>
      <c r="E391" s="1" t="n">
        <v>46233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61140-2023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45261</v>
      </c>
      <c r="E392" s="1" t="n">
        <v>46233</v>
      </c>
      <c r="F392" t="inlineStr">
        <is>
          <t>VÄRMLANDS LÄN</t>
        </is>
      </c>
      <c r="G392" t="inlineStr">
        <is>
          <t>HAGFORS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46002</v>
      </c>
      <c r="E393" s="1" t="n">
        <v>46233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14832-2026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46233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45741</v>
      </c>
      <c r="E395" s="1" t="n">
        <v>46233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61718-2025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46002</v>
      </c>
      <c r="E396" s="1" t="n">
        <v>46233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61910-2025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46003</v>
      </c>
      <c r="E397" s="1" t="n">
        <v>46233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46006</v>
      </c>
      <c r="E398" s="1" t="n">
        <v>46233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61850-2025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46003</v>
      </c>
      <c r="E399" s="1" t="n">
        <v>46233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57359-2022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44896</v>
      </c>
      <c r="E400" s="1" t="n">
        <v>46233</v>
      </c>
      <c r="F400" t="inlineStr">
        <is>
          <t>VÄRMLANDS LÄN</t>
        </is>
      </c>
      <c r="G400" t="inlineStr">
        <is>
          <t>HAGFORS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39640-2022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44817</v>
      </c>
      <c r="E401" s="1" t="n">
        <v>46233</v>
      </c>
      <c r="F401" t="inlineStr">
        <is>
          <t>VÄRMLANDS LÄN</t>
        </is>
      </c>
      <c r="G401" t="inlineStr">
        <is>
          <t>HAGFORS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61998-2025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46003</v>
      </c>
      <c r="E402" s="1" t="n">
        <v>46233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62168-2025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46006</v>
      </c>
      <c r="E403" s="1" t="n">
        <v>46233</v>
      </c>
      <c r="F403" t="inlineStr">
        <is>
          <t>VÄRMLANDS LÄN</t>
        </is>
      </c>
      <c r="G403" t="inlineStr">
        <is>
          <t>HAGFORS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45090</v>
      </c>
      <c r="E404" s="1" t="n">
        <v>46233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62240-2025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46233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61843-2025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46003</v>
      </c>
      <c r="E406" s="1" t="n">
        <v>46233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44246-2022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44839</v>
      </c>
      <c r="E407" s="1" t="n">
        <v>46233</v>
      </c>
      <c r="F407" t="inlineStr">
        <is>
          <t>VÄRMLANDS LÄN</t>
        </is>
      </c>
      <c r="G407" t="inlineStr">
        <is>
          <t>HAGFORS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46233</v>
      </c>
      <c r="F408" t="inlineStr">
        <is>
          <t>VÄRMLANDS LÄN</t>
        </is>
      </c>
      <c r="G408" t="inlineStr">
        <is>
          <t>HAGFORS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62749-2025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46008</v>
      </c>
      <c r="E409" s="1" t="n">
        <v>46233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15213-2026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46233</v>
      </c>
      <c r="F410" t="inlineStr">
        <is>
          <t>VÄRMLANDS LÄN</t>
        </is>
      </c>
      <c r="G410" t="inlineStr">
        <is>
          <t>HAGFORS</t>
        </is>
      </c>
      <c r="H410" t="inlineStr">
        <is>
          <t>Kyrkan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46233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15031-2026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46104</v>
      </c>
      <c r="E412" s="1" t="n">
        <v>46233</v>
      </c>
      <c r="F412" t="inlineStr">
        <is>
          <t>VÄRMLANDS LÄN</t>
        </is>
      </c>
      <c r="G412" t="inlineStr">
        <is>
          <t>HAGFORS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62632-2025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46008</v>
      </c>
      <c r="E413" s="1" t="n">
        <v>46233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46233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46233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45218-2021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44439</v>
      </c>
      <c r="E416" s="1" t="n">
        <v>46233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49.5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59449-2024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45638</v>
      </c>
      <c r="E417" s="1" t="n">
        <v>46233</v>
      </c>
      <c r="F417" t="inlineStr">
        <is>
          <t>VÄRMLANDS LÄN</t>
        </is>
      </c>
      <c r="G417" t="inlineStr">
        <is>
          <t>HAGFORS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63301-2025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46233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46233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15577-2026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46233</v>
      </c>
      <c r="F420" t="inlineStr">
        <is>
          <t>VÄRMLANDS LÄN</t>
        </is>
      </c>
      <c r="G420" t="inlineStr">
        <is>
          <t>HAGFORS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46233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61818-2023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46233</v>
      </c>
      <c r="F422" t="inlineStr">
        <is>
          <t>VÄRMLANDS LÄN</t>
        </is>
      </c>
      <c r="G422" t="inlineStr">
        <is>
          <t>HAGFORS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63361-2025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46010</v>
      </c>
      <c r="E423" s="1" t="n">
        <v>46233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63285-2025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46233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46233</v>
      </c>
      <c r="F425" t="inlineStr">
        <is>
          <t>VÄRMLANDS LÄN</t>
        </is>
      </c>
      <c r="G425" t="inlineStr">
        <is>
          <t>HAGFORS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46233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54751-2022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44883</v>
      </c>
      <c r="E427" s="1" t="n">
        <v>46233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15491-2026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46233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16284-2026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46233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9.4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16157-2026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46108</v>
      </c>
      <c r="E430" s="1" t="n">
        <v>46233</v>
      </c>
      <c r="F430" t="inlineStr">
        <is>
          <t>VÄRMLANDS LÄN</t>
        </is>
      </c>
      <c r="G430" t="inlineStr">
        <is>
          <t>HAGFORS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16146-2026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46108</v>
      </c>
      <c r="E431" s="1" t="n">
        <v>46233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63831-2025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46020</v>
      </c>
      <c r="E432" s="1" t="n">
        <v>46233</v>
      </c>
      <c r="F432" t="inlineStr">
        <is>
          <t>VÄRMLANDS LÄN</t>
        </is>
      </c>
      <c r="G432" t="inlineStr">
        <is>
          <t>HAGFORS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63764-2025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46018</v>
      </c>
      <c r="E433" s="1" t="n">
        <v>46233</v>
      </c>
      <c r="F433" t="inlineStr">
        <is>
          <t>VÄRMLANDS LÄN</t>
        </is>
      </c>
      <c r="G433" t="inlineStr">
        <is>
          <t>HAGFORS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63765-2025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46018</v>
      </c>
      <c r="E434" s="1" t="n">
        <v>46233</v>
      </c>
      <c r="F434" t="inlineStr">
        <is>
          <t>VÄRMLANDS LÄN</t>
        </is>
      </c>
      <c r="G434" t="inlineStr">
        <is>
          <t>HAGFORS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45772</v>
      </c>
      <c r="E435" s="1" t="n">
        <v>46233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63875-2025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46020</v>
      </c>
      <c r="E436" s="1" t="n">
        <v>46233</v>
      </c>
      <c r="F436" t="inlineStr">
        <is>
          <t>VÄRMLANDS LÄN</t>
        </is>
      </c>
      <c r="G436" t="inlineStr">
        <is>
          <t>HAGFORS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63834-2025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46020</v>
      </c>
      <c r="E437" s="1" t="n">
        <v>46233</v>
      </c>
      <c r="F437" t="inlineStr">
        <is>
          <t>VÄRMLANDS LÄN</t>
        </is>
      </c>
      <c r="G437" t="inlineStr">
        <is>
          <t>HAGFORS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46233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60390-2025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45995</v>
      </c>
      <c r="E439" s="1" t="n">
        <v>46233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19554-2024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45429</v>
      </c>
      <c r="E440" s="1" t="n">
        <v>46233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28654-2023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46233</v>
      </c>
      <c r="F441" t="inlineStr">
        <is>
          <t>VÄRMLANDS LÄN</t>
        </is>
      </c>
      <c r="G441" t="inlineStr">
        <is>
          <t>HAGFORS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46233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22.7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22503-2024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45447</v>
      </c>
      <c r="E443" s="1" t="n">
        <v>46233</v>
      </c>
      <c r="F443" t="inlineStr">
        <is>
          <t>VÄRMLANDS LÄN</t>
        </is>
      </c>
      <c r="G443" t="inlineStr">
        <is>
          <t>HAGFORS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48807-2025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45937</v>
      </c>
      <c r="E444" s="1" t="n">
        <v>46233</v>
      </c>
      <c r="F444" t="inlineStr">
        <is>
          <t>VÄRMLANDS LÄN</t>
        </is>
      </c>
      <c r="G444" t="inlineStr">
        <is>
          <t>HAGFORS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975-2026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46030</v>
      </c>
      <c r="E445" s="1" t="n">
        <v>46233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45562</v>
      </c>
      <c r="E446" s="1" t="n">
        <v>46233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46029</v>
      </c>
      <c r="E447" s="1" t="n">
        <v>46233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20.2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45684</v>
      </c>
      <c r="E448" s="1" t="n">
        <v>46233</v>
      </c>
      <c r="F448" t="inlineStr">
        <is>
          <t>VÄRMLANDS LÄN</t>
        </is>
      </c>
      <c r="G448" t="inlineStr">
        <is>
          <t>HAGFORS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15587-2026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46233</v>
      </c>
      <c r="F449" t="inlineStr">
        <is>
          <t>VÄRMLANDS LÄN</t>
        </is>
      </c>
      <c r="G449" t="inlineStr">
        <is>
          <t>HAGFORS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44728-2023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45190</v>
      </c>
      <c r="E450" s="1" t="n">
        <v>46233</v>
      </c>
      <c r="F450" t="inlineStr">
        <is>
          <t>VÄRMLANDS LÄN</t>
        </is>
      </c>
      <c r="G450" t="inlineStr">
        <is>
          <t>HAGFORS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3557-2023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44950</v>
      </c>
      <c r="E451" s="1" t="n">
        <v>46233</v>
      </c>
      <c r="F451" t="inlineStr">
        <is>
          <t>VÄRMLANDS LÄN</t>
        </is>
      </c>
      <c r="G451" t="inlineStr">
        <is>
          <t>HAGFORS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44950</v>
      </c>
      <c r="E452" s="1" t="n">
        <v>46233</v>
      </c>
      <c r="F452" t="inlineStr">
        <is>
          <t>VÄRMLANDS LÄN</t>
        </is>
      </c>
      <c r="G452" t="inlineStr">
        <is>
          <t>HAGFORS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46233</v>
      </c>
      <c r="F453" t="inlineStr">
        <is>
          <t>VÄRMLANDS LÄN</t>
        </is>
      </c>
      <c r="G453" t="inlineStr">
        <is>
          <t>HAGFORS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46034</v>
      </c>
      <c r="E454" s="1" t="n">
        <v>46233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46114</v>
      </c>
      <c r="E455" s="1" t="n">
        <v>46233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65065-2023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45287</v>
      </c>
      <c r="E456" s="1" t="n">
        <v>46233</v>
      </c>
      <c r="F456" t="inlineStr">
        <is>
          <t>VÄRMLANDS LÄN</t>
        </is>
      </c>
      <c r="G456" t="inlineStr">
        <is>
          <t>HAGFORS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58210-2022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44901</v>
      </c>
      <c r="E457" s="1" t="n">
        <v>46233</v>
      </c>
      <c r="F457" t="inlineStr">
        <is>
          <t>VÄRMLANDS LÄN</t>
        </is>
      </c>
      <c r="G457" t="inlineStr">
        <is>
          <t>HAGFORS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25258-2023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45079</v>
      </c>
      <c r="E458" s="1" t="n">
        <v>46233</v>
      </c>
      <c r="F458" t="inlineStr">
        <is>
          <t>VÄRMLANDS LÄN</t>
        </is>
      </c>
      <c r="G458" t="inlineStr">
        <is>
          <t>HAGFORS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17815-2026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46122</v>
      </c>
      <c r="E459" s="1" t="n">
        <v>46233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17843-2026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46122</v>
      </c>
      <c r="E460" s="1" t="n">
        <v>46233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33399-2024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45519</v>
      </c>
      <c r="E461" s="1" t="n">
        <v>46233</v>
      </c>
      <c r="F461" t="inlineStr">
        <is>
          <t>VÄRMLANDS LÄN</t>
        </is>
      </c>
      <c r="G461" t="inlineStr">
        <is>
          <t>HAGFORS</t>
        </is>
      </c>
      <c r="I461" t="n">
        <v>8.4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17778-2026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46122</v>
      </c>
      <c r="E462" s="1" t="n">
        <v>46233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30158-2024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45489</v>
      </c>
      <c r="E463" s="1" t="n">
        <v>46233</v>
      </c>
      <c r="F463" t="inlineStr">
        <is>
          <t>VÄRMLANDS LÄN</t>
        </is>
      </c>
      <c r="G463" t="inlineStr">
        <is>
          <t>HAGFORS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38612-2023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46233</v>
      </c>
      <c r="F464" t="inlineStr">
        <is>
          <t>VÄRMLANDS LÄN</t>
        </is>
      </c>
      <c r="G464" t="inlineStr">
        <is>
          <t>HAGFORS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18217-2026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46126</v>
      </c>
      <c r="E465" s="1" t="n">
        <v>46233</v>
      </c>
      <c r="F465" t="inlineStr">
        <is>
          <t>VÄRMLANDS LÄN</t>
        </is>
      </c>
      <c r="G465" t="inlineStr">
        <is>
          <t>HAGFORS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46233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46233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46233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24638-2023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45084</v>
      </c>
      <c r="E469" s="1" t="n">
        <v>46233</v>
      </c>
      <c r="F469" t="inlineStr">
        <is>
          <t>VÄRMLANDS LÄN</t>
        </is>
      </c>
      <c r="G469" t="inlineStr">
        <is>
          <t>HAGFORS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18901-2026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46129</v>
      </c>
      <c r="E470" s="1" t="n">
        <v>46233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44951</v>
      </c>
      <c r="E471" s="1" t="n">
        <v>46233</v>
      </c>
      <c r="F471" t="inlineStr">
        <is>
          <t>VÄRMLANDS LÄN</t>
        </is>
      </c>
      <c r="G471" t="inlineStr">
        <is>
          <t>HAGFORS</t>
        </is>
      </c>
      <c r="H471" t="inlineStr">
        <is>
          <t>Kyrkan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18854-2026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46129</v>
      </c>
      <c r="E472" s="1" t="n">
        <v>46233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18895-2026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46129</v>
      </c>
      <c r="E473" s="1" t="n">
        <v>46233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18951-2026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46129</v>
      </c>
      <c r="E474" s="1" t="n">
        <v>46233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44938</v>
      </c>
      <c r="E475" s="1" t="n">
        <v>46233</v>
      </c>
      <c r="F475" t="inlineStr">
        <is>
          <t>VÄRMLANDS LÄN</t>
        </is>
      </c>
      <c r="G475" t="inlineStr">
        <is>
          <t>HAGFORS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6910-2024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45343</v>
      </c>
      <c r="E476" s="1" t="n">
        <v>46233</v>
      </c>
      <c r="F476" t="inlineStr">
        <is>
          <t>VÄRMLANDS LÄN</t>
        </is>
      </c>
      <c r="G476" t="inlineStr">
        <is>
          <t>HAGFORS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19339-2026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46133</v>
      </c>
      <c r="E477" s="1" t="n">
        <v>46233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19548-2026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46233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19459-2026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46233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27826-2024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45475</v>
      </c>
      <c r="E480" s="1" t="n">
        <v>46233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27827-2024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46233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19125-2024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45428</v>
      </c>
      <c r="E482" s="1" t="n">
        <v>46233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19.5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19307-2026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46133</v>
      </c>
      <c r="E483" s="1" t="n">
        <v>46233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19350-2026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46133</v>
      </c>
      <c r="E484" s="1" t="n">
        <v>46233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45335</v>
      </c>
      <c r="E485" s="1" t="n">
        <v>46233</v>
      </c>
      <c r="F485" t="inlineStr">
        <is>
          <t>VÄRMLANDS LÄN</t>
        </is>
      </c>
      <c r="G485" t="inlineStr">
        <is>
          <t>HAGFORS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46134</v>
      </c>
      <c r="E486" s="1" t="n">
        <v>46233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17305-2023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45035</v>
      </c>
      <c r="E487" s="1" t="n">
        <v>46233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19421-2026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46133</v>
      </c>
      <c r="E488" s="1" t="n">
        <v>46233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44567</v>
      </c>
      <c r="E489" s="1" t="n">
        <v>46233</v>
      </c>
      <c r="F489" t="inlineStr">
        <is>
          <t>VÄRMLANDS LÄN</t>
        </is>
      </c>
      <c r="G489" t="inlineStr">
        <is>
          <t>HAGFORS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46233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10236-2022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44622</v>
      </c>
      <c r="E491" s="1" t="n">
        <v>46233</v>
      </c>
      <c r="F491" t="inlineStr">
        <is>
          <t>VÄRMLANDS LÄN</t>
        </is>
      </c>
      <c r="G491" t="inlineStr">
        <is>
          <t>HAGFORS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10297-2025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45720</v>
      </c>
      <c r="E492" s="1" t="n">
        <v>46233</v>
      </c>
      <c r="F492" t="inlineStr">
        <is>
          <t>VÄRMLANDS LÄN</t>
        </is>
      </c>
      <c r="G492" t="inlineStr">
        <is>
          <t>HAGFORS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28571-2025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45819</v>
      </c>
      <c r="E493" s="1" t="n">
        <v>46233</v>
      </c>
      <c r="F493" t="inlineStr">
        <is>
          <t>VÄRMLANDS LÄN</t>
        </is>
      </c>
      <c r="G493" t="inlineStr">
        <is>
          <t>HAGFORS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41603-2023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45175</v>
      </c>
      <c r="E494" s="1" t="n">
        <v>46233</v>
      </c>
      <c r="F494" t="inlineStr">
        <is>
          <t>VÄRMLANDS LÄN</t>
        </is>
      </c>
      <c r="G494" t="inlineStr">
        <is>
          <t>HAGFORS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45107</v>
      </c>
      <c r="E495" s="1" t="n">
        <v>46233</v>
      </c>
      <c r="F495" t="inlineStr">
        <is>
          <t>VÄRMLANDS LÄN</t>
        </is>
      </c>
      <c r="G495" t="inlineStr">
        <is>
          <t>HAGFORS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32688-2025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45838</v>
      </c>
      <c r="E496" s="1" t="n">
        <v>46233</v>
      </c>
      <c r="F496" t="inlineStr">
        <is>
          <t>VÄRMLANDS LÄN</t>
        </is>
      </c>
      <c r="G496" t="inlineStr">
        <is>
          <t>HAGFORS</t>
        </is>
      </c>
      <c r="H496" t="inlineStr">
        <is>
          <t>Kyrkan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4028-2025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45684</v>
      </c>
      <c r="E497" s="1" t="n">
        <v>46233</v>
      </c>
      <c r="F497" t="inlineStr">
        <is>
          <t>VÄRMLANDS LÄN</t>
        </is>
      </c>
      <c r="G497" t="inlineStr">
        <is>
          <t>HAGFORS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45547</v>
      </c>
      <c r="E498" s="1" t="n">
        <v>46233</v>
      </c>
      <c r="F498" t="inlineStr">
        <is>
          <t>VÄRMLANDS LÄN</t>
        </is>
      </c>
      <c r="G498" t="inlineStr">
        <is>
          <t>HAGFORS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35065-2023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45145</v>
      </c>
      <c r="E499" s="1" t="n">
        <v>46233</v>
      </c>
      <c r="F499" t="inlineStr">
        <is>
          <t>VÄRMLANDS LÄN</t>
        </is>
      </c>
      <c r="G499" t="inlineStr">
        <is>
          <t>HAGFORS</t>
        </is>
      </c>
      <c r="I499" t="n">
        <v>13.5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34636-2024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45526</v>
      </c>
      <c r="E500" s="1" t="n">
        <v>46233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57162-2024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46233</v>
      </c>
      <c r="F501" t="inlineStr">
        <is>
          <t>VÄRMLANDS LÄN</t>
        </is>
      </c>
      <c r="G501" t="inlineStr">
        <is>
          <t>HAGFORS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27410-2023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45097</v>
      </c>
      <c r="E502" s="1" t="n">
        <v>46233</v>
      </c>
      <c r="F502" t="inlineStr">
        <is>
          <t>VÄRMLANDS LÄN</t>
        </is>
      </c>
      <c r="G502" t="inlineStr">
        <is>
          <t>HAGFORS</t>
        </is>
      </c>
      <c r="H502" t="inlineStr">
        <is>
          <t>Kyrkan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45833</v>
      </c>
      <c r="E503" s="1" t="n">
        <v>46233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45783</v>
      </c>
      <c r="E504" s="1" t="n">
        <v>46233</v>
      </c>
      <c r="F504" t="inlineStr">
        <is>
          <t>VÄRMLANDS LÄN</t>
        </is>
      </c>
      <c r="G504" t="inlineStr">
        <is>
          <t>HAGFORS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19993-2026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46136</v>
      </c>
      <c r="E505" s="1" t="n">
        <v>46233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8.4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22346-2025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45786</v>
      </c>
      <c r="E506" s="1" t="n">
        <v>46233</v>
      </c>
      <c r="F506" t="inlineStr">
        <is>
          <t>VÄRMLANDS LÄN</t>
        </is>
      </c>
      <c r="G506" t="inlineStr">
        <is>
          <t>HAGFORS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40692-2022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44824</v>
      </c>
      <c r="E507" s="1" t="n">
        <v>46233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46233</v>
      </c>
      <c r="F508" t="inlineStr">
        <is>
          <t>VÄRMLANDS LÄN</t>
        </is>
      </c>
      <c r="G508" t="inlineStr">
        <is>
          <t>HAGFORS</t>
        </is>
      </c>
      <c r="I508" t="n">
        <v>18.2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23047-2024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45450</v>
      </c>
      <c r="E509" s="1" t="n">
        <v>46233</v>
      </c>
      <c r="F509" t="inlineStr">
        <is>
          <t>VÄRMLANDS LÄN</t>
        </is>
      </c>
      <c r="G509" t="inlineStr">
        <is>
          <t>HAGFORS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52083-2024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45608</v>
      </c>
      <c r="E510" s="1" t="n">
        <v>46233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45582</v>
      </c>
      <c r="E511" s="1" t="n">
        <v>46233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43998-2024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46233</v>
      </c>
      <c r="F512" t="inlineStr">
        <is>
          <t>VÄRMLANDS LÄN</t>
        </is>
      </c>
      <c r="G512" t="inlineStr">
        <is>
          <t>HAGFORS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59552-2024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45638</v>
      </c>
      <c r="E513" s="1" t="n">
        <v>46233</v>
      </c>
      <c r="F513" t="inlineStr">
        <is>
          <t>VÄRMLANDS LÄN</t>
        </is>
      </c>
      <c r="G513" t="inlineStr">
        <is>
          <t>HAGFORS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6980-2022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44603</v>
      </c>
      <c r="E514" s="1" t="n">
        <v>46233</v>
      </c>
      <c r="F514" t="inlineStr">
        <is>
          <t>VÄRMLANDS LÄN</t>
        </is>
      </c>
      <c r="G514" t="inlineStr">
        <is>
          <t>HAGFORS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45847</v>
      </c>
      <c r="E515" s="1" t="n">
        <v>46233</v>
      </c>
      <c r="F515" t="inlineStr">
        <is>
          <t>VÄRMLANDS LÄN</t>
        </is>
      </c>
      <c r="G515" t="inlineStr">
        <is>
          <t>HAGFORS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44596</v>
      </c>
      <c r="E516" s="1" t="n">
        <v>46233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63868-2025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46020</v>
      </c>
      <c r="E517" s="1" t="n">
        <v>46233</v>
      </c>
      <c r="F517" t="inlineStr">
        <is>
          <t>VÄRMLANDS LÄN</t>
        </is>
      </c>
      <c r="G517" t="inlineStr">
        <is>
          <t>HAGFORS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29492-2024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45484</v>
      </c>
      <c r="E518" s="1" t="n">
        <v>46233</v>
      </c>
      <c r="F518" t="inlineStr">
        <is>
          <t>VÄRMLANDS LÄN</t>
        </is>
      </c>
      <c r="G518" t="inlineStr">
        <is>
          <t>HAGFORS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50929-2023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46233</v>
      </c>
      <c r="F519" t="inlineStr">
        <is>
          <t>VÄRMLANDS LÄN</t>
        </is>
      </c>
      <c r="G519" t="inlineStr">
        <is>
          <t>HAGFORS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41092-2024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45559</v>
      </c>
      <c r="E520" s="1" t="n">
        <v>46233</v>
      </c>
      <c r="F520" t="inlineStr">
        <is>
          <t>VÄRMLANDS LÄN</t>
        </is>
      </c>
      <c r="G520" t="inlineStr">
        <is>
          <t>HAGFORS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54744-2024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45618</v>
      </c>
      <c r="E521" s="1" t="n">
        <v>46233</v>
      </c>
      <c r="F521" t="inlineStr">
        <is>
          <t>VÄRMLANDS LÄN</t>
        </is>
      </c>
      <c r="G521" t="inlineStr">
        <is>
          <t>HAGFORS</t>
        </is>
      </c>
      <c r="H521" t="inlineStr">
        <is>
          <t>Kyrkan</t>
        </is>
      </c>
      <c r="I521" t="n">
        <v>8.800000000000001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46139</v>
      </c>
      <c r="E522" s="1" t="n">
        <v>46233</v>
      </c>
      <c r="F522" t="inlineStr">
        <is>
          <t>VÄRMLANDS LÄN</t>
        </is>
      </c>
      <c r="G522" t="inlineStr">
        <is>
          <t>HAGFORS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22031-2023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45069</v>
      </c>
      <c r="E523" s="1" t="n">
        <v>46233</v>
      </c>
      <c r="F523" t="inlineStr">
        <is>
          <t>VÄRMLANDS LÄN</t>
        </is>
      </c>
      <c r="G523" t="inlineStr">
        <is>
          <t>HAGFORS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32690-2025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45839</v>
      </c>
      <c r="E524" s="1" t="n">
        <v>46233</v>
      </c>
      <c r="F524" t="inlineStr">
        <is>
          <t>VÄRMLANDS LÄN</t>
        </is>
      </c>
      <c r="G524" t="inlineStr">
        <is>
          <t>HAGFORS</t>
        </is>
      </c>
      <c r="H524" t="inlineStr">
        <is>
          <t>Kyrkan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23179-2025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46233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45873</v>
      </c>
      <c r="E526" s="1" t="n">
        <v>46233</v>
      </c>
      <c r="F526" t="inlineStr">
        <is>
          <t>VÄRMLANDS LÄN</t>
        </is>
      </c>
      <c r="G526" t="inlineStr">
        <is>
          <t>HAGFORS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60582-2024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45644</v>
      </c>
      <c r="E527" s="1" t="n">
        <v>46233</v>
      </c>
      <c r="F527" t="inlineStr">
        <is>
          <t>VÄRMLANDS LÄN</t>
        </is>
      </c>
      <c r="G527" t="inlineStr">
        <is>
          <t>HAGFORS</t>
        </is>
      </c>
      <c r="H527" t="inlineStr">
        <is>
          <t>Kyrkan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31657-2024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45506</v>
      </c>
      <c r="E528" s="1" t="n">
        <v>46233</v>
      </c>
      <c r="F528" t="inlineStr">
        <is>
          <t>VÄRMLANDS LÄN</t>
        </is>
      </c>
      <c r="G528" t="inlineStr">
        <is>
          <t>HAGFORS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46233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46140</v>
      </c>
      <c r="E530" s="1" t="n">
        <v>46233</v>
      </c>
      <c r="F530" t="inlineStr">
        <is>
          <t>VÄRMLANDS LÄN</t>
        </is>
      </c>
      <c r="G530" t="inlineStr">
        <is>
          <t>HAGFORS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24000-2025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45796</v>
      </c>
      <c r="E531" s="1" t="n">
        <v>46233</v>
      </c>
      <c r="F531" t="inlineStr">
        <is>
          <t>VÄRMLANDS LÄN</t>
        </is>
      </c>
      <c r="G531" t="inlineStr">
        <is>
          <t>HAGFORS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60991-2024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45645</v>
      </c>
      <c r="E532" s="1" t="n">
        <v>46233</v>
      </c>
      <c r="F532" t="inlineStr">
        <is>
          <t>VÄRMLANDS LÄN</t>
        </is>
      </c>
      <c r="G532" t="inlineStr">
        <is>
          <t>HAGFORS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15886-2022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44664</v>
      </c>
      <c r="E533" s="1" t="n">
        <v>46233</v>
      </c>
      <c r="F533" t="inlineStr">
        <is>
          <t>VÄRMLANDS LÄN</t>
        </is>
      </c>
      <c r="G533" t="inlineStr">
        <is>
          <t>HAGFORS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46233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45659</v>
      </c>
      <c r="E535" s="1" t="n">
        <v>46233</v>
      </c>
      <c r="F535" t="inlineStr">
        <is>
          <t>VÄRMLANDS LÄN</t>
        </is>
      </c>
      <c r="G535" t="inlineStr">
        <is>
          <t>HAGFORS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26615-2024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45469</v>
      </c>
      <c r="E536" s="1" t="n">
        <v>46233</v>
      </c>
      <c r="F536" t="inlineStr">
        <is>
          <t>VÄRMLANDS LÄN</t>
        </is>
      </c>
      <c r="G536" t="inlineStr">
        <is>
          <t>HAGFORS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26628-2024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45469</v>
      </c>
      <c r="E537" s="1" t="n">
        <v>46233</v>
      </c>
      <c r="F537" t="inlineStr">
        <is>
          <t>VÄRMLANDS LÄN</t>
        </is>
      </c>
      <c r="G537" t="inlineStr">
        <is>
          <t>HAGFORS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12778-2025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45733</v>
      </c>
      <c r="E538" s="1" t="n">
        <v>46233</v>
      </c>
      <c r="F538" t="inlineStr">
        <is>
          <t>VÄRMLANDS LÄN</t>
        </is>
      </c>
      <c r="G538" t="inlineStr">
        <is>
          <t>HAGFORS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45846</v>
      </c>
      <c r="E539" s="1" t="n">
        <v>46233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20113-2023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45055</v>
      </c>
      <c r="E540" s="1" t="n">
        <v>46233</v>
      </c>
      <c r="F540" t="inlineStr">
        <is>
          <t>VÄRMLANDS LÄN</t>
        </is>
      </c>
      <c r="G540" t="inlineStr">
        <is>
          <t>HAGFORS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20756-2026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46141</v>
      </c>
      <c r="E541" s="1" t="n">
        <v>46233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20759-2026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46141</v>
      </c>
      <c r="E542" s="1" t="n">
        <v>46233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61265-2022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44915</v>
      </c>
      <c r="E543" s="1" t="n">
        <v>46233</v>
      </c>
      <c r="F543" t="inlineStr">
        <is>
          <t>VÄRMLANDS LÄN</t>
        </is>
      </c>
      <c r="G543" t="inlineStr">
        <is>
          <t>HAGFORS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68252-2021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44526</v>
      </c>
      <c r="E544" s="1" t="n">
        <v>46233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18585-2025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45763</v>
      </c>
      <c r="E545" s="1" t="n">
        <v>46233</v>
      </c>
      <c r="F545" t="inlineStr">
        <is>
          <t>VÄRMLANDS LÄN</t>
        </is>
      </c>
      <c r="G545" t="inlineStr">
        <is>
          <t>HAGFORS</t>
        </is>
      </c>
      <c r="H545" t="inlineStr">
        <is>
          <t>Kyrkan</t>
        </is>
      </c>
      <c r="I545" t="n">
        <v>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20752-2026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46141</v>
      </c>
      <c r="E546" s="1" t="n">
        <v>46233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46233</v>
      </c>
      <c r="F547" t="inlineStr">
        <is>
          <t>VÄRMLANDS LÄN</t>
        </is>
      </c>
      <c r="G547" t="inlineStr">
        <is>
          <t>HAGFORS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20880-2026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46142</v>
      </c>
      <c r="E548" s="1" t="n">
        <v>46233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46233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54112-2023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45232</v>
      </c>
      <c r="E550" s="1" t="n">
        <v>46233</v>
      </c>
      <c r="F550" t="inlineStr">
        <is>
          <t>VÄRMLANDS LÄN</t>
        </is>
      </c>
      <c r="G550" t="inlineStr">
        <is>
          <t>HAGFORS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32627-2023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45121</v>
      </c>
      <c r="E551" s="1" t="n">
        <v>46233</v>
      </c>
      <c r="F551" t="inlineStr">
        <is>
          <t>VÄRMLANDS LÄN</t>
        </is>
      </c>
      <c r="G551" t="inlineStr">
        <is>
          <t>HAGFORS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9763-2025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45716</v>
      </c>
      <c r="E552" s="1" t="n">
        <v>46233</v>
      </c>
      <c r="F552" t="inlineStr">
        <is>
          <t>VÄRMLANDS LÄN</t>
        </is>
      </c>
      <c r="G552" t="inlineStr">
        <is>
          <t>HAGFORS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19391-2025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45769</v>
      </c>
      <c r="E553" s="1" t="n">
        <v>46233</v>
      </c>
      <c r="F553" t="inlineStr">
        <is>
          <t>VÄRMLANDS LÄN</t>
        </is>
      </c>
      <c r="G553" t="inlineStr">
        <is>
          <t>HAGFORS</t>
        </is>
      </c>
      <c r="I553" t="n">
        <v>6.2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52924-2023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45226</v>
      </c>
      <c r="E554" s="1" t="n">
        <v>46233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13094-2024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45385</v>
      </c>
      <c r="E555" s="1" t="n">
        <v>46233</v>
      </c>
      <c r="F555" t="inlineStr">
        <is>
          <t>VÄRMLANDS LÄN</t>
        </is>
      </c>
      <c r="G555" t="inlineStr">
        <is>
          <t>HAGFORS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7087-2026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46058</v>
      </c>
      <c r="E556" s="1" t="n">
        <v>46233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8496-2022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44613</v>
      </c>
      <c r="E557" s="1" t="n">
        <v>46233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45679</v>
      </c>
      <c r="E558" s="1" t="n">
        <v>46233</v>
      </c>
      <c r="F558" t="inlineStr">
        <is>
          <t>VÄRMLANDS LÄN</t>
        </is>
      </c>
      <c r="G558" t="inlineStr">
        <is>
          <t>HAGFORS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45692</v>
      </c>
      <c r="E559" s="1" t="n">
        <v>46233</v>
      </c>
      <c r="F559" t="inlineStr">
        <is>
          <t>VÄRMLANDS LÄN</t>
        </is>
      </c>
      <c r="G559" t="inlineStr">
        <is>
          <t>HAGFORS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40601-2021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44420</v>
      </c>
      <c r="E560" s="1" t="n">
        <v>46233</v>
      </c>
      <c r="F560" t="inlineStr">
        <is>
          <t>VÄRMLANDS LÄN</t>
        </is>
      </c>
      <c r="G560" t="inlineStr">
        <is>
          <t>HAGFORS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46233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46142</v>
      </c>
      <c r="E562" s="1" t="n">
        <v>46233</v>
      </c>
      <c r="F562" t="inlineStr">
        <is>
          <t>VÄRMLANDS LÄN</t>
        </is>
      </c>
      <c r="G562" t="inlineStr">
        <is>
          <t>HAGFORS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20706-2026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46141</v>
      </c>
      <c r="E563" s="1" t="n">
        <v>46233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12434-2022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44638</v>
      </c>
      <c r="E564" s="1" t="n">
        <v>46233</v>
      </c>
      <c r="F564" t="inlineStr">
        <is>
          <t>VÄRMLANDS LÄN</t>
        </is>
      </c>
      <c r="G564" t="inlineStr">
        <is>
          <t>HAGFORS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21203-2026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46233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45149</v>
      </c>
      <c r="E566" s="1" t="n">
        <v>46233</v>
      </c>
      <c r="F566" t="inlineStr">
        <is>
          <t>VÄRMLANDS LÄN</t>
        </is>
      </c>
      <c r="G566" t="inlineStr">
        <is>
          <t>HAGFORS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7332-2025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45703</v>
      </c>
      <c r="E567" s="1" t="n">
        <v>46233</v>
      </c>
      <c r="F567" t="inlineStr">
        <is>
          <t>VÄRMLANDS LÄN</t>
        </is>
      </c>
      <c r="G567" t="inlineStr">
        <is>
          <t>HAGFORS</t>
        </is>
      </c>
      <c r="H567" t="inlineStr">
        <is>
          <t>Kyrkan</t>
        </is>
      </c>
      <c r="I567" t="n">
        <v>15.9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35886-2023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45148</v>
      </c>
      <c r="E568" s="1" t="n">
        <v>46233</v>
      </c>
      <c r="F568" t="inlineStr">
        <is>
          <t>VÄRMLANDS LÄN</t>
        </is>
      </c>
      <c r="G568" t="inlineStr">
        <is>
          <t>HAGFORS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29855-2023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46233</v>
      </c>
      <c r="F569" t="inlineStr">
        <is>
          <t>VÄRMLANDS LÄN</t>
        </is>
      </c>
      <c r="G569" t="inlineStr">
        <is>
          <t>HAGFORS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18699-2022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44687</v>
      </c>
      <c r="E570" s="1" t="n">
        <v>46233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21879-2026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46150</v>
      </c>
      <c r="E571" s="1" t="n">
        <v>46233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21776-2026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46150</v>
      </c>
      <c r="E572" s="1" t="n">
        <v>46233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46233</v>
      </c>
      <c r="F573" t="inlineStr">
        <is>
          <t>VÄRMLANDS LÄN</t>
        </is>
      </c>
      <c r="G573" t="inlineStr">
        <is>
          <t>HAGFORS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21728-2026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46233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56808-2023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45244</v>
      </c>
      <c r="E575" s="1" t="n">
        <v>46233</v>
      </c>
      <c r="F575" t="inlineStr">
        <is>
          <t>VÄRMLANDS LÄN</t>
        </is>
      </c>
      <c r="G575" t="inlineStr">
        <is>
          <t>HAGFORS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21762-2026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46150</v>
      </c>
      <c r="E576" s="1" t="n">
        <v>46233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3996-2025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45684</v>
      </c>
      <c r="E577" s="1" t="n">
        <v>46233</v>
      </c>
      <c r="F577" t="inlineStr">
        <is>
          <t>VÄRMLANDS LÄN</t>
        </is>
      </c>
      <c r="G577" t="inlineStr">
        <is>
          <t>HAGFORS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46191</v>
      </c>
      <c r="E578" s="1" t="n">
        <v>46233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27855-2026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46191</v>
      </c>
      <c r="E579" s="1" t="n">
        <v>46233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40835-2023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45172</v>
      </c>
      <c r="E580" s="1" t="n">
        <v>46233</v>
      </c>
      <c r="F580" t="inlineStr">
        <is>
          <t>VÄRMLANDS LÄN</t>
        </is>
      </c>
      <c r="G580" t="inlineStr">
        <is>
          <t>HAGFORS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52224-2023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45224</v>
      </c>
      <c r="E581" s="1" t="n">
        <v>46233</v>
      </c>
      <c r="F581" t="inlineStr">
        <is>
          <t>VÄRMLANDS LÄN</t>
        </is>
      </c>
      <c r="G581" t="inlineStr">
        <is>
          <t>HAGFORS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9474-2025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45715</v>
      </c>
      <c r="E582" s="1" t="n">
        <v>46233</v>
      </c>
      <c r="F582" t="inlineStr">
        <is>
          <t>VÄRMLANDS LÄN</t>
        </is>
      </c>
      <c r="G582" t="inlineStr">
        <is>
          <t>HAGFORS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18907-2025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45764</v>
      </c>
      <c r="E583" s="1" t="n">
        <v>46233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46233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30180-2023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45110</v>
      </c>
      <c r="E585" s="1" t="n">
        <v>46233</v>
      </c>
      <c r="F585" t="inlineStr">
        <is>
          <t>VÄRMLANDS LÄN</t>
        </is>
      </c>
      <c r="G585" t="inlineStr">
        <is>
          <t>HAGFORS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8129-2024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45351</v>
      </c>
      <c r="E586" s="1" t="n">
        <v>46233</v>
      </c>
      <c r="F586" t="inlineStr">
        <is>
          <t>VÄRMLANDS LÄN</t>
        </is>
      </c>
      <c r="G586" t="inlineStr">
        <is>
          <t>HAGFORS</t>
        </is>
      </c>
      <c r="H586" t="inlineStr">
        <is>
          <t>Kyrkan</t>
        </is>
      </c>
      <c r="I586" t="n">
        <v>10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28788-2026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46233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22667-2026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46155</v>
      </c>
      <c r="E588" s="1" t="n">
        <v>46233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61232-2024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45645</v>
      </c>
      <c r="E589" s="1" t="n">
        <v>46233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22572-2026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46233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64155-2023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45279</v>
      </c>
      <c r="E591" s="1" t="n">
        <v>46233</v>
      </c>
      <c r="F591" t="inlineStr">
        <is>
          <t>VÄRMLANDS LÄN</t>
        </is>
      </c>
      <c r="G591" t="inlineStr">
        <is>
          <t>HAGFORS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46155</v>
      </c>
      <c r="E592" s="1" t="n">
        <v>46233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28625-2026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46198</v>
      </c>
      <c r="E593" s="1" t="n">
        <v>46233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28748-2026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46233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28720-2026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46233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14464-2025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46233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22588-2026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46233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46233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46233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22917-2026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46233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46200</v>
      </c>
      <c r="E601" s="1" t="n">
        <v>46233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29102-2026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46200</v>
      </c>
      <c r="E602" s="1" t="n">
        <v>46233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58437-2023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45250</v>
      </c>
      <c r="E603" s="1" t="n">
        <v>46233</v>
      </c>
      <c r="F603" t="inlineStr">
        <is>
          <t>VÄRMLANDS LÄN</t>
        </is>
      </c>
      <c r="G603" t="inlineStr">
        <is>
          <t>HAGFORS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11160-2025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45723</v>
      </c>
      <c r="E604" s="1" t="n">
        <v>46233</v>
      </c>
      <c r="F604" t="inlineStr">
        <is>
          <t>VÄRMLANDS LÄN</t>
        </is>
      </c>
      <c r="G604" t="inlineStr">
        <is>
          <t>HAGFORS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11180-2025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45725</v>
      </c>
      <c r="E605" s="1" t="n">
        <v>46233</v>
      </c>
      <c r="F605" t="inlineStr">
        <is>
          <t>VÄRMLANDS LÄN</t>
        </is>
      </c>
      <c r="G605" t="inlineStr">
        <is>
          <t>HAGFORS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30710-2022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44763</v>
      </c>
      <c r="E606" s="1" t="n">
        <v>46233</v>
      </c>
      <c r="F606" t="inlineStr">
        <is>
          <t>VÄRMLANDS LÄN</t>
        </is>
      </c>
      <c r="G606" t="inlineStr">
        <is>
          <t>HAGFORS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2315-2024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45310</v>
      </c>
      <c r="E607" s="1" t="n">
        <v>46233</v>
      </c>
      <c r="F607" t="inlineStr">
        <is>
          <t>VÄRMLANDS LÄN</t>
        </is>
      </c>
      <c r="G607" t="inlineStr">
        <is>
          <t>HAGFORS</t>
        </is>
      </c>
      <c r="H607" t="inlineStr">
        <is>
          <t>Kyrkan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22911-2026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46160</v>
      </c>
      <c r="E608" s="1" t="n">
        <v>46233</v>
      </c>
      <c r="F608" t="inlineStr">
        <is>
          <t>VÄRMLANDS LÄN</t>
        </is>
      </c>
      <c r="G608" t="inlineStr">
        <is>
          <t>HAGFORS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22925-2026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46160</v>
      </c>
      <c r="E609" s="1" t="n">
        <v>46233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49585-2023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45211</v>
      </c>
      <c r="E610" s="1" t="n">
        <v>46233</v>
      </c>
      <c r="F610" t="inlineStr">
        <is>
          <t>VÄRMLANDS LÄN</t>
        </is>
      </c>
      <c r="G610" t="inlineStr">
        <is>
          <t>HAGFORS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25349-2023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45087</v>
      </c>
      <c r="E611" s="1" t="n">
        <v>46233</v>
      </c>
      <c r="F611" t="inlineStr">
        <is>
          <t>VÄRMLANDS LÄN</t>
        </is>
      </c>
      <c r="G611" t="inlineStr">
        <is>
          <t>HAGFORS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61304-2023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45264</v>
      </c>
      <c r="E612" s="1" t="n">
        <v>46233</v>
      </c>
      <c r="F612" t="inlineStr">
        <is>
          <t>VÄRMLANDS LÄN</t>
        </is>
      </c>
      <c r="G612" t="inlineStr">
        <is>
          <t>HAGFORS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5482-2022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44595</v>
      </c>
      <c r="E613" s="1" t="n">
        <v>46233</v>
      </c>
      <c r="F613" t="inlineStr">
        <is>
          <t>VÄRMLANDS LÄN</t>
        </is>
      </c>
      <c r="G613" t="inlineStr">
        <is>
          <t>HAGFORS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29580-2026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46233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29438-2026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46203</v>
      </c>
      <c r="E615" s="1" t="n">
        <v>46233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30327-2022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44760</v>
      </c>
      <c r="E616" s="1" t="n">
        <v>46233</v>
      </c>
      <c r="F616" t="inlineStr">
        <is>
          <t>VÄRMLANDS LÄN</t>
        </is>
      </c>
      <c r="G616" t="inlineStr">
        <is>
          <t>HAGFORS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29428-2026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46203</v>
      </c>
      <c r="E617" s="1" t="n">
        <v>46233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23129-2026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46161</v>
      </c>
      <c r="E618" s="1" t="n">
        <v>46233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8.699999999999999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46233</v>
      </c>
      <c r="F619" t="inlineStr">
        <is>
          <t>VÄRMLANDS LÄN</t>
        </is>
      </c>
      <c r="G619" t="inlineStr">
        <is>
          <t>HAGFORS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29400-2026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46203</v>
      </c>
      <c r="E620" s="1" t="n">
        <v>46233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54929-2024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45618</v>
      </c>
      <c r="E621" s="1" t="n">
        <v>46233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49753-2023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45212</v>
      </c>
      <c r="E622" s="1" t="n">
        <v>46233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46233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31660-2022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44776</v>
      </c>
      <c r="E624" s="1" t="n">
        <v>46233</v>
      </c>
      <c r="F624" t="inlineStr">
        <is>
          <t>VÄRMLANDS LÄN</t>
        </is>
      </c>
      <c r="G624" t="inlineStr">
        <is>
          <t>HAGFORS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745-2026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46029</v>
      </c>
      <c r="E625" s="1" t="n">
        <v>46233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8.800000000000001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23269-2026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46162</v>
      </c>
      <c r="E626" s="1" t="n">
        <v>46233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29427-2026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46233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9.6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29430-2026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46233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56466-2024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45625</v>
      </c>
      <c r="E629" s="1" t="n">
        <v>46233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45673</v>
      </c>
      <c r="E630" s="1" t="n">
        <v>46233</v>
      </c>
      <c r="F630" t="inlineStr">
        <is>
          <t>VÄRMLANDS LÄN</t>
        </is>
      </c>
      <c r="G630" t="inlineStr">
        <is>
          <t>HAGFORS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28087-2024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45476</v>
      </c>
      <c r="E631" s="1" t="n">
        <v>46233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36206-2024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45534</v>
      </c>
      <c r="E632" s="1" t="n">
        <v>46233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23525-2026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46163</v>
      </c>
      <c r="E633" s="1" t="n">
        <v>46233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31812-2024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45509</v>
      </c>
      <c r="E634" s="1" t="n">
        <v>46233</v>
      </c>
      <c r="F634" t="inlineStr">
        <is>
          <t>VÄRMLANDS LÄN</t>
        </is>
      </c>
      <c r="G634" t="inlineStr">
        <is>
          <t>HAGFORS</t>
        </is>
      </c>
      <c r="H634" t="inlineStr">
        <is>
          <t>Kommuner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23549-2026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46163</v>
      </c>
      <c r="E635" s="1" t="n">
        <v>46233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23728-2026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46164</v>
      </c>
      <c r="E636" s="1" t="n">
        <v>46233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42150-2024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45562</v>
      </c>
      <c r="E637" s="1" t="n">
        <v>46233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60178-2023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45258</v>
      </c>
      <c r="E638" s="1" t="n">
        <v>46233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52691-2025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45956</v>
      </c>
      <c r="E639" s="1" t="n">
        <v>46233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28.2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30141-2026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46206</v>
      </c>
      <c r="E640" s="1" t="n">
        <v>46233</v>
      </c>
      <c r="F640" t="inlineStr">
        <is>
          <t>VÄRMLANDS LÄN</t>
        </is>
      </c>
      <c r="G640" t="inlineStr">
        <is>
          <t>HAGFORS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30153-2026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46206</v>
      </c>
      <c r="E641" s="1" t="n">
        <v>46233</v>
      </c>
      <c r="F641" t="inlineStr">
        <is>
          <t>VÄRMLANDS LÄN</t>
        </is>
      </c>
      <c r="G641" t="inlineStr">
        <is>
          <t>HAGFORS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52016-2025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45952</v>
      </c>
      <c r="E642" s="1" t="n">
        <v>46233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9.800000000000001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31087-2024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45502</v>
      </c>
      <c r="E643" s="1" t="n">
        <v>46233</v>
      </c>
      <c r="F643" t="inlineStr">
        <is>
          <t>VÄRMLANDS LÄN</t>
        </is>
      </c>
      <c r="G643" t="inlineStr">
        <is>
          <t>HAGFORS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46164</v>
      </c>
      <c r="E644" s="1" t="n">
        <v>46233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8.300000000000001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51015-2025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45947</v>
      </c>
      <c r="E645" s="1" t="n">
        <v>46233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8.9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15270-2024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45400</v>
      </c>
      <c r="E646" s="1" t="n">
        <v>46233</v>
      </c>
      <c r="F646" t="inlineStr">
        <is>
          <t>VÄRMLANDS LÄN</t>
        </is>
      </c>
      <c r="G646" t="inlineStr">
        <is>
          <t>HAGFORS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36494-2025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45869</v>
      </c>
      <c r="E647" s="1" t="n">
        <v>46233</v>
      </c>
      <c r="F647" t="inlineStr">
        <is>
          <t>VÄRMLANDS LÄN</t>
        </is>
      </c>
      <c r="G647" t="inlineStr">
        <is>
          <t>HAGFORS</t>
        </is>
      </c>
      <c r="H647" t="inlineStr">
        <is>
          <t>Kyrkan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30167-2026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46233</v>
      </c>
      <c r="F648" t="inlineStr">
        <is>
          <t>VÄRMLANDS LÄN</t>
        </is>
      </c>
      <c r="G648" t="inlineStr">
        <is>
          <t>HAGFORS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30642-2025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45831</v>
      </c>
      <c r="E649" s="1" t="n">
        <v>46233</v>
      </c>
      <c r="F649" t="inlineStr">
        <is>
          <t>VÄRMLANDS LÄN</t>
        </is>
      </c>
      <c r="G649" t="inlineStr">
        <is>
          <t>HAGFORS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14850-2025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45743</v>
      </c>
      <c r="E650" s="1" t="n">
        <v>46233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8304-2022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44610</v>
      </c>
      <c r="E651" s="1" t="n">
        <v>46233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55447-2022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44887</v>
      </c>
      <c r="E652" s="1" t="n">
        <v>46233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30436-2026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46233</v>
      </c>
      <c r="F653" t="inlineStr">
        <is>
          <t>VÄRMLANDS LÄN</t>
        </is>
      </c>
      <c r="G653" t="inlineStr">
        <is>
          <t>HAGFORS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30437-2026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46209</v>
      </c>
      <c r="E654" s="1" t="n">
        <v>46233</v>
      </c>
      <c r="F654" t="inlineStr">
        <is>
          <t>VÄRMLANDS LÄN</t>
        </is>
      </c>
      <c r="G654" t="inlineStr">
        <is>
          <t>HAGFORS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30635-2025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45831</v>
      </c>
      <c r="E655" s="1" t="n">
        <v>46233</v>
      </c>
      <c r="F655" t="inlineStr">
        <is>
          <t>VÄRMLANDS LÄN</t>
        </is>
      </c>
      <c r="G655" t="inlineStr">
        <is>
          <t>HAGFORS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4260-2023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44953</v>
      </c>
      <c r="E656" s="1" t="n">
        <v>46233</v>
      </c>
      <c r="F656" t="inlineStr">
        <is>
          <t>VÄRMLANDS LÄN</t>
        </is>
      </c>
      <c r="G656" t="inlineStr">
        <is>
          <t>HAGFORS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3846-2023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44951</v>
      </c>
      <c r="E657" s="1" t="n">
        <v>46233</v>
      </c>
      <c r="F657" t="inlineStr">
        <is>
          <t>VÄRMLANDS LÄN</t>
        </is>
      </c>
      <c r="G657" t="inlineStr">
        <is>
          <t>HAGFORS</t>
        </is>
      </c>
      <c r="H657" t="inlineStr">
        <is>
          <t>Kommuner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13850-2022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44649</v>
      </c>
      <c r="E658" s="1" t="n">
        <v>46233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30433-2026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46209</v>
      </c>
      <c r="E659" s="1" t="n">
        <v>46233</v>
      </c>
      <c r="F659" t="inlineStr">
        <is>
          <t>VÄRMLANDS LÄN</t>
        </is>
      </c>
      <c r="G659" t="inlineStr">
        <is>
          <t>HAGFORS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61902-2021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44502</v>
      </c>
      <c r="E660" s="1" t="n">
        <v>46233</v>
      </c>
      <c r="F660" t="inlineStr">
        <is>
          <t>VÄRMLANDS LÄN</t>
        </is>
      </c>
      <c r="G660" t="inlineStr">
        <is>
          <t>HAGFORS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29950-2026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46205</v>
      </c>
      <c r="E661" s="1" t="n">
        <v>46233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24240-2026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46233</v>
      </c>
      <c r="F662" t="inlineStr">
        <is>
          <t>VÄRMLANDS LÄN</t>
        </is>
      </c>
      <c r="G662" t="inlineStr">
        <is>
          <t>HAGFORS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24238-2026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46168</v>
      </c>
      <c r="E663" s="1" t="n">
        <v>46233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8.1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58307-2023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45250</v>
      </c>
      <c r="E664" s="1" t="n">
        <v>46233</v>
      </c>
      <c r="F664" t="inlineStr">
        <is>
          <t>VÄRMLANDS LÄN</t>
        </is>
      </c>
      <c r="G664" t="inlineStr">
        <is>
          <t>HAGFORS</t>
        </is>
      </c>
      <c r="H664" t="inlineStr">
        <is>
          <t>Kommuner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11104-2022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44628</v>
      </c>
      <c r="E665" s="1" t="n">
        <v>46233</v>
      </c>
      <c r="F665" t="inlineStr">
        <is>
          <t>VÄRMLANDS LÄN</t>
        </is>
      </c>
      <c r="G665" t="inlineStr">
        <is>
          <t>HAGFORS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39396-2023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45166</v>
      </c>
      <c r="E666" s="1" t="n">
        <v>46233</v>
      </c>
      <c r="F666" t="inlineStr">
        <is>
          <t>VÄRMLANDS LÄN</t>
        </is>
      </c>
      <c r="G666" t="inlineStr">
        <is>
          <t>HAGFORS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46211</v>
      </c>
      <c r="E667" s="1" t="n">
        <v>46233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60664-2023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45259</v>
      </c>
      <c r="E668" s="1" t="n">
        <v>46233</v>
      </c>
      <c r="F668" t="inlineStr">
        <is>
          <t>VÄRMLANDS LÄN</t>
        </is>
      </c>
      <c r="G668" t="inlineStr">
        <is>
          <t>HAGFORS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24625-2026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46171</v>
      </c>
      <c r="E669" s="1" t="n">
        <v>46233</v>
      </c>
      <c r="F669" t="inlineStr">
        <is>
          <t>VÄRMLANDS LÄN</t>
        </is>
      </c>
      <c r="G669" t="inlineStr">
        <is>
          <t>HAGFORS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24699-2026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46171</v>
      </c>
      <c r="E670" s="1" t="n">
        <v>46233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30914-2026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46213</v>
      </c>
      <c r="E671" s="1" t="n">
        <v>46233</v>
      </c>
      <c r="F671" t="inlineStr">
        <is>
          <t>VÄRMLANDS LÄN</t>
        </is>
      </c>
      <c r="G671" t="inlineStr">
        <is>
          <t>HAGFORS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24713-2026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46171</v>
      </c>
      <c r="E672" s="1" t="n">
        <v>46233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24778-2026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46171</v>
      </c>
      <c r="E673" s="1" t="n">
        <v>46233</v>
      </c>
      <c r="F673" t="inlineStr">
        <is>
          <t>VÄRMLANDS LÄN</t>
        </is>
      </c>
      <c r="G673" t="inlineStr">
        <is>
          <t>HAGFORS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24761-2026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46171</v>
      </c>
      <c r="E674" s="1" t="n">
        <v>46233</v>
      </c>
      <c r="F674" t="inlineStr">
        <is>
          <t>VÄRMLANDS LÄN</t>
        </is>
      </c>
      <c r="G674" t="inlineStr">
        <is>
          <t>HAGFORS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8820-2024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45356</v>
      </c>
      <c r="E675" s="1" t="n">
        <v>46233</v>
      </c>
      <c r="F675" t="inlineStr">
        <is>
          <t>VÄRMLANDS LÄN</t>
        </is>
      </c>
      <c r="G675" t="inlineStr">
        <is>
          <t>HAGFORS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24628-2026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46171</v>
      </c>
      <c r="E676" s="1" t="n">
        <v>46233</v>
      </c>
      <c r="F676" t="inlineStr">
        <is>
          <t>VÄRMLANDS LÄN</t>
        </is>
      </c>
      <c r="G676" t="inlineStr">
        <is>
          <t>HAGFORS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24626-2026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46171</v>
      </c>
      <c r="E677" s="1" t="n">
        <v>46233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24677-2026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46171</v>
      </c>
      <c r="E678" s="1" t="n">
        <v>46233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44566</v>
      </c>
      <c r="E679" s="1" t="n">
        <v>46233</v>
      </c>
      <c r="F679" t="inlineStr">
        <is>
          <t>VÄRMLANDS LÄN</t>
        </is>
      </c>
      <c r="G679" t="inlineStr">
        <is>
          <t>HAGFORS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59048-2022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44903</v>
      </c>
      <c r="E680" s="1" t="n">
        <v>46233</v>
      </c>
      <c r="F680" t="inlineStr">
        <is>
          <t>VÄRMLANDS LÄN</t>
        </is>
      </c>
      <c r="G680" t="inlineStr">
        <is>
          <t>HAGFORS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29372-2023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45106</v>
      </c>
      <c r="E681" s="1" t="n">
        <v>46233</v>
      </c>
      <c r="F681" t="inlineStr">
        <is>
          <t>VÄRMLANDS LÄN</t>
        </is>
      </c>
      <c r="G681" t="inlineStr">
        <is>
          <t>HAGFORS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60221-2023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45258</v>
      </c>
      <c r="E682" s="1" t="n">
        <v>46233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34541-2024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45525</v>
      </c>
      <c r="E683" s="1" t="n">
        <v>46233</v>
      </c>
      <c r="F683" t="inlineStr">
        <is>
          <t>VÄRMLANDS LÄN</t>
        </is>
      </c>
      <c r="G683" t="inlineStr">
        <is>
          <t>HAGFORS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35668-2023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45147</v>
      </c>
      <c r="E684" s="1" t="n">
        <v>46233</v>
      </c>
      <c r="F684" t="inlineStr">
        <is>
          <t>VÄRMLANDS LÄN</t>
        </is>
      </c>
      <c r="G684" t="inlineStr">
        <is>
          <t>HAGFORS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46190-2024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45581</v>
      </c>
      <c r="E685" s="1" t="n">
        <v>46233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45678</v>
      </c>
      <c r="E686" s="1" t="n">
        <v>46233</v>
      </c>
      <c r="F686" t="inlineStr">
        <is>
          <t>VÄRMLANDS LÄN</t>
        </is>
      </c>
      <c r="G686" t="inlineStr">
        <is>
          <t>HAGFORS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24862-2026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46233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9.699999999999999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26859-2024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45470</v>
      </c>
      <c r="E688" s="1" t="n">
        <v>46233</v>
      </c>
      <c r="F688" t="inlineStr">
        <is>
          <t>VÄRMLANDS LÄN</t>
        </is>
      </c>
      <c r="G688" t="inlineStr">
        <is>
          <t>HAGFORS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25589-2026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46233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25560-2026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46177</v>
      </c>
      <c r="E690" s="1" t="n">
        <v>46233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11367-2025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45726</v>
      </c>
      <c r="E691" s="1" t="n">
        <v>46233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46208-2023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45196</v>
      </c>
      <c r="E692" s="1" t="n">
        <v>46233</v>
      </c>
      <c r="F692" t="inlineStr">
        <is>
          <t>VÄRMLANDS LÄN</t>
        </is>
      </c>
      <c r="G692" t="inlineStr">
        <is>
          <t>HAGFORS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25276-2026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46176</v>
      </c>
      <c r="E693" s="1" t="n">
        <v>46233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13.1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25583-2026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46233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29373-2023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45106</v>
      </c>
      <c r="E695" s="1" t="n">
        <v>46233</v>
      </c>
      <c r="F695" t="inlineStr">
        <is>
          <t>VÄRMLANDS LÄN</t>
        </is>
      </c>
      <c r="G695" t="inlineStr">
        <is>
          <t>HAGFORS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4279-2024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45324</v>
      </c>
      <c r="E696" s="1" t="n">
        <v>46233</v>
      </c>
      <c r="F696" t="inlineStr">
        <is>
          <t>VÄRMLANDS LÄN</t>
        </is>
      </c>
      <c r="G696" t="inlineStr">
        <is>
          <t>HAGFORS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52378-2021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44465</v>
      </c>
      <c r="E697" s="1" t="n">
        <v>46233</v>
      </c>
      <c r="F697" t="inlineStr">
        <is>
          <t>VÄRMLANDS LÄN</t>
        </is>
      </c>
      <c r="G697" t="inlineStr">
        <is>
          <t>HAGFORS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26019-2026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46181</v>
      </c>
      <c r="E698" s="1" t="n">
        <v>46233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3426-2023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44949</v>
      </c>
      <c r="E699" s="1" t="n">
        <v>46233</v>
      </c>
      <c r="F699" t="inlineStr">
        <is>
          <t>VÄRMLANDS LÄN</t>
        </is>
      </c>
      <c r="G699" t="inlineStr">
        <is>
          <t>HAGFORS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42223-2022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44830</v>
      </c>
      <c r="E700" s="1" t="n">
        <v>46233</v>
      </c>
      <c r="F700" t="inlineStr">
        <is>
          <t>VÄRMLANDS LÄN</t>
        </is>
      </c>
      <c r="G700" t="inlineStr">
        <is>
          <t>HAGFORS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17584-2023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45036</v>
      </c>
      <c r="E701" s="1" t="n">
        <v>46233</v>
      </c>
      <c r="F701" t="inlineStr">
        <is>
          <t>VÄRMLANDS LÄN</t>
        </is>
      </c>
      <c r="G701" t="inlineStr">
        <is>
          <t>HAGFORS</t>
        </is>
      </c>
      <c r="H701" t="inlineStr">
        <is>
          <t>Kommuner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25890-2026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46233</v>
      </c>
      <c r="F702" t="inlineStr">
        <is>
          <t>VÄRMLANDS LÄN</t>
        </is>
      </c>
      <c r="G702" t="inlineStr">
        <is>
          <t>HAGFORS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26012-2026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46181</v>
      </c>
      <c r="E703" s="1" t="n">
        <v>46233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31671-2026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46225</v>
      </c>
      <c r="E704" s="1" t="n">
        <v>46233</v>
      </c>
      <c r="F704" t="inlineStr">
        <is>
          <t>VÄRMLANDS LÄN</t>
        </is>
      </c>
      <c r="G704" t="inlineStr">
        <is>
          <t>HAGFORS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31691-2026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46226</v>
      </c>
      <c r="E705" s="1" t="n">
        <v>46233</v>
      </c>
      <c r="F705" t="inlineStr">
        <is>
          <t>VÄRMLANDS LÄN</t>
        </is>
      </c>
      <c r="G705" t="inlineStr">
        <is>
          <t>HAGFORS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32696-2023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45112</v>
      </c>
      <c r="E706" s="1" t="n">
        <v>46233</v>
      </c>
      <c r="F706" t="inlineStr">
        <is>
          <t>VÄRMLANDS LÄN</t>
        </is>
      </c>
      <c r="G706" t="inlineStr">
        <is>
          <t>HAGFORS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26350-2026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46182</v>
      </c>
      <c r="E707" s="1" t="n">
        <v>46233</v>
      </c>
      <c r="F707" t="inlineStr">
        <is>
          <t>VÄRMLANDS LÄN</t>
        </is>
      </c>
      <c r="G707" t="inlineStr">
        <is>
          <t>HAGFORS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26357-2026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46182</v>
      </c>
      <c r="E708" s="1" t="n">
        <v>46233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33.4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46182</v>
      </c>
      <c r="E709" s="1" t="n">
        <v>46233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58799-2022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44903</v>
      </c>
      <c r="E710" s="1" t="n">
        <v>46233</v>
      </c>
      <c r="F710" t="inlineStr">
        <is>
          <t>VÄRMLANDS LÄN</t>
        </is>
      </c>
      <c r="G710" t="inlineStr">
        <is>
          <t>HAGFORS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59092-2022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44904</v>
      </c>
      <c r="E711" s="1" t="n">
        <v>46233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20466-2023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45057</v>
      </c>
      <c r="E712" s="1" t="n">
        <v>46233</v>
      </c>
      <c r="F712" t="inlineStr">
        <is>
          <t>VÄRMLANDS LÄN</t>
        </is>
      </c>
      <c r="G712" t="inlineStr">
        <is>
          <t>HAGFORS</t>
        </is>
      </c>
      <c r="H712" t="inlineStr">
        <is>
          <t>Kyrkan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31690-2026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46226</v>
      </c>
      <c r="E713" s="1" t="n">
        <v>46233</v>
      </c>
      <c r="F713" t="inlineStr">
        <is>
          <t>VÄRMLANDS LÄN</t>
        </is>
      </c>
      <c r="G713" t="inlineStr">
        <is>
          <t>HAGFORS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26342-2026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46182</v>
      </c>
      <c r="E714" s="1" t="n">
        <v>46233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36.8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32031-2024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45510</v>
      </c>
      <c r="E715" s="1" t="n">
        <v>46233</v>
      </c>
      <c r="F715" t="inlineStr">
        <is>
          <t>VÄRMLANDS LÄN</t>
        </is>
      </c>
      <c r="G715" t="inlineStr">
        <is>
          <t>HAGFORS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31672-2026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46225</v>
      </c>
      <c r="E716" s="1" t="n">
        <v>46233</v>
      </c>
      <c r="F716" t="inlineStr">
        <is>
          <t>VÄRMLANDS LÄN</t>
        </is>
      </c>
      <c r="G716" t="inlineStr">
        <is>
          <t>HAGFORS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53192-2022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44876</v>
      </c>
      <c r="E717" s="1" t="n">
        <v>46233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2371-2025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45673</v>
      </c>
      <c r="E718" s="1" t="n">
        <v>46233</v>
      </c>
      <c r="F718" t="inlineStr">
        <is>
          <t>VÄRMLANDS LÄN</t>
        </is>
      </c>
      <c r="G718" t="inlineStr">
        <is>
          <t>HAGFORS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18014-2024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45419</v>
      </c>
      <c r="E719" s="1" t="n">
        <v>46233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5.2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46233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46233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26740-2026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46184</v>
      </c>
      <c r="E722" s="1" t="n">
        <v>46233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9.5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26846-2026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46233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18.2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46233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20.5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26660-2026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46184</v>
      </c>
      <c r="E725" s="1" t="n">
        <v>46233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1931-2024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45308</v>
      </c>
      <c r="E726" s="1" t="n">
        <v>46233</v>
      </c>
      <c r="F726" t="inlineStr">
        <is>
          <t>VÄRMLANDS LÄN</t>
        </is>
      </c>
      <c r="G726" t="inlineStr">
        <is>
          <t>HAGFORS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36013-2023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46233</v>
      </c>
      <c r="F727" t="inlineStr">
        <is>
          <t>VÄRMLANDS LÄN</t>
        </is>
      </c>
      <c r="G727" t="inlineStr">
        <is>
          <t>HAGFORS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46233</v>
      </c>
      <c r="F728" t="inlineStr">
        <is>
          <t>VÄRMLANDS LÄN</t>
        </is>
      </c>
      <c r="G728" t="inlineStr">
        <is>
          <t>HAGFORS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56895-2023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45244</v>
      </c>
      <c r="E729" s="1" t="n">
        <v>46233</v>
      </c>
      <c r="F729" t="inlineStr">
        <is>
          <t>VÄRMLANDS LÄN</t>
        </is>
      </c>
      <c r="G729" t="inlineStr">
        <is>
          <t>HAGFORS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35664-2023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45147</v>
      </c>
      <c r="E730" s="1" t="n">
        <v>46233</v>
      </c>
      <c r="F730" t="inlineStr">
        <is>
          <t>VÄRMLANDS LÄN</t>
        </is>
      </c>
      <c r="G730" t="inlineStr">
        <is>
          <t>HAGFORS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27306-2026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46188</v>
      </c>
      <c r="E731" s="1" t="n">
        <v>46233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27210-2026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46233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27268-2026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46188</v>
      </c>
      <c r="E733" s="1" t="n">
        <v>46233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27394-2026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46189</v>
      </c>
      <c r="E734" s="1" t="n">
        <v>46233</v>
      </c>
      <c r="F734" t="inlineStr">
        <is>
          <t>VÄRMLANDS LÄN</t>
        </is>
      </c>
      <c r="G734" t="inlineStr">
        <is>
          <t>HAGFORS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6478-2025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45699</v>
      </c>
      <c r="E735" s="1" t="n">
        <v>46233</v>
      </c>
      <c r="F735" t="inlineStr">
        <is>
          <t>VÄRMLANDS LÄN</t>
        </is>
      </c>
      <c r="G735" t="inlineStr">
        <is>
          <t>HAGFORS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21309-2023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45062</v>
      </c>
      <c r="E736" s="1" t="n">
        <v>46233</v>
      </c>
      <c r="F736" t="inlineStr">
        <is>
          <t>VÄRMLANDS LÄN</t>
        </is>
      </c>
      <c r="G736" t="inlineStr">
        <is>
          <t>HAGFORS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4748-2024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45328</v>
      </c>
      <c r="E737" s="1" t="n">
        <v>46233</v>
      </c>
      <c r="F737" t="inlineStr">
        <is>
          <t>VÄRMLANDS LÄN</t>
        </is>
      </c>
      <c r="G737" t="inlineStr">
        <is>
          <t>HAGFORS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27280-2026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46188</v>
      </c>
      <c r="E738" s="1" t="n">
        <v>46233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13282-2024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45386</v>
      </c>
      <c r="E739" s="1" t="n">
        <v>46233</v>
      </c>
      <c r="F739" t="inlineStr">
        <is>
          <t>VÄRMLANDS LÄN</t>
        </is>
      </c>
      <c r="G739" t="inlineStr">
        <is>
          <t>HAGFORS</t>
        </is>
      </c>
      <c r="H739" t="inlineStr">
        <is>
          <t>Kommuner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27472-2026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46189</v>
      </c>
      <c r="E740" s="1" t="n">
        <v>46233</v>
      </c>
      <c r="F740" t="inlineStr">
        <is>
          <t>VÄRMLANDS LÄN</t>
        </is>
      </c>
      <c r="G740" t="inlineStr">
        <is>
          <t>HAGFORS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48276-2024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45590</v>
      </c>
      <c r="E741" s="1" t="n">
        <v>46233</v>
      </c>
      <c r="F741" t="inlineStr">
        <is>
          <t>VÄRMLANDS LÄN</t>
        </is>
      </c>
      <c r="G741" t="inlineStr">
        <is>
          <t>HAGFORS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57159-2024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45629</v>
      </c>
      <c r="E742" s="1" t="n">
        <v>46233</v>
      </c>
      <c r="F742" t="inlineStr">
        <is>
          <t>VÄRMLANDS LÄN</t>
        </is>
      </c>
      <c r="G742" t="inlineStr">
        <is>
          <t>HAGFORS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33146-2024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45518</v>
      </c>
      <c r="E743" s="1" t="n">
        <v>46233</v>
      </c>
      <c r="F743" t="inlineStr">
        <is>
          <t>VÄRMLANDS LÄN</t>
        </is>
      </c>
      <c r="G743" t="inlineStr">
        <is>
          <t>HAGFORS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51346-2022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44869</v>
      </c>
      <c r="E744" s="1" t="n">
        <v>46233</v>
      </c>
      <c r="F744" t="inlineStr">
        <is>
          <t>VÄRMLANDS LÄN</t>
        </is>
      </c>
      <c r="G744" t="inlineStr">
        <is>
          <t>HAGFORS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32033-2024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45510</v>
      </c>
      <c r="E745" s="1" t="n">
        <v>46233</v>
      </c>
      <c r="F745" t="inlineStr">
        <is>
          <t>VÄRMLANDS LÄN</t>
        </is>
      </c>
      <c r="G745" t="inlineStr">
        <is>
          <t>HAGFORS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42593-2021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44428</v>
      </c>
      <c r="E746" s="1" t="n">
        <v>46233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56888-2023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45244</v>
      </c>
      <c r="E747" s="1" t="n">
        <v>46233</v>
      </c>
      <c r="F747" t="inlineStr">
        <is>
          <t>VÄRMLANDS LÄN</t>
        </is>
      </c>
      <c r="G747" t="inlineStr">
        <is>
          <t>HAGFORS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9288-2025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45714</v>
      </c>
      <c r="E748" s="1" t="n">
        <v>46233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60974-2024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45645</v>
      </c>
      <c r="E749" s="1" t="n">
        <v>46233</v>
      </c>
      <c r="F749" t="inlineStr">
        <is>
          <t>VÄRMLANDS LÄN</t>
        </is>
      </c>
      <c r="G749" t="inlineStr">
        <is>
          <t>HAGFORS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35775-2024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45532</v>
      </c>
      <c r="E750" s="1" t="n">
        <v>46233</v>
      </c>
      <c r="F750" t="inlineStr">
        <is>
          <t>VÄRMLANDS LÄN</t>
        </is>
      </c>
      <c r="G750" t="inlineStr">
        <is>
          <t>HAGFORS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45238-2024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45575</v>
      </c>
      <c r="E751" s="1" t="n">
        <v>46233</v>
      </c>
      <c r="F751" t="inlineStr">
        <is>
          <t>VÄRMLANDS LÄN</t>
        </is>
      </c>
      <c r="G751" t="inlineStr">
        <is>
          <t>HAGFORS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32149-2023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45107</v>
      </c>
      <c r="E752" s="1" t="n">
        <v>46233</v>
      </c>
      <c r="F752" t="inlineStr">
        <is>
          <t>VÄRMLANDS LÄN</t>
        </is>
      </c>
      <c r="G752" t="inlineStr">
        <is>
          <t>HAGFORS</t>
        </is>
      </c>
      <c r="I752" t="n">
        <v>9.1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26777-2023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45093</v>
      </c>
      <c r="E753" s="1" t="n">
        <v>46233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56165-2024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45624</v>
      </c>
      <c r="E754" s="1" t="n">
        <v>46233</v>
      </c>
      <c r="F754" t="inlineStr">
        <is>
          <t>VÄRMLANDS LÄN</t>
        </is>
      </c>
      <c r="G754" t="inlineStr">
        <is>
          <t>HAGFORS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45684</v>
      </c>
      <c r="E755" s="1" t="n">
        <v>46233</v>
      </c>
      <c r="F755" t="inlineStr">
        <is>
          <t>VÄRMLANDS LÄN</t>
        </is>
      </c>
      <c r="G755" t="inlineStr">
        <is>
          <t>HAGFORS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4012-2025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45684</v>
      </c>
      <c r="E756" s="1" t="n">
        <v>46233</v>
      </c>
      <c r="F756" t="inlineStr">
        <is>
          <t>VÄRMLANDS LÄN</t>
        </is>
      </c>
      <c r="G756" t="inlineStr">
        <is>
          <t>HAGFORS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19894-2024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45433</v>
      </c>
      <c r="E757" s="1" t="n">
        <v>46233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5796-2024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45335</v>
      </c>
      <c r="E758" s="1" t="n">
        <v>46233</v>
      </c>
      <c r="F758" t="inlineStr">
        <is>
          <t>VÄRMLANDS LÄN</t>
        </is>
      </c>
      <c r="G758" t="inlineStr">
        <is>
          <t>HAGFORS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4047-2024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45323</v>
      </c>
      <c r="E759" s="1" t="n">
        <v>46233</v>
      </c>
      <c r="F759" t="inlineStr">
        <is>
          <t>VÄRMLANDS LÄN</t>
        </is>
      </c>
      <c r="G759" t="inlineStr">
        <is>
          <t>HAGFORS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36228-2024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45534</v>
      </c>
      <c r="E760" s="1" t="n">
        <v>46233</v>
      </c>
      <c r="F760" t="inlineStr">
        <is>
          <t>VÄRMLANDS LÄN</t>
        </is>
      </c>
      <c r="G760" t="inlineStr">
        <is>
          <t>HAGFORS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42173-2024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45562</v>
      </c>
      <c r="E761" s="1" t="n">
        <v>46233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42178-2024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45562</v>
      </c>
      <c r="E762" s="1" t="n">
        <v>46233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42235-2024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45562</v>
      </c>
      <c r="E763" s="1" t="n">
        <v>46233</v>
      </c>
      <c r="F763" t="inlineStr">
        <is>
          <t>VÄRMLANDS LÄN</t>
        </is>
      </c>
      <c r="G763" t="inlineStr">
        <is>
          <t>HAGFORS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21067-2025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45777</v>
      </c>
      <c r="E764" s="1" t="n">
        <v>46233</v>
      </c>
      <c r="F764" t="inlineStr">
        <is>
          <t>VÄRMLANDS LÄN</t>
        </is>
      </c>
      <c r="G764" t="inlineStr">
        <is>
          <t>HAGFORS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47425-2024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45587</v>
      </c>
      <c r="E765" s="1" t="n">
        <v>46233</v>
      </c>
      <c r="F765" t="inlineStr">
        <is>
          <t>VÄRMLANDS LÄN</t>
        </is>
      </c>
      <c r="G765" t="inlineStr">
        <is>
          <t>HAGFORS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21729-2025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45783</v>
      </c>
      <c r="E766" s="1" t="n">
        <v>46233</v>
      </c>
      <c r="F766" t="inlineStr">
        <is>
          <t>VÄRMLANDS LÄN</t>
        </is>
      </c>
      <c r="G766" t="inlineStr">
        <is>
          <t>HAGFORS</t>
        </is>
      </c>
      <c r="I766" t="n">
        <v>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24680-2024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45460</v>
      </c>
      <c r="E767" s="1" t="n">
        <v>46233</v>
      </c>
      <c r="F767" t="inlineStr">
        <is>
          <t>VÄRMLANDS LÄN</t>
        </is>
      </c>
      <c r="G767" t="inlineStr">
        <is>
          <t>HAGFORS</t>
        </is>
      </c>
      <c r="I767" t="n">
        <v>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40332-2023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45169</v>
      </c>
      <c r="E768" s="1" t="n">
        <v>46233</v>
      </c>
      <c r="F768" t="inlineStr">
        <is>
          <t>VÄRMLANDS LÄN</t>
        </is>
      </c>
      <c r="G768" t="inlineStr">
        <is>
          <t>HAGFORS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21723-2025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46233</v>
      </c>
      <c r="F769" t="inlineStr">
        <is>
          <t>VÄRMLANDS LÄN</t>
        </is>
      </c>
      <c r="G769" t="inlineStr">
        <is>
          <t>HAGFORS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22231-2025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45785</v>
      </c>
      <c r="E770" s="1" t="n">
        <v>46233</v>
      </c>
      <c r="F770" t="inlineStr">
        <is>
          <t>VÄRMLANDS LÄN</t>
        </is>
      </c>
      <c r="G770" t="inlineStr">
        <is>
          <t>HAGFORS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22461-2025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45786</v>
      </c>
      <c r="E771" s="1" t="n">
        <v>46233</v>
      </c>
      <c r="F771" t="inlineStr">
        <is>
          <t>VÄRMLANDS LÄN</t>
        </is>
      </c>
      <c r="G771" t="inlineStr">
        <is>
          <t>HAGFORS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17833-2022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44683</v>
      </c>
      <c r="E772" s="1" t="n">
        <v>46233</v>
      </c>
      <c r="F772" t="inlineStr">
        <is>
          <t>VÄRMLANDS LÄN</t>
        </is>
      </c>
      <c r="G772" t="inlineStr">
        <is>
          <t>HAGFORS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45790</v>
      </c>
      <c r="E773" s="1" t="n">
        <v>46233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22964-2025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45790</v>
      </c>
      <c r="E774" s="1" t="n">
        <v>46233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22799-2025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45789</v>
      </c>
      <c r="E775" s="1" t="n">
        <v>46233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23268-2025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45791</v>
      </c>
      <c r="E776" s="1" t="n">
        <v>46233</v>
      </c>
      <c r="F776" t="inlineStr">
        <is>
          <t>VÄRMLANDS LÄN</t>
        </is>
      </c>
      <c r="G776" t="inlineStr">
        <is>
          <t>HAGFORS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23556-2025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45792</v>
      </c>
      <c r="E777" s="1" t="n">
        <v>46233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23525-2025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46233</v>
      </c>
      <c r="F778" t="inlineStr">
        <is>
          <t>VÄRMLANDS LÄN</t>
        </is>
      </c>
      <c r="G778" t="inlineStr">
        <is>
          <t>HAGFORS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38239-2024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45545</v>
      </c>
      <c r="E779" s="1" t="n">
        <v>46233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54008-2024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45615</v>
      </c>
      <c r="E780" s="1" t="n">
        <v>46233</v>
      </c>
      <c r="F780" t="inlineStr">
        <is>
          <t>VÄRMLANDS LÄN</t>
        </is>
      </c>
      <c r="G780" t="inlineStr">
        <is>
          <t>HAGFORS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55950-2024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45623</v>
      </c>
      <c r="E781" s="1" t="n">
        <v>46233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23674-2025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45793</v>
      </c>
      <c r="E782" s="1" t="n">
        <v>46233</v>
      </c>
      <c r="F782" t="inlineStr">
        <is>
          <t>VÄRMLANDS LÄN</t>
        </is>
      </c>
      <c r="G782" t="inlineStr">
        <is>
          <t>HAGFORS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15643-2024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45404</v>
      </c>
      <c r="E783" s="1" t="n">
        <v>46233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23712-2025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45793</v>
      </c>
      <c r="E784" s="1" t="n">
        <v>46233</v>
      </c>
      <c r="F784" t="inlineStr">
        <is>
          <t>VÄRMLANDS LÄN</t>
        </is>
      </c>
      <c r="G784" t="inlineStr">
        <is>
          <t>HAGFORS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24435-2025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45797</v>
      </c>
      <c r="E785" s="1" t="n">
        <v>46233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16798-2025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45754</v>
      </c>
      <c r="E786" s="1" t="n">
        <v>46233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24434-2025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45797</v>
      </c>
      <c r="E787" s="1" t="n">
        <v>46233</v>
      </c>
      <c r="F787" t="inlineStr">
        <is>
          <t>VÄRMLANDS LÄN</t>
        </is>
      </c>
      <c r="G787" t="inlineStr">
        <is>
          <t>HAGFORS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13524-2025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45736</v>
      </c>
      <c r="E788" s="1" t="n">
        <v>46233</v>
      </c>
      <c r="F788" t="inlineStr">
        <is>
          <t>VÄRMLANDS LÄN</t>
        </is>
      </c>
      <c r="G788" t="inlineStr">
        <is>
          <t>HAGFORS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24438-2025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45797</v>
      </c>
      <c r="E789" s="1" t="n">
        <v>46233</v>
      </c>
      <c r="F789" t="inlineStr">
        <is>
          <t>VÄRMLANDS LÄN</t>
        </is>
      </c>
      <c r="G789" t="inlineStr">
        <is>
          <t>HAGFORS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24895-2025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45799</v>
      </c>
      <c r="E790" s="1" t="n">
        <v>46233</v>
      </c>
      <c r="F790" t="inlineStr">
        <is>
          <t>VÄRMLANDS LÄN</t>
        </is>
      </c>
      <c r="G790" t="inlineStr">
        <is>
          <t>HAGFORS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24793-2025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45799</v>
      </c>
      <c r="E791" s="1" t="n">
        <v>46233</v>
      </c>
      <c r="F791" t="inlineStr">
        <is>
          <t>VÄRMLANDS LÄN</t>
        </is>
      </c>
      <c r="G791" t="inlineStr">
        <is>
          <t>HAGFORS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25031-2025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45799</v>
      </c>
      <c r="E792" s="1" t="n">
        <v>46233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2225-2020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44127</v>
      </c>
      <c r="E793" s="1" t="n">
        <v>46233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2050-2022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44671</v>
      </c>
      <c r="E794" s="1" t="n">
        <v>46233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937-2022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46233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59.4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931-2022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44606</v>
      </c>
      <c r="E796" s="1" t="n">
        <v>46233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49.5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262-2022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44578</v>
      </c>
      <c r="E797" s="1" t="n">
        <v>46233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78.90000000000001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907-2022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46233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913-2022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46233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898-2022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46233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24.9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900-2022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46233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914-2022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46233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19.3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4419-2023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46233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35.6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4420-2023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46233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44.2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4426-2023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46233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9.699999999999999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5512-2022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44834</v>
      </c>
      <c r="E806" s="1" t="n">
        <v>46233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4415-2023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46233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9.199999999999999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6970-2022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46233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4408-2023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46233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6968-2022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46233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4423-2023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46233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15.7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4418-2023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46233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19.1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651-2024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45356</v>
      </c>
      <c r="E813" s="1" t="n">
        <v>46233</v>
      </c>
      <c r="F813" t="inlineStr">
        <is>
          <t>VÄRMLANDS LÄN</t>
        </is>
      </c>
      <c r="G813" t="inlineStr">
        <is>
          <t>HAGFORS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46233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46233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46233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46233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46233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4150-2023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46233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4410-2023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46233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39.3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4409-2023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46233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4155-2023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46233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40.9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4140-2023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45247</v>
      </c>
      <c r="E823" s="1" t="n">
        <v>46233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36.5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6977-2022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44901</v>
      </c>
      <c r="E824" s="1" t="n">
        <v>46233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6973-2022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44901</v>
      </c>
      <c r="E825" s="1" t="n">
        <v>46233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30.1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4143-2023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46233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4407-2023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45266</v>
      </c>
      <c r="E827" s="1" t="n">
        <v>46233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6965-2022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46233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21.4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662-2025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45716</v>
      </c>
      <c r="E829" s="1" t="n">
        <v>46233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52.4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108-2026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46037</v>
      </c>
      <c r="E830" s="1" t="n">
        <v>46233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204.4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102-2026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46036</v>
      </c>
      <c r="E831" s="1" t="n">
        <v>46233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57.9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60-2026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46013</v>
      </c>
      <c r="E832" s="1" t="n">
        <v>46233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382-2025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45691</v>
      </c>
      <c r="E833" s="1" t="n">
        <v>46233</v>
      </c>
      <c r="F833" t="inlineStr">
        <is>
          <t>VÄRMLANDS LÄN</t>
        </is>
      </c>
      <c r="G833" t="inlineStr">
        <is>
          <t>HAGFORS</t>
        </is>
      </c>
      <c r="I833" t="n">
        <v>5.8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2026-07-30T01:50:45Z</dcterms:created>
  <dcterms:modified xmlns:dcterms="http://purl.org/dc/terms/" xmlns:xsi="http://www.w3.org/2001/XMLSchema-instance" xsi:type="dcterms:W3CDTF">2026-07-30T01:50:46Z</dcterms:modified>
</cp:coreProperties>
</file>