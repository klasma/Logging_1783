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39627-2023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45167</v>
      </c>
      <c r="E2" s="1" t="n">
        <v>46318</v>
      </c>
      <c r="F2" t="inlineStr">
        <is>
          <t>VÄRMLANDS LÄN</t>
        </is>
      </c>
      <c r="G2" t="inlineStr">
        <is>
          <t>HAGFORS</t>
        </is>
      </c>
      <c r="I2" t="n">
        <v>20.2</v>
      </c>
      <c r="J2" t="n">
        <v>0</v>
      </c>
      <c r="K2" t="n">
        <v>3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12</v>
      </c>
      <c r="T2" t="n">
        <v>18</v>
      </c>
      <c r="U2" t="n">
        <v>11</v>
      </c>
      <c r="V2" s="2" t="inlineStr">
        <is>
          <t>Dropptaggsvamp
Dvärgbägarlav
Kolflarnlav
Kortskaftad ärgspik
Lunglav
Skuggblåslav
Smal trollknäppare
Vedskivlav
Vedtrappmossa
Bårdlav
Korallblylav
Vedticka</t>
        </is>
      </c>
      <c r="W2">
        <f>HYPERLINK("https://klasma.github.io/Logging_1783/artfynd/A 39627-2023 artfynd.xlsx", "A 39627-2023")</f>
        <v/>
      </c>
      <c r="X2">
        <f>HYPERLINK("https://klasma.github.io/Logging_1783/kartor/A 39627-2023 karta.png", "A 39627-2023")</f>
        <v/>
      </c>
      <c r="Y2">
        <f>HYPERLINK("https://klasma.github.io/Logging_1783/kartor_geotiff/A 39627-2023 georefererad karta.tif", "A 39627-2023")</f>
        <v/>
      </c>
      <c r="AA2">
        <f>HYPERLINK("https://klasma.github.io/Logging_1783/klagomål/A 39627-2023 FSC-klagomål.docx", "A 39627-2023")</f>
        <v/>
      </c>
      <c r="AB2">
        <f>HYPERLINK("https://klasma.github.io/Logging_1783/klagomålsmail/A 39627-2023 FSC-klagomål mail.docx", "A 39627-2023")</f>
        <v/>
      </c>
      <c r="AC2">
        <f>HYPERLINK("https://klasma.github.io/Logging_1783/tillsyn/A 39627-2023 tillsynsbegäran.docx", "A 39627-2023")</f>
        <v/>
      </c>
      <c r="AD2">
        <f>HYPERLINK("https://klasma.github.io/Logging_1783/tillsynsmail/A 39627-2023 tillsynsbegäran mail.docx", "A 39627-2023")</f>
        <v/>
      </c>
    </row>
    <row r="3" ht="15" customHeight="1">
      <c r="A3" t="inlineStr">
        <is>
          <t>A 34096-2026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46252</v>
      </c>
      <c r="E3" s="1" t="n">
        <v>46318</v>
      </c>
      <c r="F3" t="inlineStr">
        <is>
          <t>VÄRMLANDS LÄN</t>
        </is>
      </c>
      <c r="G3" t="inlineStr">
        <is>
          <t>HAGFORS</t>
        </is>
      </c>
      <c r="H3" t="inlineStr">
        <is>
          <t>Bergvik skog väst AB</t>
        </is>
      </c>
      <c r="I3" t="n">
        <v>24.7</v>
      </c>
      <c r="J3" t="n">
        <v>3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12</v>
      </c>
      <c r="T3" t="n">
        <v>44</v>
      </c>
      <c r="U3" t="n">
        <v>30</v>
      </c>
      <c r="V3" s="2" t="inlineStr">
        <is>
          <t>Garnlav
Dvärgbägarlav
Kolflarnlav
Mörk kolflarnlav
Stjärntagging
Vedskivlav
Vedtrappmossa
Violettgrå tagellav
Vågbandad barkbock
Spillkråka
Tofsmes
Fläcknycklar</t>
        </is>
      </c>
      <c r="W3">
        <f>HYPERLINK("https://klasma.github.io/Logging_1783/artfynd/A 34096-2026 artfynd.xlsx", "A 34096-2026")</f>
        <v/>
      </c>
      <c r="X3">
        <f>HYPERLINK("https://klasma.github.io/Logging_1783/kartor/A 34096-2026 karta.png", "A 34096-2026")</f>
        <v/>
      </c>
      <c r="Y3">
        <f>HYPERLINK("https://klasma.github.io/Logging_1783/kartor_geotiff/A 34096-2026 georefererad karta.tif", "A 34096-2026")</f>
        <v/>
      </c>
      <c r="AA3">
        <f>HYPERLINK("https://klasma.github.io/Logging_1783/klagomål/A 34096-2026 FSC-klagomål.docx", "A 34096-2026")</f>
        <v/>
      </c>
      <c r="AB3">
        <f>HYPERLINK("https://klasma.github.io/Logging_1783/klagomålsmail/A 34096-2026 FSC-klagomål mail.docx", "A 34096-2026")</f>
        <v/>
      </c>
      <c r="AC3">
        <f>HYPERLINK("https://klasma.github.io/Logging_1783/tillsyn/A 34096-2026 tillsynsbegäran.docx", "A 34096-2026")</f>
        <v/>
      </c>
      <c r="AD3">
        <f>HYPERLINK("https://klasma.github.io/Logging_1783/tillsynsmail/A 34096-2026 tillsynsbegäran mail.docx", "A 34096-2026")</f>
        <v/>
      </c>
      <c r="AE3">
        <f>HYPERLINK("https://klasma.github.io/Logging_1783/fåglar/A 34096-2026 prioriterade fågelarter.docx", "A 34096-2026")</f>
        <v/>
      </c>
    </row>
    <row r="4" ht="15" customHeight="1">
      <c r="A4" t="inlineStr">
        <is>
          <t>A 57613-2023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45246</v>
      </c>
      <c r="E4" s="1" t="n">
        <v>46318</v>
      </c>
      <c r="F4" t="inlineStr">
        <is>
          <t>VÄRMLANDS LÄN</t>
        </is>
      </c>
      <c r="G4" t="inlineStr">
        <is>
          <t>HAGFORS</t>
        </is>
      </c>
      <c r="H4" t="inlineStr">
        <is>
          <t>Kyrkan</t>
        </is>
      </c>
      <c r="I4" t="n">
        <v>29.5</v>
      </c>
      <c r="J4" t="n">
        <v>0</v>
      </c>
      <c r="K4" t="n">
        <v>2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12</v>
      </c>
      <c r="T4" t="n">
        <v>26</v>
      </c>
      <c r="U4" t="n">
        <v>1</v>
      </c>
      <c r="V4" s="2" t="inlineStr">
        <is>
          <t>Garnlav
Brunpudrad nållav
Dropptaggsvamp
Kolflarnlav
Lunglav
Mörk kolflarnlav
Skrovellav
Skuggblåslav
Vedskivlav
Vedtrappmossa
Bollvitmossa
Skinnlav</t>
        </is>
      </c>
      <c r="W4">
        <f>HYPERLINK("https://klasma.github.io/Logging_1783/artfynd/A 57613-2023 artfynd.xlsx", "A 57613-2023")</f>
        <v/>
      </c>
      <c r="X4">
        <f>HYPERLINK("https://klasma.github.io/Logging_1783/kartor/A 57613-2023 karta.png", "A 57613-2023")</f>
        <v/>
      </c>
      <c r="Y4">
        <f>HYPERLINK("https://klasma.github.io/Logging_1783/kartor_geotiff/A 57613-2023 georefererad karta.tif", "A 57613-2023")</f>
        <v/>
      </c>
      <c r="AA4">
        <f>HYPERLINK("https://klasma.github.io/Logging_1783/klagomål/A 57613-2023 FSC-klagomål.docx", "A 57613-2023")</f>
        <v/>
      </c>
      <c r="AB4">
        <f>HYPERLINK("https://klasma.github.io/Logging_1783/klagomålsmail/A 57613-2023 FSC-klagomål mail.docx", "A 57613-2023")</f>
        <v/>
      </c>
      <c r="AC4">
        <f>HYPERLINK("https://klasma.github.io/Logging_1783/tillsyn/A 57613-2023 tillsynsbegäran.docx", "A 57613-2023")</f>
        <v/>
      </c>
      <c r="AD4">
        <f>HYPERLINK("https://klasma.github.io/Logging_1783/tillsynsmail/A 57613-2023 tillsynsbegäran mail.docx", "A 57613-2023")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46318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46318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46318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46318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46318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0</v>
      </c>
      <c r="V15" s="2" t="inlineStr">
        <is>
          <t>Lunglav
Vedskivlav
Vedtrappmossa
Skinnlav</t>
        </is>
      </c>
      <c r="W15">
        <f>HYPERLINK("https://klasma.github.io/Logging_1783/artfynd/A 35299-2025 artfynd.xlsx", "A 35299-2025")</f>
        <v/>
      </c>
      <c r="X15">
        <f>HYPERLINK("https://klasma.github.io/Logging_1783/kartor/A 35299-2025 karta.png", "A 35299-2025")</f>
        <v/>
      </c>
      <c r="Y15">
        <f>HYPERLINK("https://klasma.github.io/Logging_1783/kartor_geotiff/A 35299-2025 georefererad karta.tif", "A 35299-2025")</f>
        <v/>
      </c>
      <c r="AA15">
        <f>HYPERLINK("https://klasma.github.io/Logging_1783/klagomål/A 35299-2025 FSC-klagomål.docx", "A 35299-2025")</f>
        <v/>
      </c>
      <c r="AB15">
        <f>HYPERLINK("https://klasma.github.io/Logging_1783/klagomålsmail/A 35299-2025 FSC-klagomål mail.docx", "A 35299-2025")</f>
        <v/>
      </c>
      <c r="AC15">
        <f>HYPERLINK("https://klasma.github.io/Logging_1783/tillsyn/A 35299-2025 tillsynsbegäran.docx", "A 35299-2025")</f>
        <v/>
      </c>
      <c r="AD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46318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46318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46318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46318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46318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46318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46318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46318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46318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35908-2022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46318</v>
      </c>
      <c r="F25" t="inlineStr">
        <is>
          <t>VÄRMLANDS LÄN</t>
        </is>
      </c>
      <c r="G25" t="inlineStr">
        <is>
          <t>HAGFORS</t>
        </is>
      </c>
      <c r="I25" t="n">
        <v>2</v>
      </c>
      <c r="J25" t="n">
        <v>0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Aspgelélav
Bårdlav</t>
        </is>
      </c>
      <c r="W25">
        <f>HYPERLINK("https://klasma.github.io/Logging_1783/artfynd/A 35908-2022 artfynd.xlsx", "A 35908-2022")</f>
        <v/>
      </c>
      <c r="X25">
        <f>HYPERLINK("https://klasma.github.io/Logging_1783/kartor/A 35908-2022 karta.png", "A 35908-2022")</f>
        <v/>
      </c>
      <c r="Y25">
        <f>HYPERLINK("https://klasma.github.io/Logging_1783/kartor_geotiff/A 35908-2022 georefererad karta.tif", "A 35908-2022")</f>
        <v/>
      </c>
      <c r="AA25">
        <f>HYPERLINK("https://klasma.github.io/Logging_1783/klagomål/A 35908-2022 FSC-klagomål.docx", "A 35908-2022")</f>
        <v/>
      </c>
      <c r="AB25">
        <f>HYPERLINK("https://klasma.github.io/Logging_1783/klagomålsmail/A 35908-2022 FSC-klagomål mail.docx", "A 35908-2022")</f>
        <v/>
      </c>
      <c r="AC25">
        <f>HYPERLINK("https://klasma.github.io/Logging_1783/tillsyn/A 35908-2022 tillsynsbegäran.docx", "A 35908-2022")</f>
        <v/>
      </c>
      <c r="AD25">
        <f>HYPERLINK("https://klasma.github.io/Logging_1783/tillsynsmail/A 35908-2022 tillsynsbegäran mail.docx", "A 35908-2022")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46318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59330-2024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46318</v>
      </c>
      <c r="F27" t="inlineStr">
        <is>
          <t>VÄRMLANDS LÄN</t>
        </is>
      </c>
      <c r="G27" t="inlineStr">
        <is>
          <t>HAGFORS</t>
        </is>
      </c>
      <c r="I27" t="n">
        <v>3.7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Gränsticka
Utter</t>
        </is>
      </c>
      <c r="W27">
        <f>HYPERLINK("https://klasma.github.io/Logging_1783/artfynd/A 59330-2024 artfynd.xlsx", "A 59330-2024")</f>
        <v/>
      </c>
      <c r="X27">
        <f>HYPERLINK("https://klasma.github.io/Logging_1783/kartor/A 59330-2024 karta.png", "A 59330-2024")</f>
        <v/>
      </c>
      <c r="Y27">
        <f>HYPERLINK("https://klasma.github.io/Logging_1783/kartor_geotiff/A 59330-2024 georefererad karta.tif", "A 59330-2024")</f>
        <v/>
      </c>
      <c r="AA27">
        <f>HYPERLINK("https://klasma.github.io/Logging_1783/klagomål/A 59330-2024 FSC-klagomål.docx", "A 59330-2024")</f>
        <v/>
      </c>
      <c r="AB27">
        <f>HYPERLINK("https://klasma.github.io/Logging_1783/klagomålsmail/A 59330-2024 FSC-klagomål mail.docx", "A 59330-2024")</f>
        <v/>
      </c>
      <c r="AC27">
        <f>HYPERLINK("https://klasma.github.io/Logging_1783/tillsyn/A 59330-2024 tillsynsbegäran.docx", "A 59330-2024")</f>
        <v/>
      </c>
      <c r="AD27">
        <f>HYPERLINK("https://klasma.github.io/Logging_1783/tillsynsmail/A 59330-2024 tillsynsbegäran mail.docx", "A 59330-2024")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24885-2025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Mörk husmossa</t>
        </is>
      </c>
      <c r="W32">
        <f>HYPERLINK("https://klasma.github.io/Logging_1783/artfynd/A 24885-2025 artfynd.xlsx", "A 24885-2025")</f>
        <v/>
      </c>
      <c r="X32">
        <f>HYPERLINK("https://klasma.github.io/Logging_1783/kartor/A 24885-2025 karta.png", "A 24885-2025")</f>
        <v/>
      </c>
      <c r="Y32">
        <f>HYPERLINK("https://klasma.github.io/Logging_1783/kartor_geotiff/A 24885-2025 georefererad karta.tif", "A 24885-2025")</f>
        <v/>
      </c>
      <c r="AA32">
        <f>HYPERLINK("https://klasma.github.io/Logging_1783/klagomål/A 24885-2025 FSC-klagomål.docx", "A 24885-2025")</f>
        <v/>
      </c>
      <c r="AB32">
        <f>HYPERLINK("https://klasma.github.io/Logging_1783/klagomålsmail/A 24885-2025 FSC-klagomål mail.docx", "A 24885-2025")</f>
        <v/>
      </c>
      <c r="AC32">
        <f>HYPERLINK("https://klasma.github.io/Logging_1783/tillsyn/A 24885-2025 tillsynsbegäran.docx", "A 24885-2025")</f>
        <v/>
      </c>
      <c r="AD32">
        <f>HYPERLINK("https://klasma.github.io/Logging_1783/tillsynsmail/A 24885-2025 tillsynsbegäran mail.docx", "A 24885-2025")</f>
        <v/>
      </c>
    </row>
    <row r="33" ht="15" customHeight="1">
      <c r="A33" t="inlineStr">
        <is>
          <t>A 30524-2022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44762</v>
      </c>
      <c r="E33" s="1" t="n">
        <v>46318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Kolflarnlav</t>
        </is>
      </c>
      <c r="W33">
        <f>HYPERLINK("https://klasma.github.io/Logging_1783/artfynd/A 30524-2022 artfynd.xlsx", "A 30524-2022")</f>
        <v/>
      </c>
      <c r="X33">
        <f>HYPERLINK("https://klasma.github.io/Logging_1783/kartor/A 30524-2022 karta.png", "A 30524-2022")</f>
        <v/>
      </c>
      <c r="Y33">
        <f>HYPERLINK("https://klasma.github.io/Logging_1783/kartor_geotiff/A 30524-2022 georefererad karta.tif", "A 30524-2022")</f>
        <v/>
      </c>
      <c r="AA33">
        <f>HYPERLINK("https://klasma.github.io/Logging_1783/klagomål/A 30524-2022 FSC-klagomål.docx", "A 30524-2022")</f>
        <v/>
      </c>
      <c r="AB33">
        <f>HYPERLINK("https://klasma.github.io/Logging_1783/klagomålsmail/A 30524-2022 FSC-klagomål mail.docx", "A 30524-2022")</f>
        <v/>
      </c>
      <c r="AC33">
        <f>HYPERLINK("https://klasma.github.io/Logging_1783/tillsyn/A 30524-2022 tillsynsbegäran.docx", "A 30524-2022")</f>
        <v/>
      </c>
      <c r="AD33">
        <f>HYPERLINK("https://klasma.github.io/Logging_1783/tillsynsmail/A 30524-2022 tillsynsbegäran mail.docx", "A 30524-2022")</f>
        <v/>
      </c>
    </row>
    <row r="34" ht="15" customHeight="1">
      <c r="A34" t="inlineStr">
        <is>
          <t>A 14850-2025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45743</v>
      </c>
      <c r="E34" s="1" t="n">
        <v>46318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HYPERLINK("https://klasma.github.io/Logging_1783/artfynd/A 14850-2025 artfynd.xlsx", "A 14850-2025")</f>
        <v/>
      </c>
      <c r="X34">
        <f>HYPERLINK("https://klasma.github.io/Logging_1783/kartor/A 14850-2025 karta.png", "A 14850-2025")</f>
        <v/>
      </c>
      <c r="Y34">
        <f>HYPERLINK("https://klasma.github.io/Logging_1783/kartor_geotiff/A 14850-2025 georefererad karta.tif", "A 14850-2025")</f>
        <v/>
      </c>
      <c r="AA34">
        <f>HYPERLINK("https://klasma.github.io/Logging_1783/klagomål/A 14850-2025 FSC-klagomål.docx", "A 14850-2025")</f>
        <v/>
      </c>
      <c r="AB34">
        <f>HYPERLINK("https://klasma.github.io/Logging_1783/klagomålsmail/A 14850-2025 FSC-klagomål mail.docx", "A 14850-2025")</f>
        <v/>
      </c>
      <c r="AC34">
        <f>HYPERLINK("https://klasma.github.io/Logging_1783/tillsyn/A 14850-2025 tillsynsbegäran.docx", "A 14850-2025")</f>
        <v/>
      </c>
      <c r="AD34">
        <f>HYPERLINK("https://klasma.github.io/Logging_1783/tillsynsmail/A 14850-2025 tillsynsbegäran mail.docx", "A 14850-2025")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46318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46318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33848-2025 artfynd.xlsx", "A 33848-2025")</f>
        <v/>
      </c>
      <c r="X36">
        <f>HYPERLINK("https://klasma.github.io/Logging_1783/kartor/A 33848-2025 karta.png", "A 33848-2025")</f>
        <v/>
      </c>
      <c r="Y36">
        <f>HYPERLINK("https://klasma.github.io/Logging_1783/kartor_geotiff/A 33848-2025 georefererad karta.tif", "A 33848-2025")</f>
        <v/>
      </c>
      <c r="AA36">
        <f>HYPERLINK("https://klasma.github.io/Logging_1783/klagomål/A 33848-2025 FSC-klagomål.docx", "A 33848-2025")</f>
        <v/>
      </c>
      <c r="AB36">
        <f>HYPERLINK("https://klasma.github.io/Logging_1783/klagomålsmail/A 33848-2025 FSC-klagomål mail.docx", "A 33848-2025")</f>
        <v/>
      </c>
      <c r="AC36">
        <f>HYPERLINK("https://klasma.github.io/Logging_1783/tillsyn/A 33848-2025 tillsynsbegäran.docx", "A 33848-2025")</f>
        <v/>
      </c>
      <c r="AD36">
        <f>HYPERLINK("https://klasma.github.io/Logging_1783/tillsynsmail/A 33848-2025 tillsynsbegäran mail.docx", "A 33848-2025")</f>
        <v/>
      </c>
    </row>
    <row r="37" ht="15" customHeight="1">
      <c r="A37" t="inlineStr">
        <is>
          <t>A 33905-2025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45842</v>
      </c>
      <c r="E37" s="1" t="n">
        <v>46318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7.8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33905-2025 artfynd.xlsx", "A 33905-2025")</f>
        <v/>
      </c>
      <c r="X37">
        <f>HYPERLINK("https://klasma.github.io/Logging_1783/kartor/A 33905-2025 karta.png", "A 33905-2025")</f>
        <v/>
      </c>
      <c r="Y37">
        <f>HYPERLINK("https://klasma.github.io/Logging_1783/kartor_geotiff/A 33905-2025 georefererad karta.tif", "A 33905-2025")</f>
        <v/>
      </c>
      <c r="AA37">
        <f>HYPERLINK("https://klasma.github.io/Logging_1783/klagomål/A 33905-2025 FSC-klagomål.docx", "A 33905-2025")</f>
        <v/>
      </c>
      <c r="AB37">
        <f>HYPERLINK("https://klasma.github.io/Logging_1783/klagomålsmail/A 33905-2025 FSC-klagomål mail.docx", "A 33905-2025")</f>
        <v/>
      </c>
      <c r="AC37">
        <f>HYPERLINK("https://klasma.github.io/Logging_1783/tillsyn/A 33905-2025 tillsynsbegäran.docx", "A 33905-2025")</f>
        <v/>
      </c>
      <c r="AD37">
        <f>HYPERLINK("https://klasma.github.io/Logging_1783/tillsynsmail/A 33905-2025 tillsynsbegäran mail.docx", "A 33905-2025")</f>
        <v/>
      </c>
    </row>
    <row r="38" ht="15" customHeight="1">
      <c r="A38" t="inlineStr">
        <is>
          <t>A 38267-2024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46318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Tallticka</t>
        </is>
      </c>
      <c r="W38">
        <f>HYPERLINK("https://klasma.github.io/Logging_1783/artfynd/A 38267-2024 artfynd.xlsx", "A 38267-2024")</f>
        <v/>
      </c>
      <c r="X38">
        <f>HYPERLINK("https://klasma.github.io/Logging_1783/kartor/A 38267-2024 karta.png", "A 38267-2024")</f>
        <v/>
      </c>
      <c r="Y38">
        <f>HYPERLINK("https://klasma.github.io/Logging_1783/kartor_geotiff/A 38267-2024 georefererad karta.tif", "A 38267-2024")</f>
        <v/>
      </c>
      <c r="AA38">
        <f>HYPERLINK("https://klasma.github.io/Logging_1783/klagomål/A 38267-2024 FSC-klagomål.docx", "A 38267-2024")</f>
        <v/>
      </c>
      <c r="AB38">
        <f>HYPERLINK("https://klasma.github.io/Logging_1783/klagomålsmail/A 38267-2024 FSC-klagomål mail.docx", "A 38267-2024")</f>
        <v/>
      </c>
      <c r="AC38">
        <f>HYPERLINK("https://klasma.github.io/Logging_1783/tillsyn/A 38267-2024 tillsynsbegäran.docx", "A 38267-2024")</f>
        <v/>
      </c>
      <c r="AD38">
        <f>HYPERLINK("https://klasma.github.io/Logging_1783/tillsynsmail/A 38267-2024 tillsynsbegäran mail.docx", "A 38267-2024")</f>
        <v/>
      </c>
    </row>
    <row r="39" ht="15" customHeight="1">
      <c r="A39" t="inlineStr">
        <is>
          <t>A 20119-2025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46318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HYPERLINK("https://klasma.github.io/Logging_1783/artfynd/A 20119-2025 artfynd.xlsx", "A 20119-2025")</f>
        <v/>
      </c>
      <c r="X39">
        <f>HYPERLINK("https://klasma.github.io/Logging_1783/kartor/A 20119-2025 karta.png", "A 20119-2025")</f>
        <v/>
      </c>
      <c r="Y39">
        <f>HYPERLINK("https://klasma.github.io/Logging_1783/kartor_geotiff/A 20119-2025 georefererad karta.tif", "A 20119-2025")</f>
        <v/>
      </c>
      <c r="AA39">
        <f>HYPERLINK("https://klasma.github.io/Logging_1783/klagomål/A 20119-2025 FSC-klagomål.docx", "A 20119-2025")</f>
        <v/>
      </c>
      <c r="AB39">
        <f>HYPERLINK("https://klasma.github.io/Logging_1783/klagomålsmail/A 20119-2025 FSC-klagomål mail.docx", "A 20119-2025")</f>
        <v/>
      </c>
      <c r="AC39">
        <f>HYPERLINK("https://klasma.github.io/Logging_1783/tillsyn/A 20119-2025 tillsynsbegäran.docx", "A 20119-2025")</f>
        <v/>
      </c>
      <c r="AD39">
        <f>HYPERLINK("https://klasma.github.io/Logging_1783/tillsynsmail/A 20119-2025 tillsynsbegäran mail.docx", "A 20119-2025")</f>
        <v/>
      </c>
      <c r="AE39">
        <f>HYPERLINK("https://klasma.github.io/Logging_1783/fåglar/A 20119-2025 prioriterade fågelarter.docx", "A 20119-2025")</f>
        <v/>
      </c>
    </row>
    <row r="40" ht="15" customHeight="1">
      <c r="A40" t="inlineStr">
        <is>
          <t>A 56083-2022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19.1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HYPERLINK("https://klasma.github.io/Logging_1783/artfynd/A 56083-2022 artfynd.xlsx", "A 56083-2022")</f>
        <v/>
      </c>
      <c r="X40">
        <f>HYPERLINK("https://klasma.github.io/Logging_1783/kartor/A 56083-2022 karta.png", "A 56083-2022")</f>
        <v/>
      </c>
      <c r="Y40">
        <f>HYPERLINK("https://klasma.github.io/Logging_1783/kartor_geotiff/A 56083-2022 georefererad karta.tif", "A 56083-2022")</f>
        <v/>
      </c>
      <c r="AA40">
        <f>HYPERLINK("https://klasma.github.io/Logging_1783/klagomål/A 56083-2022 FSC-klagomål.docx", "A 56083-2022")</f>
        <v/>
      </c>
      <c r="AB40">
        <f>HYPERLINK("https://klasma.github.io/Logging_1783/klagomålsmail/A 56083-2022 FSC-klagomål mail.docx", "A 56083-2022")</f>
        <v/>
      </c>
      <c r="AC40">
        <f>HYPERLINK("https://klasma.github.io/Logging_1783/tillsyn/A 56083-2022 tillsynsbegäran.docx", "A 56083-2022")</f>
        <v/>
      </c>
      <c r="AD40">
        <f>HYPERLINK("https://klasma.github.io/Logging_1783/tillsynsmail/A 56083-2022 tillsynsbegäran mail.docx", "A 56083-2022")</f>
        <v/>
      </c>
    </row>
    <row r="41" ht="15" customHeight="1">
      <c r="A41" t="inlineStr">
        <is>
          <t>A 15219-2025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45744</v>
      </c>
      <c r="E41" s="1" t="n">
        <v>46318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15.8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Borsttagging</t>
        </is>
      </c>
      <c r="W41">
        <f>HYPERLINK("https://klasma.github.io/Logging_1783/artfynd/A 15219-2025 artfynd.xlsx", "A 15219-2025")</f>
        <v/>
      </c>
      <c r="X41">
        <f>HYPERLINK("https://klasma.github.io/Logging_1783/kartor/A 15219-2025 karta.png", "A 15219-2025")</f>
        <v/>
      </c>
      <c r="Y41">
        <f>HYPERLINK("https://klasma.github.io/Logging_1783/kartor_geotiff/A 15219-2025 georefererad karta.tif", "A 15219-2025")</f>
        <v/>
      </c>
      <c r="AA41">
        <f>HYPERLINK("https://klasma.github.io/Logging_1783/klagomål/A 15219-2025 FSC-klagomål.docx", "A 15219-2025")</f>
        <v/>
      </c>
      <c r="AB41">
        <f>HYPERLINK("https://klasma.github.io/Logging_1783/klagomålsmail/A 15219-2025 FSC-klagomål mail.docx", "A 15219-2025")</f>
        <v/>
      </c>
      <c r="AC41">
        <f>HYPERLINK("https://klasma.github.io/Logging_1783/tillsyn/A 15219-2025 tillsynsbegäran.docx", "A 15219-2025")</f>
        <v/>
      </c>
      <c r="AD41">
        <f>HYPERLINK("https://klasma.github.io/Logging_1783/tillsynsmail/A 15219-2025 tillsynsbegäran mail.docx", "A 15219-2025")</f>
        <v/>
      </c>
    </row>
    <row r="42" ht="15" customHeight="1">
      <c r="A42" t="inlineStr">
        <is>
          <t>A 50030-2025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45943</v>
      </c>
      <c r="E42" s="1" t="n">
        <v>46318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9.9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HYPERLINK("https://klasma.github.io/Logging_1783/artfynd/A 50030-2025 artfynd.xlsx", "A 50030-2025")</f>
        <v/>
      </c>
      <c r="X42">
        <f>HYPERLINK("https://klasma.github.io/Logging_1783/kartor/A 50030-2025 karta.png", "A 50030-2025")</f>
        <v/>
      </c>
      <c r="Y42">
        <f>HYPERLINK("https://klasma.github.io/Logging_1783/kartor_geotiff/A 50030-2025 georefererad karta.tif", "A 50030-2025")</f>
        <v/>
      </c>
      <c r="AA42">
        <f>HYPERLINK("https://klasma.github.io/Logging_1783/klagomål/A 50030-2025 FSC-klagomål.docx", "A 50030-2025")</f>
        <v/>
      </c>
      <c r="AB42">
        <f>HYPERLINK("https://klasma.github.io/Logging_1783/klagomålsmail/A 50030-2025 FSC-klagomål mail.docx", "A 50030-2025")</f>
        <v/>
      </c>
      <c r="AC42">
        <f>HYPERLINK("https://klasma.github.io/Logging_1783/tillsyn/A 50030-2025 tillsynsbegäran.docx", "A 50030-2025")</f>
        <v/>
      </c>
      <c r="AD42">
        <f>HYPERLINK("https://klasma.github.io/Logging_1783/tillsynsmail/A 50030-2025 tillsynsbegäran mail.docx", "A 50030-2025")</f>
        <v/>
      </c>
    </row>
    <row r="43" ht="15" customHeight="1">
      <c r="A43" t="inlineStr">
        <is>
          <t>A 34158-2025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45845</v>
      </c>
      <c r="E43" s="1" t="n">
        <v>46318</v>
      </c>
      <c r="F43" t="inlineStr">
        <is>
          <t>VÄRMLANDS LÄN</t>
        </is>
      </c>
      <c r="G43" t="inlineStr">
        <is>
          <t>HAGFORS</t>
        </is>
      </c>
      <c r="I43" t="n">
        <v>5.8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Korallblylav</t>
        </is>
      </c>
      <c r="W43">
        <f>HYPERLINK("https://klasma.github.io/Logging_1783/artfynd/A 34158-2025 artfynd.xlsx", "A 34158-2025")</f>
        <v/>
      </c>
      <c r="X43">
        <f>HYPERLINK("https://klasma.github.io/Logging_1783/kartor/A 34158-2025 karta.png", "A 34158-2025")</f>
        <v/>
      </c>
      <c r="Y43">
        <f>HYPERLINK("https://klasma.github.io/Logging_1783/kartor_geotiff/A 34158-2025 georefererad karta.tif", "A 34158-2025")</f>
        <v/>
      </c>
      <c r="AA43">
        <f>HYPERLINK("https://klasma.github.io/Logging_1783/klagomål/A 34158-2025 FSC-klagomål.docx", "A 34158-2025")</f>
        <v/>
      </c>
      <c r="AB43">
        <f>HYPERLINK("https://klasma.github.io/Logging_1783/klagomålsmail/A 34158-2025 FSC-klagomål mail.docx", "A 34158-2025")</f>
        <v/>
      </c>
      <c r="AC43">
        <f>HYPERLINK("https://klasma.github.io/Logging_1783/tillsyn/A 34158-2025 tillsynsbegäran.docx", "A 34158-2025")</f>
        <v/>
      </c>
      <c r="AD43">
        <f>HYPERLINK("https://klasma.github.io/Logging_1783/tillsynsmail/A 34158-2025 tillsynsbegäran mail.docx", "A 34158-2025")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46318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 sköldmossa</t>
        </is>
      </c>
      <c r="W44">
        <f>HYPERLINK("https://klasma.github.io/Logging_1783/artfynd/A 55484-2025 artfynd.xlsx", "A 55484-2025")</f>
        <v/>
      </c>
      <c r="X44">
        <f>HYPERLINK("https://klasma.github.io/Logging_1783/kartor/A 55484-2025 karta.png", "A 55484-2025")</f>
        <v/>
      </c>
      <c r="Y44">
        <f>HYPERLINK("https://klasma.github.io/Logging_1783/kartor_geotiff/A 55484-2025 georefererad karta.tif", "A 55484-2025")</f>
        <v/>
      </c>
      <c r="AA44">
        <f>HYPERLINK("https://klasma.github.io/Logging_1783/klagomål/A 55484-2025 FSC-klagomål.docx", "A 55484-2025")</f>
        <v/>
      </c>
      <c r="AB44">
        <f>HYPERLINK("https://klasma.github.io/Logging_1783/klagomålsmail/A 55484-2025 FSC-klagomål mail.docx", "A 55484-2025")</f>
        <v/>
      </c>
      <c r="AC44">
        <f>HYPERLINK("https://klasma.github.io/Logging_1783/tillsyn/A 55484-2025 tillsynsbegäran.docx", "A 55484-2025")</f>
        <v/>
      </c>
      <c r="AD44">
        <f>HYPERLINK("https://klasma.github.io/Logging_1783/tillsynsmail/A 55484-2025 tillsynsbegäran mail.docx", "A 55484-2025")</f>
        <v/>
      </c>
    </row>
    <row r="45" ht="15" customHeight="1">
      <c r="A45" t="inlineStr">
        <is>
          <t>A 6986-2022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46318</v>
      </c>
      <c r="F45" t="inlineStr">
        <is>
          <t>VÄRMLANDS LÄN</t>
        </is>
      </c>
      <c r="G45" t="inlineStr">
        <is>
          <t>HAGFORS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HYPERLINK("https://klasma.github.io/Logging_1783/artfynd/A 6986-2022 artfynd.xlsx", "A 6986-2022")</f>
        <v/>
      </c>
      <c r="X45">
        <f>HYPERLINK("https://klasma.github.io/Logging_1783/kartor/A 6986-2022 karta.png", "A 6986-2022")</f>
        <v/>
      </c>
      <c r="Y45">
        <f>HYPERLINK("https://klasma.github.io/Logging_1783/kartor_geotiff/A 6986-2022 georefererad karta.tif", "A 6986-2022")</f>
        <v/>
      </c>
      <c r="AA45">
        <f>HYPERLINK("https://klasma.github.io/Logging_1783/klagomål/A 6986-2022 FSC-klagomål.docx", "A 6986-2022")</f>
        <v/>
      </c>
      <c r="AB45">
        <f>HYPERLINK("https://klasma.github.io/Logging_1783/klagomålsmail/A 6986-2022 FSC-klagomål mail.docx", "A 6986-2022")</f>
        <v/>
      </c>
      <c r="AC45">
        <f>HYPERLINK("https://klasma.github.io/Logging_1783/tillsyn/A 6986-2022 tillsynsbegäran.docx", "A 6986-2022")</f>
        <v/>
      </c>
      <c r="AD45">
        <f>HYPERLINK("https://klasma.github.io/Logging_1783/tillsynsmail/A 6986-2022 tillsynsbegäran mail.docx", "A 6986-2022")</f>
        <v/>
      </c>
    </row>
    <row r="46" ht="15" customHeight="1">
      <c r="A46" t="inlineStr">
        <is>
          <t>A 24659-2026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46171</v>
      </c>
      <c r="E46" s="1" t="n">
        <v>46318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82.3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Garnlav</t>
        </is>
      </c>
      <c r="W46">
        <f>HYPERLINK("https://klasma.github.io/Logging_1783/artfynd/A 24659-2026 artfynd.xlsx", "A 24659-2026")</f>
        <v/>
      </c>
      <c r="X46">
        <f>HYPERLINK("https://klasma.github.io/Logging_1783/kartor/A 24659-2026 karta.png", "A 24659-2026")</f>
        <v/>
      </c>
      <c r="Y46">
        <f>HYPERLINK("https://klasma.github.io/Logging_1783/kartor_geotiff/A 24659-2026 georefererad karta.tif", "A 24659-2026")</f>
        <v/>
      </c>
      <c r="AA46">
        <f>HYPERLINK("https://klasma.github.io/Logging_1783/klagomål/A 24659-2026 FSC-klagomål.docx", "A 24659-2026")</f>
        <v/>
      </c>
      <c r="AB46">
        <f>HYPERLINK("https://klasma.github.io/Logging_1783/klagomålsmail/A 24659-2026 FSC-klagomål mail.docx", "A 24659-2026")</f>
        <v/>
      </c>
      <c r="AC46">
        <f>HYPERLINK("https://klasma.github.io/Logging_1783/tillsyn/A 24659-2026 tillsynsbegäran.docx", "A 24659-2026")</f>
        <v/>
      </c>
      <c r="AD46">
        <f>HYPERLINK("https://klasma.github.io/Logging_1783/tillsynsmail/A 24659-2026 tillsynsbegäran mail.docx", "A 24659-2026")</f>
        <v/>
      </c>
    </row>
    <row r="47" ht="15" customHeight="1">
      <c r="A47" t="inlineStr">
        <is>
          <t>A 24716-2026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46171</v>
      </c>
      <c r="E47" s="1" t="n">
        <v>46318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82.3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Garnlav</t>
        </is>
      </c>
      <c r="W47">
        <f>HYPERLINK("https://klasma.github.io/Logging_1783/artfynd/A 24716-2026 artfynd.xlsx", "A 24716-2026")</f>
        <v/>
      </c>
      <c r="X47">
        <f>HYPERLINK("https://klasma.github.io/Logging_1783/kartor/A 24716-2026 karta.png", "A 24716-2026")</f>
        <v/>
      </c>
      <c r="Y47">
        <f>HYPERLINK("https://klasma.github.io/Logging_1783/kartor_geotiff/A 24716-2026 georefererad karta.tif", "A 24716-2026")</f>
        <v/>
      </c>
      <c r="AA47">
        <f>HYPERLINK("https://klasma.github.io/Logging_1783/klagomål/A 24716-2026 FSC-klagomål.docx", "A 24716-2026")</f>
        <v/>
      </c>
      <c r="AB47">
        <f>HYPERLINK("https://klasma.github.io/Logging_1783/klagomålsmail/A 24716-2026 FSC-klagomål mail.docx", "A 24716-2026")</f>
        <v/>
      </c>
      <c r="AC47">
        <f>HYPERLINK("https://klasma.github.io/Logging_1783/tillsyn/A 24716-2026 tillsynsbegäran.docx", "A 24716-2026")</f>
        <v/>
      </c>
      <c r="AD47">
        <f>HYPERLINK("https://klasma.github.io/Logging_1783/tillsynsmail/A 24716-2026 tillsynsbegäran mail.docx", "A 24716-2026")</f>
        <v/>
      </c>
    </row>
    <row r="48" ht="15" customHeight="1">
      <c r="A48" t="inlineStr">
        <is>
          <t>A 62954-2025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46318</v>
      </c>
      <c r="F48" t="inlineStr">
        <is>
          <t>VÄRMLANDS LÄN</t>
        </is>
      </c>
      <c r="G48" t="inlineStr">
        <is>
          <t>HAGFORS</t>
        </is>
      </c>
      <c r="I48" t="n">
        <v>9.1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Kråka</t>
        </is>
      </c>
      <c r="W48">
        <f>HYPERLINK("https://klasma.github.io/Logging_1783/artfynd/A 62954-2025 artfynd.xlsx", "A 62954-2025")</f>
        <v/>
      </c>
      <c r="X48">
        <f>HYPERLINK("https://klasma.github.io/Logging_1783/kartor/A 62954-2025 karta.png", "A 62954-2025")</f>
        <v/>
      </c>
      <c r="Y48">
        <f>HYPERLINK("https://klasma.github.io/Logging_1783/kartor_geotiff/A 62954-2025 georefererad karta.tif", "A 62954-2025")</f>
        <v/>
      </c>
      <c r="AA48">
        <f>HYPERLINK("https://klasma.github.io/Logging_1783/klagomål/A 62954-2025 FSC-klagomål.docx", "A 62954-2025")</f>
        <v/>
      </c>
      <c r="AB48">
        <f>HYPERLINK("https://klasma.github.io/Logging_1783/klagomålsmail/A 62954-2025 FSC-klagomål mail.docx", "A 62954-2025")</f>
        <v/>
      </c>
      <c r="AC48">
        <f>HYPERLINK("https://klasma.github.io/Logging_1783/tillsyn/A 62954-2025 tillsynsbegäran.docx", "A 62954-2025")</f>
        <v/>
      </c>
      <c r="AD48">
        <f>HYPERLINK("https://klasma.github.io/Logging_1783/tillsynsmail/A 62954-2025 tillsynsbegäran mail.docx", "A 62954-2025")</f>
        <v/>
      </c>
    </row>
    <row r="49" ht="15" customHeight="1">
      <c r="A49" t="inlineStr">
        <is>
          <t>A 26189-2026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46318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Sävsparv</t>
        </is>
      </c>
      <c r="W49">
        <f>HYPERLINK("https://klasma.github.io/Logging_1783/artfynd/A 26189-2026 artfynd.xlsx", "A 26189-2026")</f>
        <v/>
      </c>
      <c r="X49">
        <f>HYPERLINK("https://klasma.github.io/Logging_1783/kartor/A 26189-2026 karta.png", "A 26189-2026")</f>
        <v/>
      </c>
      <c r="Y49">
        <f>HYPERLINK("https://klasma.github.io/Logging_1783/kartor_geotiff/A 26189-2026 georefererad karta.tif", "A 26189-2026")</f>
        <v/>
      </c>
      <c r="AA49">
        <f>HYPERLINK("https://klasma.github.io/Logging_1783/klagomål/A 26189-2026 FSC-klagomål.docx", "A 26189-2026")</f>
        <v/>
      </c>
      <c r="AB49">
        <f>HYPERLINK("https://klasma.github.io/Logging_1783/klagomålsmail/A 26189-2026 FSC-klagomål mail.docx", "A 26189-2026")</f>
        <v/>
      </c>
      <c r="AC49">
        <f>HYPERLINK("https://klasma.github.io/Logging_1783/tillsyn/A 26189-2026 tillsynsbegäran.docx", "A 26189-2026")</f>
        <v/>
      </c>
      <c r="AD49">
        <f>HYPERLINK("https://klasma.github.io/Logging_1783/tillsynsmail/A 26189-2026 tillsynsbegäran mail.docx", "A 26189-2026")</f>
        <v/>
      </c>
      <c r="AE49">
        <f>HYPERLINK("https://klasma.github.io/Logging_1783/fåglar/A 26189-2026 prioriterade fågelarter.docx", "A 26189-2026")</f>
        <v/>
      </c>
    </row>
    <row r="50" ht="15" customHeight="1">
      <c r="A50" t="inlineStr">
        <is>
          <t>A 8254-2026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46318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8254-2026 artfynd.xlsx", "A 8254-2026")</f>
        <v/>
      </c>
      <c r="X50">
        <f>HYPERLINK("https://klasma.github.io/Logging_1783/kartor/A 8254-2026 karta.png", "A 8254-2026")</f>
        <v/>
      </c>
      <c r="Y50">
        <f>HYPERLINK("https://klasma.github.io/Logging_1783/kartor_geotiff/A 8254-2026 georefererad karta.tif", "A 8254-2026")</f>
        <v/>
      </c>
      <c r="AA50">
        <f>HYPERLINK("https://klasma.github.io/Logging_1783/klagomål/A 8254-2026 FSC-klagomål.docx", "A 8254-2026")</f>
        <v/>
      </c>
      <c r="AB50">
        <f>HYPERLINK("https://klasma.github.io/Logging_1783/klagomålsmail/A 8254-2026 FSC-klagomål mail.docx", "A 8254-2026")</f>
        <v/>
      </c>
      <c r="AC50">
        <f>HYPERLINK("https://klasma.github.io/Logging_1783/tillsyn/A 8254-2026 tillsynsbegäran.docx", "A 8254-2026")</f>
        <v/>
      </c>
      <c r="AD50">
        <f>HYPERLINK("https://klasma.github.io/Logging_1783/tillsynsmail/A 8254-2026 tillsynsbegäran mail.docx", "A 8254-2026")</f>
        <v/>
      </c>
    </row>
    <row r="51" ht="15" customHeight="1">
      <c r="A51" t="inlineStr">
        <is>
          <t>A 22484-2025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45786</v>
      </c>
      <c r="E51" s="1" t="n">
        <v>46318</v>
      </c>
      <c r="F51" t="inlineStr">
        <is>
          <t>VÄRMLANDS LÄN</t>
        </is>
      </c>
      <c r="G51" t="inlineStr">
        <is>
          <t>HAGFORS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HYPERLINK("https://klasma.github.io/Logging_1783/artfynd/A 22484-2025 artfynd.xlsx", "A 22484-2025")</f>
        <v/>
      </c>
      <c r="X51">
        <f>HYPERLINK("https://klasma.github.io/Logging_1783/kartor/A 22484-2025 karta.png", "A 22484-2025")</f>
        <v/>
      </c>
      <c r="Y51">
        <f>HYPERLINK("https://klasma.github.io/Logging_1783/kartor_geotiff/A 22484-2025 georefererad karta.tif", "A 22484-2025")</f>
        <v/>
      </c>
      <c r="AA51">
        <f>HYPERLINK("https://klasma.github.io/Logging_1783/klagomål/A 22484-2025 FSC-klagomål.docx", "A 22484-2025")</f>
        <v/>
      </c>
      <c r="AB51">
        <f>HYPERLINK("https://klasma.github.io/Logging_1783/klagomålsmail/A 22484-2025 FSC-klagomål mail.docx", "A 22484-2025")</f>
        <v/>
      </c>
      <c r="AC51">
        <f>HYPERLINK("https://klasma.github.io/Logging_1783/tillsyn/A 22484-2025 tillsynsbegäran.docx", "A 22484-2025")</f>
        <v/>
      </c>
      <c r="AD51">
        <f>HYPERLINK("https://klasma.github.io/Logging_1783/tillsynsmail/A 22484-2025 tillsynsbegäran mail.docx", "A 22484-2025")</f>
        <v/>
      </c>
    </row>
    <row r="52" ht="15" customHeight="1">
      <c r="A52" t="inlineStr">
        <is>
          <t>A 37152-2023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46318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Hökuggla</t>
        </is>
      </c>
      <c r="W52">
        <f>HYPERLINK("https://klasma.github.io/Logging_1783/artfynd/A 37152-2023 artfynd.xlsx", "A 37152-2023")</f>
        <v/>
      </c>
      <c r="X52">
        <f>HYPERLINK("https://klasma.github.io/Logging_1783/kartor/A 37152-2023 karta.png", "A 37152-2023")</f>
        <v/>
      </c>
      <c r="Y52">
        <f>HYPERLINK("https://klasma.github.io/Logging_1783/kartor_geotiff/A 37152-2023 georefererad karta.tif", "A 37152-2023")</f>
        <v/>
      </c>
      <c r="AA52">
        <f>HYPERLINK("https://klasma.github.io/Logging_1783/klagomål/A 37152-2023 FSC-klagomål.docx", "A 37152-2023")</f>
        <v/>
      </c>
      <c r="AB52">
        <f>HYPERLINK("https://klasma.github.io/Logging_1783/klagomålsmail/A 37152-2023 FSC-klagomål mail.docx", "A 37152-2023")</f>
        <v/>
      </c>
      <c r="AC52">
        <f>HYPERLINK("https://klasma.github.io/Logging_1783/tillsyn/A 37152-2023 tillsynsbegäran.docx", "A 37152-2023")</f>
        <v/>
      </c>
      <c r="AD52">
        <f>HYPERLINK("https://klasma.github.io/Logging_1783/tillsynsmail/A 37152-2023 tillsynsbegäran mail.docx", "A 37152-2023")</f>
        <v/>
      </c>
      <c r="AE52">
        <f>HYPERLINK("https://klasma.github.io/Logging_1783/fåglar/A 37152-2023 prioriterade fågelarter.docx", "A 37152-2023")</f>
        <v/>
      </c>
    </row>
    <row r="53" ht="15" customHeight="1">
      <c r="A53" t="inlineStr">
        <is>
          <t>A 12445-2026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46318</v>
      </c>
      <c r="F53" t="inlineStr">
        <is>
          <t>VÄRMLANDS LÄN</t>
        </is>
      </c>
      <c r="G53" t="inlineStr">
        <is>
          <t>HAGFORS</t>
        </is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HYPERLINK("https://klasma.github.io/Logging_1783/artfynd/A 12445-2026 artfynd.xlsx", "A 12445-2026")</f>
        <v/>
      </c>
      <c r="X53">
        <f>HYPERLINK("https://klasma.github.io/Logging_1783/kartor/A 12445-2026 karta.png", "A 12445-2026")</f>
        <v/>
      </c>
      <c r="Y53">
        <f>HYPERLINK("https://klasma.github.io/Logging_1783/kartor_geotiff/A 12445-2026 georefererad karta.tif", "A 12445-2026")</f>
        <v/>
      </c>
      <c r="AA53">
        <f>HYPERLINK("https://klasma.github.io/Logging_1783/klagomål/A 12445-2026 FSC-klagomål.docx", "A 12445-2026")</f>
        <v/>
      </c>
      <c r="AB53">
        <f>HYPERLINK("https://klasma.github.io/Logging_1783/klagomålsmail/A 12445-2026 FSC-klagomål mail.docx", "A 12445-2026")</f>
        <v/>
      </c>
      <c r="AC53">
        <f>HYPERLINK("https://klasma.github.io/Logging_1783/tillsyn/A 12445-2026 tillsynsbegäran.docx", "A 12445-2026")</f>
        <v/>
      </c>
      <c r="AD53">
        <f>HYPERLINK("https://klasma.github.io/Logging_1783/tillsynsmail/A 12445-2026 tillsynsbegäran mail.docx", "A 12445-2026")</f>
        <v/>
      </c>
      <c r="AE53">
        <f>HYPERLINK("https://klasma.github.io/Logging_1783/fåglar/A 12445-2026 prioriterade fågelarter.docx", "A 12445-2026")</f>
        <v/>
      </c>
    </row>
    <row r="54" ht="15" customHeight="1">
      <c r="A54" t="inlineStr">
        <is>
          <t>A 36223-2026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46268</v>
      </c>
      <c r="E54" s="1" t="n">
        <v>46318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8.699999999999999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HYPERLINK("https://klasma.github.io/Logging_1783/artfynd/A 36223-2026 artfynd.xlsx", "A 36223-2026")</f>
        <v/>
      </c>
      <c r="X54">
        <f>HYPERLINK("https://klasma.github.io/Logging_1783/kartor/A 36223-2026 karta.png", "A 36223-2026")</f>
        <v/>
      </c>
      <c r="Y54">
        <f>HYPERLINK("https://klasma.github.io/Logging_1783/kartor_geotiff/A 36223-2026 georefererad karta.tif", "A 36223-2026")</f>
        <v/>
      </c>
      <c r="AA54">
        <f>HYPERLINK("https://klasma.github.io/Logging_1783/klagomål/A 36223-2026 FSC-klagomål.docx", "A 36223-2026")</f>
        <v/>
      </c>
      <c r="AB54">
        <f>HYPERLINK("https://klasma.github.io/Logging_1783/klagomålsmail/A 36223-2026 FSC-klagomål mail.docx", "A 36223-2026")</f>
        <v/>
      </c>
      <c r="AC54">
        <f>HYPERLINK("https://klasma.github.io/Logging_1783/tillsyn/A 36223-2026 tillsynsbegäran.docx", "A 36223-2026")</f>
        <v/>
      </c>
      <c r="AD54">
        <f>HYPERLINK("https://klasma.github.io/Logging_1783/tillsynsmail/A 36223-2026 tillsynsbegäran mail.docx", "A 36223-2026")</f>
        <v/>
      </c>
      <c r="AE54">
        <f>HYPERLINK("https://klasma.github.io/Logging_1783/fåglar/A 36223-2026 prioriterade fågelarter.docx", "A 36223-2026")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46318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Vedtrappmossa</t>
        </is>
      </c>
      <c r="W55">
        <f>HYPERLINK("https://klasma.github.io/Logging_1783/artfynd/A 29432-2026 artfynd.xlsx", "A 29432-2026")</f>
        <v/>
      </c>
      <c r="X55">
        <f>HYPERLINK("https://klasma.github.io/Logging_1783/kartor/A 29432-2026 karta.png", "A 29432-2026")</f>
        <v/>
      </c>
      <c r="Y55">
        <f>HYPERLINK("https://klasma.github.io/Logging_1783/kartor_geotiff/A 29432-2026 georefererad karta.tif", "A 29432-2026")</f>
        <v/>
      </c>
      <c r="AA55">
        <f>HYPERLINK("https://klasma.github.io/Logging_1783/klagomål/A 29432-2026 FSC-klagomål.docx", "A 29432-2026")</f>
        <v/>
      </c>
      <c r="AB55">
        <f>HYPERLINK("https://klasma.github.io/Logging_1783/klagomålsmail/A 29432-2026 FSC-klagomål mail.docx", "A 29432-2026")</f>
        <v/>
      </c>
      <c r="AC55">
        <f>HYPERLINK("https://klasma.github.io/Logging_1783/tillsyn/A 29432-2026 tillsynsbegäran.docx", "A 29432-2026")</f>
        <v/>
      </c>
      <c r="AD55">
        <f>HYPERLINK("https://klasma.github.io/Logging_1783/tillsynsmail/A 29432-2026 tillsynsbegäran mail.docx", "A 29432-2026")</f>
        <v/>
      </c>
    </row>
    <row r="56" ht="15" customHeight="1">
      <c r="A56" t="inlineStr">
        <is>
          <t>A 35256-2026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46261</v>
      </c>
      <c r="E56" s="1" t="n">
        <v>46318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35256-2026 artfynd.xlsx", "A 35256-2026")</f>
        <v/>
      </c>
      <c r="X56">
        <f>HYPERLINK("https://klasma.github.io/Logging_1783/kartor/A 35256-2026 karta.png", "A 35256-2026")</f>
        <v/>
      </c>
      <c r="Y56">
        <f>HYPERLINK("https://klasma.github.io/Logging_1783/kartor_geotiff/A 35256-2026 georefererad karta.tif", "A 35256-2026")</f>
        <v/>
      </c>
      <c r="AA56">
        <f>HYPERLINK("https://klasma.github.io/Logging_1783/klagomål/A 35256-2026 FSC-klagomål.docx", "A 35256-2026")</f>
        <v/>
      </c>
      <c r="AB56">
        <f>HYPERLINK("https://klasma.github.io/Logging_1783/klagomålsmail/A 35256-2026 FSC-klagomål mail.docx", "A 35256-2026")</f>
        <v/>
      </c>
      <c r="AC56">
        <f>HYPERLINK("https://klasma.github.io/Logging_1783/tillsyn/A 35256-2026 tillsynsbegäran.docx", "A 35256-2026")</f>
        <v/>
      </c>
      <c r="AD56">
        <f>HYPERLINK("https://klasma.github.io/Logging_1783/tillsynsmail/A 35256-2026 tillsynsbegäran mail.docx", "A 35256-2026")</f>
        <v/>
      </c>
    </row>
    <row r="57" ht="15" customHeight="1">
      <c r="A57" t="inlineStr">
        <is>
          <t>A 21309-2023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45062</v>
      </c>
      <c r="E57" s="1" t="n">
        <v>46318</v>
      </c>
      <c r="F57" t="inlineStr">
        <is>
          <t>VÄRMLANDS LÄN</t>
        </is>
      </c>
      <c r="G57" t="inlineStr">
        <is>
          <t>HAGFORS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3</v>
      </c>
      <c r="V57" s="2" t="inlineStr">
        <is>
          <t>Kattfot</t>
        </is>
      </c>
      <c r="W57">
        <f>HYPERLINK("https://klasma.github.io/Logging_1783/artfynd/A 21309-2023 artfynd.xlsx", "A 21309-2023")</f>
        <v/>
      </c>
      <c r="X57">
        <f>HYPERLINK("https://klasma.github.io/Logging_1783/kartor/A 21309-2023 karta.png", "A 21309-2023")</f>
        <v/>
      </c>
      <c r="Y57">
        <f>HYPERLINK("https://klasma.github.io/Logging_1783/kartor_geotiff/A 21309-2023 georefererad karta.tif", "A 21309-2023")</f>
        <v/>
      </c>
      <c r="AA57">
        <f>HYPERLINK("https://klasma.github.io/Logging_1783/klagomål/A 21309-2023 FSC-klagomål.docx", "A 21309-2023")</f>
        <v/>
      </c>
      <c r="AB57">
        <f>HYPERLINK("https://klasma.github.io/Logging_1783/klagomålsmail/A 21309-2023 FSC-klagomål mail.docx", "A 21309-2023")</f>
        <v/>
      </c>
      <c r="AC57">
        <f>HYPERLINK("https://klasma.github.io/Logging_1783/tillsyn/A 21309-2023 tillsynsbegäran.docx", "A 21309-2023")</f>
        <v/>
      </c>
      <c r="AD57">
        <f>HYPERLINK("https://klasma.github.io/Logging_1783/tillsynsmail/A 21309-2023 tillsynsbegäran mail.docx", "A 21309-2023")</f>
        <v/>
      </c>
    </row>
    <row r="58" ht="15" customHeight="1">
      <c r="A58" t="inlineStr">
        <is>
          <t>A 19362-2026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46133</v>
      </c>
      <c r="E58" s="1" t="n">
        <v>46318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19362-2026 artfynd.xlsx", "A 19362-2026")</f>
        <v/>
      </c>
      <c r="X58">
        <f>HYPERLINK("https://klasma.github.io/Logging_1783/kartor/A 19362-2026 karta.png", "A 19362-2026")</f>
        <v/>
      </c>
      <c r="Y58">
        <f>HYPERLINK("https://klasma.github.io/Logging_1783/kartor_geotiff/A 19362-2026 georefererad karta.tif", "A 19362-2026")</f>
        <v/>
      </c>
      <c r="AA58">
        <f>HYPERLINK("https://klasma.github.io/Logging_1783/klagomål/A 19362-2026 FSC-klagomål.docx", "A 19362-2026")</f>
        <v/>
      </c>
      <c r="AB58">
        <f>HYPERLINK("https://klasma.github.io/Logging_1783/klagomålsmail/A 19362-2026 FSC-klagomål mail.docx", "A 19362-2026")</f>
        <v/>
      </c>
      <c r="AC58">
        <f>HYPERLINK("https://klasma.github.io/Logging_1783/tillsyn/A 19362-2026 tillsynsbegäran.docx", "A 19362-2026")</f>
        <v/>
      </c>
      <c r="AD58">
        <f>HYPERLINK("https://klasma.github.io/Logging_1783/tillsynsmail/A 19362-2026 tillsynsbegäran mail.docx", "A 19362-2026")</f>
        <v/>
      </c>
    </row>
    <row r="59" ht="15" customHeight="1">
      <c r="A59" t="inlineStr">
        <is>
          <t>A 31742-2026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46227</v>
      </c>
      <c r="E59" s="1" t="n">
        <v>46318</v>
      </c>
      <c r="F59" t="inlineStr">
        <is>
          <t>VÄRMLANDS LÄN</t>
        </is>
      </c>
      <c r="G59" t="inlineStr">
        <is>
          <t>HAGFORS</t>
        </is>
      </c>
      <c r="I59" t="n">
        <v>4.2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HYPERLINK("https://klasma.github.io/Logging_1783/artfynd/A 31742-2026 artfynd.xlsx", "A 31742-2026")</f>
        <v/>
      </c>
      <c r="X59">
        <f>HYPERLINK("https://klasma.github.io/Logging_1783/kartor/A 31742-2026 karta.png", "A 31742-2026")</f>
        <v/>
      </c>
      <c r="Y59">
        <f>HYPERLINK("https://klasma.github.io/Logging_1783/kartor_geotiff/A 31742-2026 georefererad karta.tif", "A 31742-2026")</f>
        <v/>
      </c>
      <c r="AA59">
        <f>HYPERLINK("https://klasma.github.io/Logging_1783/klagomål/A 31742-2026 FSC-klagomål.docx", "A 31742-2026")</f>
        <v/>
      </c>
      <c r="AB59">
        <f>HYPERLINK("https://klasma.github.io/Logging_1783/klagomålsmail/A 31742-2026 FSC-klagomål mail.docx", "A 31742-2026")</f>
        <v/>
      </c>
      <c r="AC59">
        <f>HYPERLINK("https://klasma.github.io/Logging_1783/tillsyn/A 31742-2026 tillsynsbegäran.docx", "A 31742-2026")</f>
        <v/>
      </c>
      <c r="AD59">
        <f>HYPERLINK("https://klasma.github.io/Logging_1783/tillsynsmail/A 31742-2026 tillsynsbegäran mail.docx", "A 31742-2026")</f>
        <v/>
      </c>
    </row>
    <row r="60" ht="15" customHeight="1">
      <c r="A60" t="inlineStr">
        <is>
          <t>A 51194-2022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46318</v>
      </c>
      <c r="F60" t="inlineStr">
        <is>
          <t>VÄRMLANDS LÄN</t>
        </is>
      </c>
      <c r="G60" t="inlineStr">
        <is>
          <t>HAGFORS</t>
        </is>
      </c>
      <c r="I60" t="n">
        <v>1.6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HYPERLINK("https://klasma.github.io/Logging_1783/artfynd/A 51194-2022 artfynd.xlsx", "A 51194-2022")</f>
        <v/>
      </c>
      <c r="X60">
        <f>HYPERLINK("https://klasma.github.io/Logging_1783/kartor/A 51194-2022 karta.png", "A 51194-2022")</f>
        <v/>
      </c>
      <c r="Y60">
        <f>HYPERLINK("https://klasma.github.io/Logging_1783/kartor_geotiff/A 51194-2022 georefererad karta.tif", "A 51194-2022")</f>
        <v/>
      </c>
      <c r="AA60">
        <f>HYPERLINK("https://klasma.github.io/Logging_1783/klagomål/A 51194-2022 FSC-klagomål.docx", "A 51194-2022")</f>
        <v/>
      </c>
      <c r="AB60">
        <f>HYPERLINK("https://klasma.github.io/Logging_1783/klagomålsmail/A 51194-2022 FSC-klagomål mail.docx", "A 51194-2022")</f>
        <v/>
      </c>
      <c r="AC60">
        <f>HYPERLINK("https://klasma.github.io/Logging_1783/tillsyn/A 51194-2022 tillsynsbegäran.docx", "A 51194-2022")</f>
        <v/>
      </c>
      <c r="AD60">
        <f>HYPERLINK("https://klasma.github.io/Logging_1783/tillsynsmail/A 51194-2022 tillsynsbegäran mail.docx", "A 51194-2022")</f>
        <v/>
      </c>
    </row>
    <row r="61" ht="15" customHeight="1">
      <c r="A61" t="inlineStr">
        <is>
          <t>A 32592-2026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46240</v>
      </c>
      <c r="E61" s="1" t="n">
        <v>46318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HYPERLINK("https://klasma.github.io/Logging_1783/artfynd/A 32592-2026 artfynd.xlsx", "A 32592-2026")</f>
        <v/>
      </c>
      <c r="X61">
        <f>HYPERLINK("https://klasma.github.io/Logging_1783/kartor/A 32592-2026 karta.png", "A 32592-2026")</f>
        <v/>
      </c>
      <c r="Y61">
        <f>HYPERLINK("https://klasma.github.io/Logging_1783/kartor_geotiff/A 32592-2026 georefererad karta.tif", "A 32592-2026")</f>
        <v/>
      </c>
      <c r="AA61">
        <f>HYPERLINK("https://klasma.github.io/Logging_1783/klagomål/A 32592-2026 FSC-klagomål.docx", "A 32592-2026")</f>
        <v/>
      </c>
      <c r="AB61">
        <f>HYPERLINK("https://klasma.github.io/Logging_1783/klagomålsmail/A 32592-2026 FSC-klagomål mail.docx", "A 32592-2026")</f>
        <v/>
      </c>
      <c r="AC61">
        <f>HYPERLINK("https://klasma.github.io/Logging_1783/tillsyn/A 32592-2026 tillsynsbegäran.docx", "A 32592-2026")</f>
        <v/>
      </c>
      <c r="AD61">
        <f>HYPERLINK("https://klasma.github.io/Logging_1783/tillsynsmail/A 32592-2026 tillsynsbegäran mail.docx", "A 32592-2026")</f>
        <v/>
      </c>
    </row>
    <row r="62" ht="15" customHeight="1">
      <c r="A62" t="inlineStr">
        <is>
          <t>A 44095-2023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46318</v>
      </c>
      <c r="F62" t="inlineStr">
        <is>
          <t>VÄRMLANDS LÄN</t>
        </is>
      </c>
      <c r="G62" t="inlineStr">
        <is>
          <t>HAGFORS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HYPERLINK("https://klasma.github.io/Logging_1783/artfynd/A 44095-2023 artfynd.xlsx", "A 44095-2023")</f>
        <v/>
      </c>
      <c r="X62">
        <f>HYPERLINK("https://klasma.github.io/Logging_1783/kartor/A 44095-2023 karta.png", "A 44095-2023")</f>
        <v/>
      </c>
      <c r="Y62">
        <f>HYPERLINK("https://klasma.github.io/Logging_1783/kartor_geotiff/A 44095-2023 georefererad karta.tif", "A 44095-2023")</f>
        <v/>
      </c>
      <c r="AA62">
        <f>HYPERLINK("https://klasma.github.io/Logging_1783/klagomål/A 44095-2023 FSC-klagomål.docx", "A 44095-2023")</f>
        <v/>
      </c>
      <c r="AB62">
        <f>HYPERLINK("https://klasma.github.io/Logging_1783/klagomålsmail/A 44095-2023 FSC-klagomål mail.docx", "A 44095-2023")</f>
        <v/>
      </c>
      <c r="AC62">
        <f>HYPERLINK("https://klasma.github.io/Logging_1783/tillsyn/A 44095-2023 tillsynsbegäran.docx", "A 44095-2023")</f>
        <v/>
      </c>
      <c r="AD62">
        <f>HYPERLINK("https://klasma.github.io/Logging_1783/tillsynsmail/A 44095-2023 tillsynsbegäran mail.docx", "A 44095-2023")</f>
        <v/>
      </c>
    </row>
    <row r="63" ht="15" customHeight="1">
      <c r="A63" t="inlineStr">
        <is>
          <t>A 40211-2026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46318</v>
      </c>
      <c r="F63" t="inlineStr">
        <is>
          <t>VÄRMLANDS LÄN</t>
        </is>
      </c>
      <c r="G63" t="inlineStr">
        <is>
          <t>HAGFORS</t>
        </is>
      </c>
      <c r="I63" t="n">
        <v>2.3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HYPERLINK("https://klasma.github.io/Logging_1783/artfynd/A 40211-2026 artfynd.xlsx", "A 40211-2026")</f>
        <v/>
      </c>
      <c r="X63">
        <f>HYPERLINK("https://klasma.github.io/Logging_1783/kartor/A 40211-2026 karta.png", "A 40211-2026")</f>
        <v/>
      </c>
      <c r="Y63">
        <f>HYPERLINK("https://klasma.github.io/Logging_1783/kartor_geotiff/A 40211-2026 georefererad karta.tif", "A 40211-2026")</f>
        <v/>
      </c>
      <c r="AA63">
        <f>HYPERLINK("https://klasma.github.io/Logging_1783/klagomål/A 40211-2026 FSC-klagomål.docx", "A 40211-2026")</f>
        <v/>
      </c>
      <c r="AB63">
        <f>HYPERLINK("https://klasma.github.io/Logging_1783/klagomålsmail/A 40211-2026 FSC-klagomål mail.docx", "A 40211-2026")</f>
        <v/>
      </c>
      <c r="AC63">
        <f>HYPERLINK("https://klasma.github.io/Logging_1783/tillsyn/A 40211-2026 tillsynsbegäran.docx", "A 40211-2026")</f>
        <v/>
      </c>
      <c r="AD63">
        <f>HYPERLINK("https://klasma.github.io/Logging_1783/tillsynsmail/A 40211-2026 tillsynsbegäran mail.docx", "A 40211-2026")</f>
        <v/>
      </c>
    </row>
    <row r="64" ht="15" customHeight="1">
      <c r="A64" t="inlineStr">
        <is>
          <t>A 16319-2023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45028</v>
      </c>
      <c r="E64" s="1" t="n">
        <v>46318</v>
      </c>
      <c r="F64" t="inlineStr">
        <is>
          <t>VÄRMLANDS LÄN</t>
        </is>
      </c>
      <c r="G64" t="inlineStr">
        <is>
          <t>HAGFORS</t>
        </is>
      </c>
      <c r="I64" t="n">
        <v>1.1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Ullticka</t>
        </is>
      </c>
      <c r="W64">
        <f>HYPERLINK("https://klasma.github.io/Logging_1783/artfynd/A 16319-2023 artfynd.xlsx", "A 16319-2023")</f>
        <v/>
      </c>
      <c r="X64">
        <f>HYPERLINK("https://klasma.github.io/Logging_1783/kartor/A 16319-2023 karta.png", "A 16319-2023")</f>
        <v/>
      </c>
      <c r="Y64">
        <f>HYPERLINK("https://klasma.github.io/Logging_1783/kartor_geotiff/A 16319-2023 georefererad karta.tif", "A 16319-2023")</f>
        <v/>
      </c>
      <c r="AA64">
        <f>HYPERLINK("https://klasma.github.io/Logging_1783/klagomål/A 16319-2023 FSC-klagomål.docx", "A 16319-2023")</f>
        <v/>
      </c>
      <c r="AB64">
        <f>HYPERLINK("https://klasma.github.io/Logging_1783/klagomålsmail/A 16319-2023 FSC-klagomål mail.docx", "A 16319-2023")</f>
        <v/>
      </c>
      <c r="AC64">
        <f>HYPERLINK("https://klasma.github.io/Logging_1783/tillsyn/A 16319-2023 tillsynsbegäran.docx", "A 16319-2023")</f>
        <v/>
      </c>
      <c r="AD64">
        <f>HYPERLINK("https://klasma.github.io/Logging_1783/tillsynsmail/A 16319-2023 tillsynsbegäran mail.docx", "A 16319-2023")</f>
        <v/>
      </c>
    </row>
    <row r="65" ht="15" customHeight="1">
      <c r="A65" t="inlineStr">
        <is>
          <t>A 3199-2022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46318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Tofsmes</t>
        </is>
      </c>
      <c r="W65">
        <f>HYPERLINK("https://klasma.github.io/Logging_1783/artfynd/A 3199-2022 artfynd.xlsx", "A 3199-2022")</f>
        <v/>
      </c>
      <c r="X65">
        <f>HYPERLINK("https://klasma.github.io/Logging_1783/kartor/A 3199-2022 karta.png", "A 3199-2022")</f>
        <v/>
      </c>
      <c r="Y65">
        <f>HYPERLINK("https://klasma.github.io/Logging_1783/kartor_geotiff/A 3199-2022 georefererad karta.tif", "A 3199-2022")</f>
        <v/>
      </c>
      <c r="AA65">
        <f>HYPERLINK("https://klasma.github.io/Logging_1783/klagomål/A 3199-2022 FSC-klagomål.docx", "A 3199-2022")</f>
        <v/>
      </c>
      <c r="AB65">
        <f>HYPERLINK("https://klasma.github.io/Logging_1783/klagomålsmail/A 3199-2022 FSC-klagomål mail.docx", "A 3199-2022")</f>
        <v/>
      </c>
      <c r="AC65">
        <f>HYPERLINK("https://klasma.github.io/Logging_1783/tillsyn/A 3199-2022 tillsynsbegäran.docx", "A 3199-2022")</f>
        <v/>
      </c>
      <c r="AD65">
        <f>HYPERLINK("https://klasma.github.io/Logging_1783/tillsynsmail/A 3199-2022 tillsynsbegäran mail.docx", "A 3199-2022")</f>
        <v/>
      </c>
    </row>
    <row r="66" ht="15" customHeight="1">
      <c r="A66" t="inlineStr">
        <is>
          <t>A 35679-2026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46265</v>
      </c>
      <c r="E66" s="1" t="n">
        <v>46318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11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HYPERLINK("https://klasma.github.io/Logging_1783/artfynd/A 35679-2026 artfynd.xlsx", "A 35679-2026")</f>
        <v/>
      </c>
      <c r="X66">
        <f>HYPERLINK("https://klasma.github.io/Logging_1783/kartor/A 35679-2026 karta.png", "A 35679-2026")</f>
        <v/>
      </c>
      <c r="Y66">
        <f>HYPERLINK("https://klasma.github.io/Logging_1783/kartor_geotiff/A 35679-2026 georefererad karta.tif", "A 35679-2026")</f>
        <v/>
      </c>
      <c r="AA66">
        <f>HYPERLINK("https://klasma.github.io/Logging_1783/klagomål/A 35679-2026 FSC-klagomål.docx", "A 35679-2026")</f>
        <v/>
      </c>
      <c r="AB66">
        <f>HYPERLINK("https://klasma.github.io/Logging_1783/klagomålsmail/A 35679-2026 FSC-klagomål mail.docx", "A 35679-2026")</f>
        <v/>
      </c>
      <c r="AC66">
        <f>HYPERLINK("https://klasma.github.io/Logging_1783/tillsyn/A 35679-2026 tillsynsbegäran.docx", "A 35679-2026")</f>
        <v/>
      </c>
      <c r="AD66">
        <f>HYPERLINK("https://klasma.github.io/Logging_1783/tillsynsmail/A 35679-2026 tillsynsbegäran mail.docx", "A 35679-2026")</f>
        <v/>
      </c>
      <c r="AE66">
        <f>HYPERLINK("https://klasma.github.io/Logging_1783/fåglar/A 35679-2026 prioriterade fågelarter.docx", "A 35679-2026")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46318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46318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46318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46318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46318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46318</v>
      </c>
      <c r="F72" t="inlineStr">
        <is>
          <t>VÄRMLANDS LÄN</t>
        </is>
      </c>
      <c r="G72" t="inlineStr">
        <is>
          <t>HAGFORS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46318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46318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46318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46318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46318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46318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46318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46318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46318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46318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46318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46318</v>
      </c>
      <c r="F84" t="inlineStr">
        <is>
          <t>VÄRMLANDS LÄN</t>
        </is>
      </c>
      <c r="G84" t="inlineStr">
        <is>
          <t>HAGFORS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46318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46318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46318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46318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46318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70713-2021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46318</v>
      </c>
      <c r="F91" t="inlineStr">
        <is>
          <t>VÄRMLANDS LÄN</t>
        </is>
      </c>
      <c r="G91" t="inlineStr">
        <is>
          <t>HAGFORS</t>
        </is>
      </c>
      <c r="H91" t="inlineStr">
        <is>
          <t>Kommuner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46318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45489</v>
      </c>
      <c r="E93" s="1" t="n">
        <v>46318</v>
      </c>
      <c r="F93" t="inlineStr">
        <is>
          <t>VÄRMLANDS LÄN</t>
        </is>
      </c>
      <c r="G93" t="inlineStr">
        <is>
          <t>HAGFORS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46318</v>
      </c>
      <c r="F94" t="inlineStr">
        <is>
          <t>VÄRMLANDS LÄN</t>
        </is>
      </c>
      <c r="G94" t="inlineStr">
        <is>
          <t>HAGFORS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44246-2022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46318</v>
      </c>
      <c r="F95" t="inlineStr">
        <is>
          <t>VÄRMLANDS LÄN</t>
        </is>
      </c>
      <c r="G95" t="inlineStr">
        <is>
          <t>HAGFORS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44799</v>
      </c>
      <c r="E96" s="1" t="n">
        <v>46318</v>
      </c>
      <c r="F96" t="inlineStr">
        <is>
          <t>VÄRMLANDS LÄN</t>
        </is>
      </c>
      <c r="G96" t="inlineStr">
        <is>
          <t>HAGFORS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44699</v>
      </c>
      <c r="E97" s="1" t="n">
        <v>46318</v>
      </c>
      <c r="F97" t="inlineStr">
        <is>
          <t>VÄRMLANDS LÄN</t>
        </is>
      </c>
      <c r="G97" t="inlineStr">
        <is>
          <t>HAGFORS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45678</v>
      </c>
      <c r="E98" s="1" t="n">
        <v>46318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46318</v>
      </c>
      <c r="F99" t="inlineStr">
        <is>
          <t>VÄRMLANDS LÄN</t>
        </is>
      </c>
      <c r="G99" t="inlineStr">
        <is>
          <t>HAGFORS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46318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46318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44545</v>
      </c>
      <c r="E102" s="1" t="n">
        <v>46318</v>
      </c>
      <c r="F102" t="inlineStr">
        <is>
          <t>VÄRMLANDS LÄN</t>
        </is>
      </c>
      <c r="G102" t="inlineStr">
        <is>
          <t>HAGFORS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46318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46318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46318</v>
      </c>
      <c r="F105" t="inlineStr">
        <is>
          <t>VÄRMLANDS LÄN</t>
        </is>
      </c>
      <c r="G105" t="inlineStr">
        <is>
          <t>HAGFORS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45152</v>
      </c>
      <c r="E106" s="1" t="n">
        <v>46318</v>
      </c>
      <c r="F106" t="inlineStr">
        <is>
          <t>VÄRMLANDS LÄN</t>
        </is>
      </c>
      <c r="G106" t="inlineStr">
        <is>
          <t>HAGFORS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65565-2021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46318</v>
      </c>
      <c r="F107" t="inlineStr">
        <is>
          <t>VÄRMLANDS LÄN</t>
        </is>
      </c>
      <c r="G107" t="inlineStr">
        <is>
          <t>HAGFORS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46318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46318</v>
      </c>
      <c r="F109" t="inlineStr">
        <is>
          <t>VÄRMLANDS LÄN</t>
        </is>
      </c>
      <c r="G109" t="inlineStr">
        <is>
          <t>HAGFORS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46318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45335</v>
      </c>
      <c r="E111" s="1" t="n">
        <v>46318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72365-2021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44545</v>
      </c>
      <c r="E112" s="1" t="n">
        <v>46318</v>
      </c>
      <c r="F112" t="inlineStr">
        <is>
          <t>VÄRMLANDS LÄN</t>
        </is>
      </c>
      <c r="G112" t="inlineStr">
        <is>
          <t>HAGFORS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46318</v>
      </c>
      <c r="F113" t="inlineStr">
        <is>
          <t>VÄRMLANDS LÄN</t>
        </is>
      </c>
      <c r="G113" t="inlineStr">
        <is>
          <t>HAGFORS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44836</v>
      </c>
      <c r="E114" s="1" t="n">
        <v>46318</v>
      </c>
      <c r="F114" t="inlineStr">
        <is>
          <t>VÄRMLANDS LÄN</t>
        </is>
      </c>
      <c r="G114" t="inlineStr">
        <is>
          <t>HAGFORS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46318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11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34529-2023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45140</v>
      </c>
      <c r="E116" s="1" t="n">
        <v>46318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44869</v>
      </c>
      <c r="E117" s="1" t="n">
        <v>46318</v>
      </c>
      <c r="F117" t="inlineStr">
        <is>
          <t>VÄRMLANDS LÄN</t>
        </is>
      </c>
      <c r="G117" t="inlineStr">
        <is>
          <t>HAGFORS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46318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46318</v>
      </c>
      <c r="F119" t="inlineStr">
        <is>
          <t>VÄRMLANDS LÄN</t>
        </is>
      </c>
      <c r="G119" t="inlineStr">
        <is>
          <t>HAGFORS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54757-2022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44883</v>
      </c>
      <c r="E120" s="1" t="n">
        <v>46318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46318</v>
      </c>
      <c r="F121" t="inlineStr">
        <is>
          <t>VÄRMLANDS LÄN</t>
        </is>
      </c>
      <c r="G121" t="inlineStr">
        <is>
          <t>HAGFORS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61232-2024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45645</v>
      </c>
      <c r="E122" s="1" t="n">
        <v>46318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46318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45238-2024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45575</v>
      </c>
      <c r="E124" s="1" t="n">
        <v>46318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46318</v>
      </c>
      <c r="F125" t="inlineStr">
        <is>
          <t>VÄRMLANDS LÄN</t>
        </is>
      </c>
      <c r="G125" t="inlineStr">
        <is>
          <t>HAGFORS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46318</v>
      </c>
      <c r="F126" t="inlineStr">
        <is>
          <t>VÄRMLANDS LÄN</t>
        </is>
      </c>
      <c r="G126" t="inlineStr">
        <is>
          <t>HAGFORS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46318</v>
      </c>
      <c r="F127" t="inlineStr">
        <is>
          <t>VÄRMLANDS LÄN</t>
        </is>
      </c>
      <c r="G127" t="inlineStr">
        <is>
          <t>HAGFORS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45155</v>
      </c>
      <c r="E128" s="1" t="n">
        <v>46318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46318</v>
      </c>
      <c r="F129" t="inlineStr">
        <is>
          <t>VÄRMLANDS LÄN</t>
        </is>
      </c>
      <c r="G129" t="inlineStr">
        <is>
          <t>HAGFORS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46318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45057</v>
      </c>
      <c r="E131" s="1" t="n">
        <v>46318</v>
      </c>
      <c r="F131" t="inlineStr">
        <is>
          <t>VÄRMLANDS LÄN</t>
        </is>
      </c>
      <c r="G131" t="inlineStr">
        <is>
          <t>HAGFORS</t>
        </is>
      </c>
      <c r="H131" t="inlineStr">
        <is>
          <t>Kyrkan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26463-2025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45807</v>
      </c>
      <c r="E132" s="1" t="n">
        <v>46318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46318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38474-2024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46318</v>
      </c>
      <c r="F134" t="inlineStr">
        <is>
          <t>VÄRMLANDS LÄN</t>
        </is>
      </c>
      <c r="G134" t="inlineStr">
        <is>
          <t>HAGFORS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46318</v>
      </c>
      <c r="F135" t="inlineStr">
        <is>
          <t>VÄRMLANDS LÄN</t>
        </is>
      </c>
      <c r="G135" t="inlineStr">
        <is>
          <t>HAGFORS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46318</v>
      </c>
      <c r="F136" t="inlineStr">
        <is>
          <t>VÄRMLANDS LÄN</t>
        </is>
      </c>
      <c r="G136" t="inlineStr">
        <is>
          <t>HAGFORS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46318</v>
      </c>
      <c r="F137" t="inlineStr">
        <is>
          <t>VÄRMLANDS LÄN</t>
        </is>
      </c>
      <c r="G137" t="inlineStr">
        <is>
          <t>HAGFORS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46318</v>
      </c>
      <c r="F138" t="inlineStr">
        <is>
          <t>VÄRMLANDS LÄN</t>
        </is>
      </c>
      <c r="G138" t="inlineStr">
        <is>
          <t>HAGFORS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46318</v>
      </c>
      <c r="F139" t="inlineStr">
        <is>
          <t>VÄRMLANDS LÄN</t>
        </is>
      </c>
      <c r="G139" t="inlineStr">
        <is>
          <t>HAGFORS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26617-2025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45810</v>
      </c>
      <c r="E140" s="1" t="n">
        <v>46318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45811</v>
      </c>
      <c r="E141" s="1" t="n">
        <v>46318</v>
      </c>
      <c r="F141" t="inlineStr">
        <is>
          <t>VÄRMLANDS LÄN</t>
        </is>
      </c>
      <c r="G141" t="inlineStr">
        <is>
          <t>HAGFORS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46318</v>
      </c>
      <c r="F142" t="inlineStr">
        <is>
          <t>VÄRMLANDS LÄN</t>
        </is>
      </c>
      <c r="G142" t="inlineStr">
        <is>
          <t>HAGFORS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46318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46318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26859-2024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46318</v>
      </c>
      <c r="F145" t="inlineStr">
        <is>
          <t>VÄRMLANDS LÄN</t>
        </is>
      </c>
      <c r="G145" t="inlineStr">
        <is>
          <t>HAGFORS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46318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45112</v>
      </c>
      <c r="E147" s="1" t="n">
        <v>46318</v>
      </c>
      <c r="F147" t="inlineStr">
        <is>
          <t>VÄRMLANDS LÄN</t>
        </is>
      </c>
      <c r="G147" t="inlineStr">
        <is>
          <t>HAGFORS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46318</v>
      </c>
      <c r="F148" t="inlineStr">
        <is>
          <t>VÄRMLANDS LÄN</t>
        </is>
      </c>
      <c r="G148" t="inlineStr">
        <is>
          <t>HAGFORS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45812</v>
      </c>
      <c r="E149" s="1" t="n">
        <v>46318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46318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46318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25258-2023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45079</v>
      </c>
      <c r="E152" s="1" t="n">
        <v>46318</v>
      </c>
      <c r="F152" t="inlineStr">
        <is>
          <t>VÄRMLANDS LÄN</t>
        </is>
      </c>
      <c r="G152" t="inlineStr">
        <is>
          <t>HAGFORS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46318</v>
      </c>
      <c r="F153" t="inlineStr">
        <is>
          <t>VÄRMLANDS LÄN</t>
        </is>
      </c>
      <c r="G153" t="inlineStr">
        <is>
          <t>HAGFORS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32147-2023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46318</v>
      </c>
      <c r="F154" t="inlineStr">
        <is>
          <t>VÄRMLANDS LÄN</t>
        </is>
      </c>
      <c r="G154" t="inlineStr">
        <is>
          <t>HAGFORS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46318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45356</v>
      </c>
      <c r="E156" s="1" t="n">
        <v>46318</v>
      </c>
      <c r="F156" t="inlineStr">
        <is>
          <t>VÄRMLANDS LÄN</t>
        </is>
      </c>
      <c r="G156" t="inlineStr">
        <is>
          <t>HAGFORS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46318</v>
      </c>
      <c r="F157" t="inlineStr">
        <is>
          <t>VÄRMLANDS LÄN</t>
        </is>
      </c>
      <c r="G157" t="inlineStr">
        <is>
          <t>HAGFORS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46318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46318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46318</v>
      </c>
      <c r="F160" t="inlineStr">
        <is>
          <t>VÄRMLANDS LÄN</t>
        </is>
      </c>
      <c r="G160" t="inlineStr">
        <is>
          <t>HAGFORS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46318</v>
      </c>
      <c r="F161" t="inlineStr">
        <is>
          <t>VÄRMLANDS LÄN</t>
        </is>
      </c>
      <c r="G161" t="inlineStr">
        <is>
          <t>HAGFORS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46318</v>
      </c>
      <c r="F162" t="inlineStr">
        <is>
          <t>VÄRMLANDS LÄN</t>
        </is>
      </c>
      <c r="G162" t="inlineStr">
        <is>
          <t>HAGFORS</t>
        </is>
      </c>
      <c r="H162" t="inlineStr">
        <is>
          <t>Kyrkan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45818</v>
      </c>
      <c r="E163" s="1" t="n">
        <v>46318</v>
      </c>
      <c r="F163" t="inlineStr">
        <is>
          <t>VÄRMLANDS LÄN</t>
        </is>
      </c>
      <c r="G163" t="inlineStr">
        <is>
          <t>HAGFORS</t>
        </is>
      </c>
      <c r="H163" t="inlineStr">
        <is>
          <t>Kyrkan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45821</v>
      </c>
      <c r="E164" s="1" t="n">
        <v>46318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46318</v>
      </c>
      <c r="F165" t="inlineStr">
        <is>
          <t>VÄRMLANDS LÄN</t>
        </is>
      </c>
      <c r="G165" t="inlineStr">
        <is>
          <t>HAGFORS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44951</v>
      </c>
      <c r="E166" s="1" t="n">
        <v>46318</v>
      </c>
      <c r="F166" t="inlineStr">
        <is>
          <t>VÄRMLANDS LÄN</t>
        </is>
      </c>
      <c r="G166" t="inlineStr">
        <is>
          <t>HAGFORS</t>
        </is>
      </c>
      <c r="H166" t="inlineStr">
        <is>
          <t>Kommuner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45282</v>
      </c>
      <c r="E167" s="1" t="n">
        <v>46318</v>
      </c>
      <c r="F167" t="inlineStr">
        <is>
          <t>VÄRMLANDS LÄN</t>
        </is>
      </c>
      <c r="G167" t="inlineStr">
        <is>
          <t>HAGFORS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45684</v>
      </c>
      <c r="E168" s="1" t="n">
        <v>46318</v>
      </c>
      <c r="F168" t="inlineStr">
        <is>
          <t>VÄRMLANDS LÄN</t>
        </is>
      </c>
      <c r="G168" t="inlineStr">
        <is>
          <t>HAGFORS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45436</v>
      </c>
      <c r="E169" s="1" t="n">
        <v>46318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44949</v>
      </c>
      <c r="E170" s="1" t="n">
        <v>46318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45621</v>
      </c>
      <c r="E171" s="1" t="n">
        <v>46318</v>
      </c>
      <c r="F171" t="inlineStr">
        <is>
          <t>VÄRMLANDS LÄN</t>
        </is>
      </c>
      <c r="G171" t="inlineStr">
        <is>
          <t>HAGFORS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44760</v>
      </c>
      <c r="E172" s="1" t="n">
        <v>46318</v>
      </c>
      <c r="F172" t="inlineStr">
        <is>
          <t>VÄRMLANDS LÄN</t>
        </is>
      </c>
      <c r="G172" t="inlineStr">
        <is>
          <t>HAGFORS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46318</v>
      </c>
      <c r="F173" t="inlineStr">
        <is>
          <t>VÄRMLANDS LÄN</t>
        </is>
      </c>
      <c r="G173" t="inlineStr">
        <is>
          <t>HAGFORS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29949-2025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46318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15.9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46318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46318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45050</v>
      </c>
      <c r="E177" s="1" t="n">
        <v>46318</v>
      </c>
      <c r="F177" t="inlineStr">
        <is>
          <t>VÄRMLANDS LÄN</t>
        </is>
      </c>
      <c r="G177" t="inlineStr">
        <is>
          <t>HAGFORS</t>
        </is>
      </c>
      <c r="H177" t="inlineStr">
        <is>
          <t>Kommuner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44664</v>
      </c>
      <c r="E178" s="1" t="n">
        <v>46318</v>
      </c>
      <c r="F178" t="inlineStr">
        <is>
          <t>VÄRMLANDS LÄN</t>
        </is>
      </c>
      <c r="G178" t="inlineStr">
        <is>
          <t>HAGFORS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46318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46318</v>
      </c>
      <c r="F180" t="inlineStr">
        <is>
          <t>VÄRMLANDS LÄN</t>
        </is>
      </c>
      <c r="G180" t="inlineStr">
        <is>
          <t>HAGFORS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45037</v>
      </c>
      <c r="E181" s="1" t="n">
        <v>46318</v>
      </c>
      <c r="F181" t="inlineStr">
        <is>
          <t>VÄRMLANDS LÄN</t>
        </is>
      </c>
      <c r="G181" t="inlineStr">
        <is>
          <t>HAGFORS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45799</v>
      </c>
      <c r="E182" s="1" t="n">
        <v>46318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46318</v>
      </c>
      <c r="F183" t="inlineStr">
        <is>
          <t>VÄRMLANDS LÄN</t>
        </is>
      </c>
      <c r="G183" t="inlineStr">
        <is>
          <t>HAGFORS</t>
        </is>
      </c>
      <c r="H183" t="inlineStr">
        <is>
          <t>Kyrkan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46318</v>
      </c>
      <c r="F184" t="inlineStr">
        <is>
          <t>VÄRMLANDS LÄN</t>
        </is>
      </c>
      <c r="G184" t="inlineStr">
        <is>
          <t>HAGFORS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46318</v>
      </c>
      <c r="F185" t="inlineStr">
        <is>
          <t>VÄRMLANDS LÄN</t>
        </is>
      </c>
      <c r="G185" t="inlineStr">
        <is>
          <t>HAGFORS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46318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33440-2025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45841</v>
      </c>
      <c r="E187" s="1" t="n">
        <v>46318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46318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45525</v>
      </c>
      <c r="E189" s="1" t="n">
        <v>46318</v>
      </c>
      <c r="F189" t="inlineStr">
        <is>
          <t>VÄRMLANDS LÄN</t>
        </is>
      </c>
      <c r="G189" t="inlineStr">
        <is>
          <t>HAGFORS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44953</v>
      </c>
      <c r="E190" s="1" t="n">
        <v>46318</v>
      </c>
      <c r="F190" t="inlineStr">
        <is>
          <t>VÄRMLANDS LÄN</t>
        </is>
      </c>
      <c r="G190" t="inlineStr">
        <is>
          <t>HAGFORS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46318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46318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46318</v>
      </c>
      <c r="F193" t="inlineStr">
        <is>
          <t>VÄRMLANDS LÄN</t>
        </is>
      </c>
      <c r="G193" t="inlineStr">
        <is>
          <t>HAGFORS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45845</v>
      </c>
      <c r="E194" s="1" t="n">
        <v>46318</v>
      </c>
      <c r="F194" t="inlineStr">
        <is>
          <t>VÄRMLANDS LÄN</t>
        </is>
      </c>
      <c r="G194" t="inlineStr">
        <is>
          <t>HAGFORS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46318</v>
      </c>
      <c r="F195" t="inlineStr">
        <is>
          <t>VÄRMLANDS LÄN</t>
        </is>
      </c>
      <c r="G195" t="inlineStr">
        <is>
          <t>HAGFORS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46318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46318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46318</v>
      </c>
      <c r="F198" t="inlineStr">
        <is>
          <t>VÄRMLANDS LÄN</t>
        </is>
      </c>
      <c r="G198" t="inlineStr">
        <is>
          <t>HAGFORS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19515-2025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46318</v>
      </c>
      <c r="F199" t="inlineStr">
        <is>
          <t>VÄRMLANDS LÄN</t>
        </is>
      </c>
      <c r="G199" t="inlineStr">
        <is>
          <t>HAGFORS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45565</v>
      </c>
      <c r="E200" s="1" t="n">
        <v>46318</v>
      </c>
      <c r="F200" t="inlineStr">
        <is>
          <t>VÄRMLANDS LÄN</t>
        </is>
      </c>
      <c r="G200" t="inlineStr">
        <is>
          <t>HAGFORS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46318</v>
      </c>
      <c r="F201" t="inlineStr">
        <is>
          <t>VÄRMLANDS LÄN</t>
        </is>
      </c>
      <c r="G201" t="inlineStr">
        <is>
          <t>HAGFORS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45784</v>
      </c>
      <c r="E202" s="1" t="n">
        <v>46318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46318</v>
      </c>
      <c r="F203" t="inlineStr">
        <is>
          <t>VÄRMLANDS LÄN</t>
        </is>
      </c>
      <c r="G203" t="inlineStr">
        <is>
          <t>HAGFORS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46318</v>
      </c>
      <c r="F204" t="inlineStr">
        <is>
          <t>VÄRMLANDS LÄN</t>
        </is>
      </c>
      <c r="G204" t="inlineStr">
        <is>
          <t>HAGFORS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58808-2022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46318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46318</v>
      </c>
      <c r="F206" t="inlineStr">
        <is>
          <t>VÄRMLANDS LÄN</t>
        </is>
      </c>
      <c r="G206" t="inlineStr">
        <is>
          <t>HAGFORS</t>
        </is>
      </c>
      <c r="H206" t="inlineStr">
        <is>
          <t>Kyrkan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41739-2025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45902</v>
      </c>
      <c r="E207" s="1" t="n">
        <v>46318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20652-2022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44700</v>
      </c>
      <c r="E208" s="1" t="n">
        <v>46318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45854</v>
      </c>
      <c r="E209" s="1" t="n">
        <v>46318</v>
      </c>
      <c r="F209" t="inlineStr">
        <is>
          <t>VÄRMLANDS LÄN</t>
        </is>
      </c>
      <c r="G209" t="inlineStr">
        <is>
          <t>HAGFORS</t>
        </is>
      </c>
      <c r="H209" t="inlineStr">
        <is>
          <t>Kyrkan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41784-2025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46318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41809-2025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46318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45793</v>
      </c>
      <c r="E212" s="1" t="n">
        <v>46318</v>
      </c>
      <c r="F212" t="inlineStr">
        <is>
          <t>VÄRMLANDS LÄN</t>
        </is>
      </c>
      <c r="G212" t="inlineStr">
        <is>
          <t>HAGFORS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45420</v>
      </c>
      <c r="E213" s="1" t="n">
        <v>46318</v>
      </c>
      <c r="F213" t="inlineStr">
        <is>
          <t>VÄRMLANDS LÄN</t>
        </is>
      </c>
      <c r="G213" t="inlineStr">
        <is>
          <t>HAGFORS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46318</v>
      </c>
      <c r="F214" t="inlineStr">
        <is>
          <t>VÄRMLANDS LÄN</t>
        </is>
      </c>
      <c r="G214" t="inlineStr">
        <is>
          <t>HAGFORS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45414</v>
      </c>
      <c r="E215" s="1" t="n">
        <v>46318</v>
      </c>
      <c r="F215" t="inlineStr">
        <is>
          <t>VÄRMLANDS LÄN</t>
        </is>
      </c>
      <c r="G215" t="inlineStr">
        <is>
          <t>HAGFORS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46318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45905</v>
      </c>
      <c r="E217" s="1" t="n">
        <v>46318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46318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45679</v>
      </c>
      <c r="E219" s="1" t="n">
        <v>46318</v>
      </c>
      <c r="F219" t="inlineStr">
        <is>
          <t>VÄRMLANDS LÄN</t>
        </is>
      </c>
      <c r="G219" t="inlineStr">
        <is>
          <t>HAGFORS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46318</v>
      </c>
      <c r="F220" t="inlineStr">
        <is>
          <t>VÄRMLANDS LÄN</t>
        </is>
      </c>
      <c r="G220" t="inlineStr">
        <is>
          <t>HAGFORS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46318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45244</v>
      </c>
      <c r="E222" s="1" t="n">
        <v>46318</v>
      </c>
      <c r="F222" t="inlineStr">
        <is>
          <t>VÄRMLANDS LÄN</t>
        </is>
      </c>
      <c r="G222" t="inlineStr">
        <is>
          <t>HAGFORS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46318</v>
      </c>
      <c r="F223" t="inlineStr">
        <is>
          <t>VÄRMLANDS LÄN</t>
        </is>
      </c>
      <c r="G223" t="inlineStr">
        <is>
          <t>HAGFORS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45398</v>
      </c>
      <c r="E224" s="1" t="n">
        <v>46318</v>
      </c>
      <c r="F224" t="inlineStr">
        <is>
          <t>VÄRMLANDS LÄN</t>
        </is>
      </c>
      <c r="G224" t="inlineStr">
        <is>
          <t>HAGFORS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46318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46318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58210-2022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44901</v>
      </c>
      <c r="E227" s="1" t="n">
        <v>46318</v>
      </c>
      <c r="F227" t="inlineStr">
        <is>
          <t>VÄRMLANDS LÄN</t>
        </is>
      </c>
      <c r="G227" t="inlineStr">
        <is>
          <t>HAGFORS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45874</v>
      </c>
      <c r="E228" s="1" t="n">
        <v>46318</v>
      </c>
      <c r="F228" t="inlineStr">
        <is>
          <t>VÄRMLANDS LÄN</t>
        </is>
      </c>
      <c r="G228" t="inlineStr">
        <is>
          <t>HAGFORS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46318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45569</v>
      </c>
      <c r="E230" s="1" t="n">
        <v>46318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8830-2024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45356</v>
      </c>
      <c r="E231" s="1" t="n">
        <v>46318</v>
      </c>
      <c r="F231" t="inlineStr">
        <is>
          <t>VÄRMLANDS LÄN</t>
        </is>
      </c>
      <c r="G231" t="inlineStr">
        <is>
          <t>HAGFORS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45750</v>
      </c>
      <c r="E232" s="1" t="n">
        <v>46318</v>
      </c>
      <c r="F232" t="inlineStr">
        <is>
          <t>VÄRMLANDS LÄN</t>
        </is>
      </c>
      <c r="G232" t="inlineStr">
        <is>
          <t>HAGFORS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46318</v>
      </c>
      <c r="F233" t="inlineStr">
        <is>
          <t>VÄRMLANDS LÄN</t>
        </is>
      </c>
      <c r="G233" t="inlineStr">
        <is>
          <t>HAGFORS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46318</v>
      </c>
      <c r="F234" t="inlineStr">
        <is>
          <t>VÄRMLANDS LÄN</t>
        </is>
      </c>
      <c r="G234" t="inlineStr">
        <is>
          <t>HAGFORS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46318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46318</v>
      </c>
      <c r="F236" t="inlineStr">
        <is>
          <t>VÄRMLANDS LÄN</t>
        </is>
      </c>
      <c r="G236" t="inlineStr">
        <is>
          <t>HAGFORS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45232</v>
      </c>
      <c r="E237" s="1" t="n">
        <v>46318</v>
      </c>
      <c r="F237" t="inlineStr">
        <is>
          <t>VÄRMLANDS LÄN</t>
        </is>
      </c>
      <c r="G237" t="inlineStr">
        <is>
          <t>HAGFORS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46318</v>
      </c>
      <c r="F238" t="inlineStr">
        <is>
          <t>VÄRMLANDS LÄN</t>
        </is>
      </c>
      <c r="G238" t="inlineStr">
        <is>
          <t>HAGFORS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27185-2025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45812</v>
      </c>
      <c r="E239" s="1" t="n">
        <v>46318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46371-2025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46318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46318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46318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46838-2025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45928</v>
      </c>
      <c r="E243" s="1" t="n">
        <v>46318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46318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20060-2023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45054</v>
      </c>
      <c r="E245" s="1" t="n">
        <v>46318</v>
      </c>
      <c r="F245" t="inlineStr">
        <is>
          <t>VÄRMLANDS LÄN</t>
        </is>
      </c>
      <c r="G245" t="inlineStr">
        <is>
          <t>HAGFORS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45927</v>
      </c>
      <c r="E246" s="1" t="n">
        <v>46318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45927</v>
      </c>
      <c r="E247" s="1" t="n">
        <v>46318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49753-2023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45212</v>
      </c>
      <c r="E248" s="1" t="n">
        <v>46318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46318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48150-2025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46318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60991-2024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46318</v>
      </c>
      <c r="F251" t="inlineStr">
        <is>
          <t>VÄRMLANDS LÄN</t>
        </is>
      </c>
      <c r="G251" t="inlineStr">
        <is>
          <t>HAGFORS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46318</v>
      </c>
      <c r="F252" t="inlineStr">
        <is>
          <t>VÄRMLANDS LÄN</t>
        </is>
      </c>
      <c r="G252" t="inlineStr">
        <is>
          <t>HAGFORS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44610</v>
      </c>
      <c r="E253" s="1" t="n">
        <v>46318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46318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46318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46318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46318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46318</v>
      </c>
      <c r="F258" t="inlineStr">
        <is>
          <t>VÄRMLANDS LÄN</t>
        </is>
      </c>
      <c r="G258" t="inlineStr">
        <is>
          <t>HAGFORS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46318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63868-2025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46020</v>
      </c>
      <c r="E260" s="1" t="n">
        <v>46318</v>
      </c>
      <c r="F260" t="inlineStr">
        <is>
          <t>VÄRMLANDS LÄN</t>
        </is>
      </c>
      <c r="G260" t="inlineStr">
        <is>
          <t>HAGFORS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49146-2025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46318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46318</v>
      </c>
      <c r="F262" t="inlineStr">
        <is>
          <t>VÄRMLANDS LÄN</t>
        </is>
      </c>
      <c r="G262" t="inlineStr">
        <is>
          <t>HAGFORS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46318</v>
      </c>
      <c r="F263" t="inlineStr">
        <is>
          <t>VÄRMLANDS LÄN</t>
        </is>
      </c>
      <c r="G263" t="inlineStr">
        <is>
          <t>HAGFORS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44950</v>
      </c>
      <c r="E264" s="1" t="n">
        <v>46318</v>
      </c>
      <c r="F264" t="inlineStr">
        <is>
          <t>VÄRMLANDS LÄN</t>
        </is>
      </c>
      <c r="G264" t="inlineStr">
        <is>
          <t>HAGFORS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49220-2025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46318</v>
      </c>
      <c r="F265" t="inlineStr">
        <is>
          <t>VÄRMLANDS LÄN</t>
        </is>
      </c>
      <c r="G265" t="inlineStr">
        <is>
          <t>HAGFORS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12778-2025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45733</v>
      </c>
      <c r="E266" s="1" t="n">
        <v>46318</v>
      </c>
      <c r="F266" t="inlineStr">
        <is>
          <t>VÄRMLANDS LÄN</t>
        </is>
      </c>
      <c r="G266" t="inlineStr">
        <is>
          <t>HAGFORS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46318</v>
      </c>
      <c r="F267" t="inlineStr">
        <is>
          <t>VÄRMLANDS LÄN</t>
        </is>
      </c>
      <c r="G267" t="inlineStr">
        <is>
          <t>HAGFORS</t>
        </is>
      </c>
      <c r="I267" t="n">
        <v>18.2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45939</v>
      </c>
      <c r="E268" s="1" t="n">
        <v>46318</v>
      </c>
      <c r="F268" t="inlineStr">
        <is>
          <t>VÄRMLANDS LÄN</t>
        </is>
      </c>
      <c r="G268" t="inlineStr">
        <is>
          <t>HAGFORS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45941</v>
      </c>
      <c r="E269" s="1" t="n">
        <v>46318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46318</v>
      </c>
      <c r="F270" t="inlineStr">
        <is>
          <t>VÄRMLANDS LÄN</t>
        </is>
      </c>
      <c r="G270" t="inlineStr">
        <is>
          <t>HAGFORS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26628-2024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45469</v>
      </c>
      <c r="E271" s="1" t="n">
        <v>46318</v>
      </c>
      <c r="F271" t="inlineStr">
        <is>
          <t>VÄRMLANDS LÄN</t>
        </is>
      </c>
      <c r="G271" t="inlineStr">
        <is>
          <t>HAGFORS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46318</v>
      </c>
      <c r="F272" t="inlineStr">
        <is>
          <t>VÄRMLANDS LÄN</t>
        </is>
      </c>
      <c r="G272" t="inlineStr">
        <is>
          <t>HAGFORS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46318</v>
      </c>
      <c r="F273" t="inlineStr">
        <is>
          <t>VÄRMLANDS LÄN</t>
        </is>
      </c>
      <c r="G273" t="inlineStr">
        <is>
          <t>HAGFORS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42223-2022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46318</v>
      </c>
      <c r="F274" t="inlineStr">
        <is>
          <t>VÄRMLANDS LÄN</t>
        </is>
      </c>
      <c r="G274" t="inlineStr">
        <is>
          <t>HAGFORS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29492-2024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45484</v>
      </c>
      <c r="E275" s="1" t="n">
        <v>46318</v>
      </c>
      <c r="F275" t="inlineStr">
        <is>
          <t>VÄRMLANDS LÄN</t>
        </is>
      </c>
      <c r="G275" t="inlineStr">
        <is>
          <t>HAGFORS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45428</v>
      </c>
      <c r="E276" s="1" t="n">
        <v>46318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19.5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46318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8.4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45786</v>
      </c>
      <c r="E278" s="1" t="n">
        <v>46318</v>
      </c>
      <c r="F278" t="inlineStr">
        <is>
          <t>VÄRMLANDS LÄN</t>
        </is>
      </c>
      <c r="G278" t="inlineStr">
        <is>
          <t>HAGFORS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46318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46318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32688-2025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46318</v>
      </c>
      <c r="F281" t="inlineStr">
        <is>
          <t>VÄRMLANDS LÄN</t>
        </is>
      </c>
      <c r="G281" t="inlineStr">
        <is>
          <t>HAGFORS</t>
        </is>
      </c>
      <c r="H281" t="inlineStr">
        <is>
          <t>Kyrkan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45947</v>
      </c>
      <c r="E282" s="1" t="n">
        <v>46318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9.300000000000001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46318</v>
      </c>
      <c r="F283" t="inlineStr">
        <is>
          <t>VÄRMLANDS LÄN</t>
        </is>
      </c>
      <c r="G283" t="inlineStr">
        <is>
          <t>HAGFORS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46318</v>
      </c>
      <c r="F284" t="inlineStr">
        <is>
          <t>VÄRMLANDS LÄN</t>
        </is>
      </c>
      <c r="G284" t="inlineStr">
        <is>
          <t>HAGFORS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50752-2025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46318</v>
      </c>
      <c r="F285" t="inlineStr">
        <is>
          <t>VÄRMLANDS LÄN</t>
        </is>
      </c>
      <c r="G285" t="inlineStr">
        <is>
          <t>HAGFORS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45796</v>
      </c>
      <c r="E286" s="1" t="n">
        <v>46318</v>
      </c>
      <c r="F286" t="inlineStr">
        <is>
          <t>VÄRMLANDS LÄN</t>
        </is>
      </c>
      <c r="G286" t="inlineStr">
        <is>
          <t>HAGFORS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46318</v>
      </c>
      <c r="F287" t="inlineStr">
        <is>
          <t>VÄRMLANDS LÄN</t>
        </is>
      </c>
      <c r="G287" t="inlineStr">
        <is>
          <t>HAGFORS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45450</v>
      </c>
      <c r="E288" s="1" t="n">
        <v>46318</v>
      </c>
      <c r="F288" t="inlineStr">
        <is>
          <t>VÄRMLANDS LÄN</t>
        </is>
      </c>
      <c r="G288" t="inlineStr">
        <is>
          <t>HAGFORS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45783</v>
      </c>
      <c r="E289" s="1" t="n">
        <v>46318</v>
      </c>
      <c r="F289" t="inlineStr">
        <is>
          <t>VÄRMLANDS LÄN</t>
        </is>
      </c>
      <c r="G289" t="inlineStr">
        <is>
          <t>HAGFORS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45949</v>
      </c>
      <c r="E290" s="1" t="n">
        <v>46318</v>
      </c>
      <c r="F290" t="inlineStr">
        <is>
          <t>VÄRMLANDS LÄN</t>
        </is>
      </c>
      <c r="G290" t="inlineStr">
        <is>
          <t>HAGFORS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11241-2024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46318</v>
      </c>
      <c r="F291" t="inlineStr">
        <is>
          <t>VÄRMLANDS LÄN</t>
        </is>
      </c>
      <c r="G291" t="inlineStr">
        <is>
          <t>HAGFORS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45763</v>
      </c>
      <c r="E292" s="1" t="n">
        <v>46318</v>
      </c>
      <c r="F292" t="inlineStr">
        <is>
          <t>VÄRMLANDS LÄN</t>
        </is>
      </c>
      <c r="G292" t="inlineStr">
        <is>
          <t>HAGFORS</t>
        </is>
      </c>
      <c r="H292" t="inlineStr">
        <is>
          <t>Kyrkan</t>
        </is>
      </c>
      <c r="I292" t="n">
        <v>7.9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45839</v>
      </c>
      <c r="E293" s="1" t="n">
        <v>46318</v>
      </c>
      <c r="F293" t="inlineStr">
        <is>
          <t>VÄRMLANDS LÄN</t>
        </is>
      </c>
      <c r="G293" t="inlineStr">
        <is>
          <t>HAGFORS</t>
        </is>
      </c>
      <c r="H293" t="inlineStr">
        <is>
          <t>Kyrkan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46318</v>
      </c>
      <c r="F294" t="inlineStr">
        <is>
          <t>VÄRMLANDS LÄN</t>
        </is>
      </c>
      <c r="G294" t="inlineStr">
        <is>
          <t>HAGFORS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26615-2024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46318</v>
      </c>
      <c r="F295" t="inlineStr">
        <is>
          <t>VÄRMLANDS LÄN</t>
        </is>
      </c>
      <c r="G295" t="inlineStr">
        <is>
          <t>HAGFORS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52479-2025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45954</v>
      </c>
      <c r="E296" s="1" t="n">
        <v>46318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47019-2023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46318</v>
      </c>
      <c r="F297" t="inlineStr">
        <is>
          <t>VÄRMLANDS LÄN</t>
        </is>
      </c>
      <c r="G297" t="inlineStr">
        <is>
          <t>HAGFORS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46318</v>
      </c>
      <c r="F298" t="inlineStr">
        <is>
          <t>VÄRMLANDS LÄN</t>
        </is>
      </c>
      <c r="G298" t="inlineStr">
        <is>
          <t>HAGFORS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34281-2025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45846</v>
      </c>
      <c r="E299" s="1" t="n">
        <v>46318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52450-2025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46318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9.800000000000001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60221-2023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45258</v>
      </c>
      <c r="E301" s="1" t="n">
        <v>46318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46318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60664-2023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45259</v>
      </c>
      <c r="E303" s="1" t="n">
        <v>46318</v>
      </c>
      <c r="F303" t="inlineStr">
        <is>
          <t>VÄRMLANDS LÄN</t>
        </is>
      </c>
      <c r="G303" t="inlineStr">
        <is>
          <t>HAGFORS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35775-2024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45532</v>
      </c>
      <c r="E304" s="1" t="n">
        <v>46318</v>
      </c>
      <c r="F304" t="inlineStr">
        <is>
          <t>VÄRMLANDS LÄN</t>
        </is>
      </c>
      <c r="G304" t="inlineStr">
        <is>
          <t>HAGFORS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46318</v>
      </c>
      <c r="F305" t="inlineStr">
        <is>
          <t>VÄRMLANDS LÄN</t>
        </is>
      </c>
      <c r="G305" t="inlineStr">
        <is>
          <t>HAGFORS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46318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45847</v>
      </c>
      <c r="E307" s="1" t="n">
        <v>46318</v>
      </c>
      <c r="F307" t="inlineStr">
        <is>
          <t>VÄRMLANDS LÄN</t>
        </is>
      </c>
      <c r="G307" t="inlineStr">
        <is>
          <t>HAGFORS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45960</v>
      </c>
      <c r="E308" s="1" t="n">
        <v>46318</v>
      </c>
      <c r="F308" t="inlineStr">
        <is>
          <t>VÄRMLANDS LÄN</t>
        </is>
      </c>
      <c r="G308" t="inlineStr">
        <is>
          <t>HAGFORS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68252-2021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44526</v>
      </c>
      <c r="E309" s="1" t="n">
        <v>46318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46318</v>
      </c>
      <c r="F310" t="inlineStr">
        <is>
          <t>VÄRMLANDS LÄN</t>
        </is>
      </c>
      <c r="G310" t="inlineStr">
        <is>
          <t>HAGFORS</t>
        </is>
      </c>
      <c r="H310" t="inlineStr">
        <is>
          <t>Kyrkan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53574-2025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45960</v>
      </c>
      <c r="E311" s="1" t="n">
        <v>46318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45211</v>
      </c>
      <c r="E312" s="1" t="n">
        <v>46318</v>
      </c>
      <c r="F312" t="inlineStr">
        <is>
          <t>VÄRMLANDS LÄN</t>
        </is>
      </c>
      <c r="G312" t="inlineStr">
        <is>
          <t>HAGFORS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45769</v>
      </c>
      <c r="E313" s="1" t="n">
        <v>46318</v>
      </c>
      <c r="F313" t="inlineStr">
        <is>
          <t>VÄRMLANDS LÄN</t>
        </is>
      </c>
      <c r="G313" t="inlineStr">
        <is>
          <t>HAGFORS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57359-2022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46318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45559</v>
      </c>
      <c r="E315" s="1" t="n">
        <v>46318</v>
      </c>
      <c r="F315" t="inlineStr">
        <is>
          <t>VÄRMLANDS LÄN</t>
        </is>
      </c>
      <c r="G315" t="inlineStr">
        <is>
          <t>HAGFORS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46318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46318</v>
      </c>
      <c r="F317" t="inlineStr">
        <is>
          <t>VÄRMLANDS LÄN</t>
        </is>
      </c>
      <c r="G317" t="inlineStr">
        <is>
          <t>HAGFORS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45653</v>
      </c>
      <c r="E318" s="1" t="n">
        <v>46318</v>
      </c>
      <c r="F318" t="inlineStr">
        <is>
          <t>VÄRMLANDS LÄN</t>
        </is>
      </c>
      <c r="G318" t="inlineStr">
        <is>
          <t>HAGFORS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46318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35668-2023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45147</v>
      </c>
      <c r="E320" s="1" t="n">
        <v>46318</v>
      </c>
      <c r="F320" t="inlineStr">
        <is>
          <t>VÄRMLANDS LÄN</t>
        </is>
      </c>
      <c r="G320" t="inlineStr">
        <is>
          <t>HAGFORS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46318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61265-2022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44915</v>
      </c>
      <c r="E322" s="1" t="n">
        <v>46318</v>
      </c>
      <c r="F322" t="inlineStr">
        <is>
          <t>VÄRMLANDS LÄN</t>
        </is>
      </c>
      <c r="G322" t="inlineStr">
        <is>
          <t>HAGFORS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46318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54684-2025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45966</v>
      </c>
      <c r="E324" s="1" t="n">
        <v>46318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20564-2026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46318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55001-2025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45967</v>
      </c>
      <c r="E326" s="1" t="n">
        <v>46318</v>
      </c>
      <c r="F326" t="inlineStr">
        <is>
          <t>VÄRMLANDS LÄN</t>
        </is>
      </c>
      <c r="G326" t="inlineStr">
        <is>
          <t>HAGFORS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45971</v>
      </c>
      <c r="E327" s="1" t="n">
        <v>46318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58084-2024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45632</v>
      </c>
      <c r="E328" s="1" t="n">
        <v>46318</v>
      </c>
      <c r="F328" t="inlineStr">
        <is>
          <t>VÄRMLANDS LÄN</t>
        </is>
      </c>
      <c r="G328" t="inlineStr">
        <is>
          <t>HAGFORS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46318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55190-2025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45968</v>
      </c>
      <c r="E330" s="1" t="n">
        <v>46318</v>
      </c>
      <c r="F330" t="inlineStr">
        <is>
          <t>VÄRMLANDS LÄN</t>
        </is>
      </c>
      <c r="G330" t="inlineStr">
        <is>
          <t>HAGFORS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44694</v>
      </c>
      <c r="E331" s="1" t="n">
        <v>46318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45833</v>
      </c>
      <c r="E332" s="1" t="n">
        <v>46318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46318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20752-2026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46141</v>
      </c>
      <c r="E334" s="1" t="n">
        <v>46318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46318</v>
      </c>
      <c r="F335" t="inlineStr">
        <is>
          <t>VÄRMLANDS LÄN</t>
        </is>
      </c>
      <c r="G335" t="inlineStr">
        <is>
          <t>HAGFORS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46318</v>
      </c>
      <c r="F336" t="inlineStr">
        <is>
          <t>VÄRMLANDS LÄN</t>
        </is>
      </c>
      <c r="G336" t="inlineStr">
        <is>
          <t>HAGFORS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7087-2026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46058</v>
      </c>
      <c r="E337" s="1" t="n">
        <v>46318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12.6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46318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46318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46318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20729-2026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46141</v>
      </c>
      <c r="E341" s="1" t="n">
        <v>46318</v>
      </c>
      <c r="F341" t="inlineStr">
        <is>
          <t>VÄRMLANDS LÄN</t>
        </is>
      </c>
      <c r="G341" t="inlineStr">
        <is>
          <t>HAGFORS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22503-2024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45447</v>
      </c>
      <c r="E342" s="1" t="n">
        <v>46318</v>
      </c>
      <c r="F342" t="inlineStr">
        <is>
          <t>VÄRMLANDS LÄN</t>
        </is>
      </c>
      <c r="G342" t="inlineStr">
        <is>
          <t>HAGFORS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46318</v>
      </c>
      <c r="F343" t="inlineStr">
        <is>
          <t>VÄRMLANDS LÄN</t>
        </is>
      </c>
      <c r="G343" t="inlineStr">
        <is>
          <t>HAGFORS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46318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45324</v>
      </c>
      <c r="E345" s="1" t="n">
        <v>46318</v>
      </c>
      <c r="F345" t="inlineStr">
        <is>
          <t>VÄRMLANDS LÄN</t>
        </is>
      </c>
      <c r="G345" t="inlineStr">
        <is>
          <t>HAGFORS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920-2022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44571</v>
      </c>
      <c r="E346" s="1" t="n">
        <v>46318</v>
      </c>
      <c r="F346" t="inlineStr">
        <is>
          <t>VÄRMLANDS LÄN</t>
        </is>
      </c>
      <c r="G346" t="inlineStr">
        <is>
          <t>HAGFORS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20880-2026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46142</v>
      </c>
      <c r="E347" s="1" t="n">
        <v>46318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46142</v>
      </c>
      <c r="E348" s="1" t="n">
        <v>46318</v>
      </c>
      <c r="F348" t="inlineStr">
        <is>
          <t>VÄRMLANDS LÄN</t>
        </is>
      </c>
      <c r="G348" t="inlineStr">
        <is>
          <t>HAGFORS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22332-2024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45446</v>
      </c>
      <c r="E349" s="1" t="n">
        <v>46318</v>
      </c>
      <c r="F349" t="inlineStr">
        <is>
          <t>VÄRMLANDS LÄN</t>
        </is>
      </c>
      <c r="G349" t="inlineStr">
        <is>
          <t>HAGFORS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46318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12426-2024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45379</v>
      </c>
      <c r="E351" s="1" t="n">
        <v>46318</v>
      </c>
      <c r="F351" t="inlineStr">
        <is>
          <t>VÄRMLANDS LÄN</t>
        </is>
      </c>
      <c r="G351" t="inlineStr">
        <is>
          <t>HAGFORS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45713</v>
      </c>
      <c r="E352" s="1" t="n">
        <v>46318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45980</v>
      </c>
      <c r="E353" s="1" t="n">
        <v>46318</v>
      </c>
      <c r="F353" t="inlineStr">
        <is>
          <t>VÄRMLANDS LÄN</t>
        </is>
      </c>
      <c r="G353" t="inlineStr">
        <is>
          <t>HAGFORS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46318</v>
      </c>
      <c r="F354" t="inlineStr">
        <is>
          <t>VÄRMLANDS LÄN</t>
        </is>
      </c>
      <c r="G354" t="inlineStr">
        <is>
          <t>HAGFORS</t>
        </is>
      </c>
      <c r="H354" t="inlineStr">
        <is>
          <t>Kyrkan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46318</v>
      </c>
      <c r="F355" t="inlineStr">
        <is>
          <t>VÄRMLANDS LÄN</t>
        </is>
      </c>
      <c r="G355" t="inlineStr">
        <is>
          <t>HAGFORS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21203-2026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46318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46318</v>
      </c>
      <c r="F357" t="inlineStr">
        <is>
          <t>VÄRMLANDS LÄN</t>
        </is>
      </c>
      <c r="G357" t="inlineStr">
        <is>
          <t>HAGFORS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46318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45703</v>
      </c>
      <c r="E359" s="1" t="n">
        <v>46318</v>
      </c>
      <c r="F359" t="inlineStr">
        <is>
          <t>VÄRMLANDS LÄN</t>
        </is>
      </c>
      <c r="G359" t="inlineStr">
        <is>
          <t>HAGFORS</t>
        </is>
      </c>
      <c r="H359" t="inlineStr">
        <is>
          <t>Kyrkan</t>
        </is>
      </c>
      <c r="I359" t="n">
        <v>15.9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43309-2022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44834</v>
      </c>
      <c r="E360" s="1" t="n">
        <v>46318</v>
      </c>
      <c r="F360" t="inlineStr">
        <is>
          <t>VÄRMLANDS LÄN</t>
        </is>
      </c>
      <c r="G360" t="inlineStr">
        <is>
          <t>HAGFORS</t>
        </is>
      </c>
      <c r="H360" t="inlineStr">
        <is>
          <t>Kyrkan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17329-2024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45414</v>
      </c>
      <c r="E361" s="1" t="n">
        <v>46318</v>
      </c>
      <c r="F361" t="inlineStr">
        <is>
          <t>VÄRMLANDS LÄN</t>
        </is>
      </c>
      <c r="G361" t="inlineStr">
        <is>
          <t>HAGFORS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45985</v>
      </c>
      <c r="E362" s="1" t="n">
        <v>46318</v>
      </c>
      <c r="F362" t="inlineStr">
        <is>
          <t>VÄRMLANDS LÄN</t>
        </is>
      </c>
      <c r="G362" t="inlineStr">
        <is>
          <t>HAGFORS</t>
        </is>
      </c>
      <c r="H362" t="inlineStr">
        <is>
          <t>Kyrkan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45051</v>
      </c>
      <c r="E363" s="1" t="n">
        <v>46318</v>
      </c>
      <c r="F363" t="inlineStr">
        <is>
          <t>VÄRMLANDS LÄN</t>
        </is>
      </c>
      <c r="G363" t="inlineStr">
        <is>
          <t>HAGFORS</t>
        </is>
      </c>
      <c r="H363" t="inlineStr">
        <is>
          <t>Kommuner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45684</v>
      </c>
      <c r="E364" s="1" t="n">
        <v>46318</v>
      </c>
      <c r="F364" t="inlineStr">
        <is>
          <t>VÄRMLANDS LÄN</t>
        </is>
      </c>
      <c r="G364" t="inlineStr">
        <is>
          <t>HAGFORS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52924-2023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45226</v>
      </c>
      <c r="E365" s="1" t="n">
        <v>46318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21879-2026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46318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55447-2022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44887</v>
      </c>
      <c r="E367" s="1" t="n">
        <v>46318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21762-2026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46150</v>
      </c>
      <c r="E368" s="1" t="n">
        <v>46318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45671</v>
      </c>
      <c r="E369" s="1" t="n">
        <v>46318</v>
      </c>
      <c r="F369" t="inlineStr">
        <is>
          <t>VÄRMLANDS LÄN</t>
        </is>
      </c>
      <c r="G369" t="inlineStr">
        <is>
          <t>HAGFORS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59047-2025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45988</v>
      </c>
      <c r="E370" s="1" t="n">
        <v>46318</v>
      </c>
      <c r="F370" t="inlineStr">
        <is>
          <t>VÄRMLANDS LÄN</t>
        </is>
      </c>
      <c r="G370" t="inlineStr">
        <is>
          <t>HAGFORS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48276-2024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45590</v>
      </c>
      <c r="E371" s="1" t="n">
        <v>46318</v>
      </c>
      <c r="F371" t="inlineStr">
        <is>
          <t>VÄRMLANDS LÄN</t>
        </is>
      </c>
      <c r="G371" t="inlineStr">
        <is>
          <t>HAGFORS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21776-2026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46150</v>
      </c>
      <c r="E372" s="1" t="n">
        <v>46318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54751-2022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44883</v>
      </c>
      <c r="E373" s="1" t="n">
        <v>46318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32149-2023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45107</v>
      </c>
      <c r="E374" s="1" t="n">
        <v>46318</v>
      </c>
      <c r="F374" t="inlineStr">
        <is>
          <t>VÄRMLANDS LÄN</t>
        </is>
      </c>
      <c r="G374" t="inlineStr">
        <is>
          <t>HAGFORS</t>
        </is>
      </c>
      <c r="I374" t="n">
        <v>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8129-2024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45351</v>
      </c>
      <c r="E375" s="1" t="n">
        <v>46318</v>
      </c>
      <c r="F375" t="inlineStr">
        <is>
          <t>VÄRMLANDS LÄN</t>
        </is>
      </c>
      <c r="G375" t="inlineStr">
        <is>
          <t>HAGFORS</t>
        </is>
      </c>
      <c r="H375" t="inlineStr">
        <is>
          <t>Kyrkan</t>
        </is>
      </c>
      <c r="I375" t="n">
        <v>10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52494-2024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45609</v>
      </c>
      <c r="E376" s="1" t="n">
        <v>46318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45692</v>
      </c>
      <c r="E377" s="1" t="n">
        <v>46318</v>
      </c>
      <c r="F377" t="inlineStr">
        <is>
          <t>VÄRMLANDS LÄN</t>
        </is>
      </c>
      <c r="G377" t="inlineStr">
        <is>
          <t>HAGFORS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10562-2024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45366</v>
      </c>
      <c r="E378" s="1" t="n">
        <v>46318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46155</v>
      </c>
      <c r="E379" s="1" t="n">
        <v>46318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5482-2022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44595</v>
      </c>
      <c r="E380" s="1" t="n">
        <v>46318</v>
      </c>
      <c r="F380" t="inlineStr">
        <is>
          <t>VÄRMLANDS LÄN</t>
        </is>
      </c>
      <c r="G380" t="inlineStr">
        <is>
          <t>HAGFORS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46155</v>
      </c>
      <c r="E381" s="1" t="n">
        <v>46318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6.7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46318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22667-2026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46155</v>
      </c>
      <c r="E383" s="1" t="n">
        <v>46318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45996</v>
      </c>
      <c r="E384" s="1" t="n">
        <v>46318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60167-2023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45258</v>
      </c>
      <c r="E385" s="1" t="n">
        <v>46318</v>
      </c>
      <c r="F385" t="inlineStr">
        <is>
          <t>VÄRMLANDS LÄN</t>
        </is>
      </c>
      <c r="G385" t="inlineStr">
        <is>
          <t>HAGFORS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60178-2023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45258</v>
      </c>
      <c r="E386" s="1" t="n">
        <v>46318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60841-2025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45999</v>
      </c>
      <c r="E387" s="1" t="n">
        <v>46318</v>
      </c>
      <c r="F387" t="inlineStr">
        <is>
          <t>VÄRMLANDS LÄN</t>
        </is>
      </c>
      <c r="G387" t="inlineStr">
        <is>
          <t>HAGFORS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60648-2025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45996</v>
      </c>
      <c r="E388" s="1" t="n">
        <v>46318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46155</v>
      </c>
      <c r="E389" s="1" t="n">
        <v>46318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46318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46318</v>
      </c>
      <c r="F391" t="inlineStr">
        <is>
          <t>VÄRMLANDS LÄN</t>
        </is>
      </c>
      <c r="G391" t="inlineStr">
        <is>
          <t>HAGFORS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46318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45029</v>
      </c>
      <c r="E393" s="1" t="n">
        <v>46318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41603-2023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45175</v>
      </c>
      <c r="E394" s="1" t="n">
        <v>46318</v>
      </c>
      <c r="F394" t="inlineStr">
        <is>
          <t>VÄRMLANDS LÄN</t>
        </is>
      </c>
      <c r="G394" t="inlineStr">
        <is>
          <t>HAGFORS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22911-2026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46160</v>
      </c>
      <c r="E395" s="1" t="n">
        <v>46318</v>
      </c>
      <c r="F395" t="inlineStr">
        <is>
          <t>VÄRMLANDS LÄN</t>
        </is>
      </c>
      <c r="G395" t="inlineStr">
        <is>
          <t>HAGFORS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46318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8.800000000000001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61843-2025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46003</v>
      </c>
      <c r="E397" s="1" t="n">
        <v>46318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46003</v>
      </c>
      <c r="E398" s="1" t="n">
        <v>46318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61718-2025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46002</v>
      </c>
      <c r="E399" s="1" t="n">
        <v>46318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46002</v>
      </c>
      <c r="E400" s="1" t="n">
        <v>46318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61998-2025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46003</v>
      </c>
      <c r="E401" s="1" t="n">
        <v>46318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61910-2025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46003</v>
      </c>
      <c r="E402" s="1" t="n">
        <v>46318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46007</v>
      </c>
      <c r="E403" s="1" t="n">
        <v>46318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62240-2025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46318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45726</v>
      </c>
      <c r="E405" s="1" t="n">
        <v>46318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56895-2023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45244</v>
      </c>
      <c r="E406" s="1" t="n">
        <v>46318</v>
      </c>
      <c r="F406" t="inlineStr">
        <is>
          <t>VÄRMLANDS LÄN</t>
        </is>
      </c>
      <c r="G406" t="inlineStr">
        <is>
          <t>HAGFORS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45673</v>
      </c>
      <c r="E407" s="1" t="n">
        <v>46318</v>
      </c>
      <c r="F407" t="inlineStr">
        <is>
          <t>VÄRMLANDS LÄN</t>
        </is>
      </c>
      <c r="G407" t="inlineStr">
        <is>
          <t>HAGFORS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46318</v>
      </c>
      <c r="F408" t="inlineStr">
        <is>
          <t>VÄRMLANDS LÄN</t>
        </is>
      </c>
      <c r="G408" t="inlineStr">
        <is>
          <t>HAGFORS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46318</v>
      </c>
      <c r="F409" t="inlineStr">
        <is>
          <t>VÄRMLANDS LÄN</t>
        </is>
      </c>
      <c r="G409" t="inlineStr">
        <is>
          <t>HAGFORS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62168-2025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46006</v>
      </c>
      <c r="E410" s="1" t="n">
        <v>46318</v>
      </c>
      <c r="F410" t="inlineStr">
        <is>
          <t>VÄRMLANDS LÄN</t>
        </is>
      </c>
      <c r="G410" t="inlineStr">
        <is>
          <t>HAGFORS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42150-2024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45562</v>
      </c>
      <c r="E411" s="1" t="n">
        <v>46318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46318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46318</v>
      </c>
      <c r="F413" t="inlineStr">
        <is>
          <t>VÄRMLANDS LÄN</t>
        </is>
      </c>
      <c r="G413" t="inlineStr">
        <is>
          <t>HAGFORS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46318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22925-2026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46318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46160</v>
      </c>
      <c r="E416" s="1" t="n">
        <v>46318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40835-2023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45172</v>
      </c>
      <c r="E417" s="1" t="n">
        <v>46318</v>
      </c>
      <c r="F417" t="inlineStr">
        <is>
          <t>VÄRMLANDS LÄN</t>
        </is>
      </c>
      <c r="G417" t="inlineStr">
        <is>
          <t>HAGFORS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47028-2023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45201</v>
      </c>
      <c r="E418" s="1" t="n">
        <v>46318</v>
      </c>
      <c r="F418" t="inlineStr">
        <is>
          <t>VÄRMLANDS LÄN</t>
        </is>
      </c>
      <c r="G418" t="inlineStr">
        <is>
          <t>HAGFORS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31087-2024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45502</v>
      </c>
      <c r="E419" s="1" t="n">
        <v>46318</v>
      </c>
      <c r="F419" t="inlineStr">
        <is>
          <t>VÄRMLANDS LÄN</t>
        </is>
      </c>
      <c r="G419" t="inlineStr">
        <is>
          <t>HAGFORS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45492</v>
      </c>
      <c r="E420" s="1" t="n">
        <v>46318</v>
      </c>
      <c r="F420" t="inlineStr">
        <is>
          <t>VÄRMLANDS LÄN</t>
        </is>
      </c>
      <c r="G420" t="inlineStr">
        <is>
          <t>HAGFORS</t>
        </is>
      </c>
      <c r="H420" t="inlineStr">
        <is>
          <t>Kyrkan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60582-2024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45644</v>
      </c>
      <c r="E421" s="1" t="n">
        <v>46318</v>
      </c>
      <c r="F421" t="inlineStr">
        <is>
          <t>VÄRMLANDS LÄN</t>
        </is>
      </c>
      <c r="G421" t="inlineStr">
        <is>
          <t>HAGFORS</t>
        </is>
      </c>
      <c r="H421" t="inlineStr">
        <is>
          <t>Kyrkan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62632-2025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46008</v>
      </c>
      <c r="E422" s="1" t="n">
        <v>46318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46008</v>
      </c>
      <c r="E423" s="1" t="n">
        <v>46318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46163</v>
      </c>
      <c r="E424" s="1" t="n">
        <v>46318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45947</v>
      </c>
      <c r="E425" s="1" t="n">
        <v>46318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46318</v>
      </c>
      <c r="F426" t="inlineStr">
        <is>
          <t>VÄRMLANDS LÄN</t>
        </is>
      </c>
      <c r="G426" t="inlineStr">
        <is>
          <t>HAGFORS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33399-2024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45519</v>
      </c>
      <c r="E427" s="1" t="n">
        <v>46318</v>
      </c>
      <c r="F427" t="inlineStr">
        <is>
          <t>VÄRMLANDS LÄN</t>
        </is>
      </c>
      <c r="G427" t="inlineStr">
        <is>
          <t>HAGFORS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46318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63361-2025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46318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36494-2025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45869</v>
      </c>
      <c r="E430" s="1" t="n">
        <v>46318</v>
      </c>
      <c r="F430" t="inlineStr">
        <is>
          <t>VÄRMLANDS LÄN</t>
        </is>
      </c>
      <c r="G430" t="inlineStr">
        <is>
          <t>HAGFORS</t>
        </is>
      </c>
      <c r="H430" t="inlineStr">
        <is>
          <t>Kyrkan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44622</v>
      </c>
      <c r="E431" s="1" t="n">
        <v>46318</v>
      </c>
      <c r="F431" t="inlineStr">
        <is>
          <t>VÄRMLANDS LÄN</t>
        </is>
      </c>
      <c r="G431" t="inlineStr">
        <is>
          <t>HAGFORS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46318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23269-2026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46318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63285-2025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46318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46318</v>
      </c>
      <c r="F435" t="inlineStr">
        <is>
          <t>VÄRMLANDS LÄN</t>
        </is>
      </c>
      <c r="G435" t="inlineStr">
        <is>
          <t>HAGFORS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46792-2022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44851</v>
      </c>
      <c r="E436" s="1" t="n">
        <v>46318</v>
      </c>
      <c r="F436" t="inlineStr">
        <is>
          <t>VÄRMLANDS LÄN</t>
        </is>
      </c>
      <c r="G436" t="inlineStr">
        <is>
          <t>HAGFORS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23728-2026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46164</v>
      </c>
      <c r="E437" s="1" t="n">
        <v>46318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45510</v>
      </c>
      <c r="E438" s="1" t="n">
        <v>46318</v>
      </c>
      <c r="F438" t="inlineStr">
        <is>
          <t>VÄRMLANDS LÄN</t>
        </is>
      </c>
      <c r="G438" t="inlineStr">
        <is>
          <t>HAGFORS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45659</v>
      </c>
      <c r="E439" s="1" t="n">
        <v>46318</v>
      </c>
      <c r="F439" t="inlineStr">
        <is>
          <t>VÄRMLANDS LÄN</t>
        </is>
      </c>
      <c r="G439" t="inlineStr">
        <is>
          <t>HAGFORS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23678-2026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46164</v>
      </c>
      <c r="E440" s="1" t="n">
        <v>46318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45618</v>
      </c>
      <c r="E441" s="1" t="n">
        <v>46318</v>
      </c>
      <c r="F441" t="inlineStr">
        <is>
          <t>VÄRMLANDS LÄN</t>
        </is>
      </c>
      <c r="G441" t="inlineStr">
        <is>
          <t>HAGFORS</t>
        </is>
      </c>
      <c r="H441" t="inlineStr">
        <is>
          <t>Kyrkan</t>
        </is>
      </c>
      <c r="I441" t="n">
        <v>8.800000000000001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46020</v>
      </c>
      <c r="E442" s="1" t="n">
        <v>46318</v>
      </c>
      <c r="F442" t="inlineStr">
        <is>
          <t>VÄRMLANDS LÄN</t>
        </is>
      </c>
      <c r="G442" t="inlineStr">
        <is>
          <t>HAGFORS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63831-2025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46020</v>
      </c>
      <c r="E443" s="1" t="n">
        <v>46318</v>
      </c>
      <c r="F443" t="inlineStr">
        <is>
          <t>VÄRMLANDS LÄN</t>
        </is>
      </c>
      <c r="G443" t="inlineStr">
        <is>
          <t>HAGFORS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46018</v>
      </c>
      <c r="E444" s="1" t="n">
        <v>46318</v>
      </c>
      <c r="F444" t="inlineStr">
        <is>
          <t>VÄRMLANDS LÄN</t>
        </is>
      </c>
      <c r="G444" t="inlineStr">
        <is>
          <t>HAGFORS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63765-2025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46018</v>
      </c>
      <c r="E445" s="1" t="n">
        <v>46318</v>
      </c>
      <c r="F445" t="inlineStr">
        <is>
          <t>VÄRMLANDS LÄN</t>
        </is>
      </c>
      <c r="G445" t="inlineStr">
        <is>
          <t>HAGFORS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30635-2025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46318</v>
      </c>
      <c r="F446" t="inlineStr">
        <is>
          <t>VÄRMLANDS LÄN</t>
        </is>
      </c>
      <c r="G446" t="inlineStr">
        <is>
          <t>HAGFORS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30642-2025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45831</v>
      </c>
      <c r="E447" s="1" t="n">
        <v>46318</v>
      </c>
      <c r="F447" t="inlineStr">
        <is>
          <t>VÄRMLANDS LÄN</t>
        </is>
      </c>
      <c r="G447" t="inlineStr">
        <is>
          <t>HAGFORS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13850-2022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44649</v>
      </c>
      <c r="E448" s="1" t="n">
        <v>46318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63875-2025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46020</v>
      </c>
      <c r="E449" s="1" t="n">
        <v>46318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46318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70712-2021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44537</v>
      </c>
      <c r="E451" s="1" t="n">
        <v>46318</v>
      </c>
      <c r="F451" t="inlineStr">
        <is>
          <t>VÄRMLANDS LÄN</t>
        </is>
      </c>
      <c r="G451" t="inlineStr">
        <is>
          <t>HAGFORS</t>
        </is>
      </c>
      <c r="H451" t="inlineStr">
        <is>
          <t>Kommuner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46318</v>
      </c>
      <c r="F452" t="inlineStr">
        <is>
          <t>VÄRMLANDS LÄN</t>
        </is>
      </c>
      <c r="G452" t="inlineStr">
        <is>
          <t>HAGFORS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39640-2022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44817</v>
      </c>
      <c r="E453" s="1" t="n">
        <v>46318</v>
      </c>
      <c r="F453" t="inlineStr">
        <is>
          <t>VÄRMLANDS LÄN</t>
        </is>
      </c>
      <c r="G453" t="inlineStr">
        <is>
          <t>HAGFORS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58799-2022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44903</v>
      </c>
      <c r="E454" s="1" t="n">
        <v>46318</v>
      </c>
      <c r="F454" t="inlineStr">
        <is>
          <t>VÄRMLANDS LÄN</t>
        </is>
      </c>
      <c r="G454" t="inlineStr">
        <is>
          <t>HAGFORS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58307-2023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45250</v>
      </c>
      <c r="E455" s="1" t="n">
        <v>46318</v>
      </c>
      <c r="F455" t="inlineStr">
        <is>
          <t>VÄRMLANDS LÄN</t>
        </is>
      </c>
      <c r="G455" t="inlineStr">
        <is>
          <t>HAGFORS</t>
        </is>
      </c>
      <c r="H455" t="inlineStr">
        <is>
          <t>Kommuner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45308</v>
      </c>
      <c r="E456" s="1" t="n">
        <v>46318</v>
      </c>
      <c r="F456" t="inlineStr">
        <is>
          <t>VÄRMLANDS LÄN</t>
        </is>
      </c>
      <c r="G456" t="inlineStr">
        <is>
          <t>HAGFORS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57159-2024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45629</v>
      </c>
      <c r="E457" s="1" t="n">
        <v>46318</v>
      </c>
      <c r="F457" t="inlineStr">
        <is>
          <t>VÄRMLANDS LÄN</t>
        </is>
      </c>
      <c r="G457" t="inlineStr">
        <is>
          <t>HAGFORS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48807-2025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45937</v>
      </c>
      <c r="E458" s="1" t="n">
        <v>46318</v>
      </c>
      <c r="F458" t="inlineStr">
        <is>
          <t>VÄRMLANDS LÄN</t>
        </is>
      </c>
      <c r="G458" t="inlineStr">
        <is>
          <t>HAGFORS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24625-2026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46171</v>
      </c>
      <c r="E459" s="1" t="n">
        <v>46318</v>
      </c>
      <c r="F459" t="inlineStr">
        <is>
          <t>VÄRMLANDS LÄN</t>
        </is>
      </c>
      <c r="G459" t="inlineStr">
        <is>
          <t>HAGFORS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45132</v>
      </c>
      <c r="E460" s="1" t="n">
        <v>46318</v>
      </c>
      <c r="F460" t="inlineStr">
        <is>
          <t>VÄRMLANDS LÄN</t>
        </is>
      </c>
      <c r="G460" t="inlineStr">
        <is>
          <t>HAGFORS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45723</v>
      </c>
      <c r="E461" s="1" t="n">
        <v>46318</v>
      </c>
      <c r="F461" t="inlineStr">
        <is>
          <t>VÄRMLANDS LÄN</t>
        </is>
      </c>
      <c r="G461" t="inlineStr">
        <is>
          <t>HAGFORS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43998-2024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45572</v>
      </c>
      <c r="E462" s="1" t="n">
        <v>46318</v>
      </c>
      <c r="F462" t="inlineStr">
        <is>
          <t>VÄRMLANDS LÄN</t>
        </is>
      </c>
      <c r="G462" t="inlineStr">
        <is>
          <t>HAGFORS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46318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975-2026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46030</v>
      </c>
      <c r="E464" s="1" t="n">
        <v>46318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13282-2024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45386</v>
      </c>
      <c r="E465" s="1" t="n">
        <v>46318</v>
      </c>
      <c r="F465" t="inlineStr">
        <is>
          <t>VÄRMLANDS LÄN</t>
        </is>
      </c>
      <c r="G465" t="inlineStr">
        <is>
          <t>HAGFORS</t>
        </is>
      </c>
      <c r="H465" t="inlineStr">
        <is>
          <t>Kommuner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24677-2026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46171</v>
      </c>
      <c r="E466" s="1" t="n">
        <v>46318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24761-2026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46171</v>
      </c>
      <c r="E467" s="1" t="n">
        <v>46318</v>
      </c>
      <c r="F467" t="inlineStr">
        <is>
          <t>VÄRMLANDS LÄN</t>
        </is>
      </c>
      <c r="G467" t="inlineStr">
        <is>
          <t>HAGFORS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46318</v>
      </c>
      <c r="F468" t="inlineStr">
        <is>
          <t>VÄRMLANDS LÄN</t>
        </is>
      </c>
      <c r="G468" t="inlineStr">
        <is>
          <t>HAGFORS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44728-2023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45190</v>
      </c>
      <c r="E469" s="1" t="n">
        <v>46318</v>
      </c>
      <c r="F469" t="inlineStr">
        <is>
          <t>VÄRMLANDS LÄN</t>
        </is>
      </c>
      <c r="G469" t="inlineStr">
        <is>
          <t>HAGFORS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24628-2026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46171</v>
      </c>
      <c r="E470" s="1" t="n">
        <v>46318</v>
      </c>
      <c r="F470" t="inlineStr">
        <is>
          <t>VÄRMLANDS LÄN</t>
        </is>
      </c>
      <c r="G470" t="inlineStr">
        <is>
          <t>HAGFORS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46318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16.8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46171</v>
      </c>
      <c r="E472" s="1" t="n">
        <v>46318</v>
      </c>
      <c r="F472" t="inlineStr">
        <is>
          <t>VÄRMLANDS LÄN</t>
        </is>
      </c>
      <c r="G472" t="inlineStr">
        <is>
          <t>HAGFORS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42168-2024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46318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24699-2026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46171</v>
      </c>
      <c r="E474" s="1" t="n">
        <v>46318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42170-2024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45562</v>
      </c>
      <c r="E475" s="1" t="n">
        <v>46318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42171-2024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45562</v>
      </c>
      <c r="E476" s="1" t="n">
        <v>46318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42243-2024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45562</v>
      </c>
      <c r="E477" s="1" t="n">
        <v>46318</v>
      </c>
      <c r="F477" t="inlineStr">
        <is>
          <t>VÄRMLANDS LÄN</t>
        </is>
      </c>
      <c r="G477" t="inlineStr">
        <is>
          <t>HAGFORS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6980-2022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44603</v>
      </c>
      <c r="E478" s="1" t="n">
        <v>46318</v>
      </c>
      <c r="F478" t="inlineStr">
        <is>
          <t>VÄRMLANDS LÄN</t>
        </is>
      </c>
      <c r="G478" t="inlineStr">
        <is>
          <t>HAGFORS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24626-2026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46318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36013-2023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45149</v>
      </c>
      <c r="E480" s="1" t="n">
        <v>46318</v>
      </c>
      <c r="F480" t="inlineStr">
        <is>
          <t>VÄRMLANDS LÄN</t>
        </is>
      </c>
      <c r="G480" t="inlineStr">
        <is>
          <t>HAGFORS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46318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45264</v>
      </c>
      <c r="E482" s="1" t="n">
        <v>46318</v>
      </c>
      <c r="F482" t="inlineStr">
        <is>
          <t>VÄRMLANDS LÄN</t>
        </is>
      </c>
      <c r="G482" t="inlineStr">
        <is>
          <t>HAGFORS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61315-2023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45264</v>
      </c>
      <c r="E483" s="1" t="n">
        <v>46318</v>
      </c>
      <c r="F483" t="inlineStr">
        <is>
          <t>VÄRMLANDS LÄN</t>
        </is>
      </c>
      <c r="G483" t="inlineStr">
        <is>
          <t>HAGFORS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18907-2025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45764</v>
      </c>
      <c r="E484" s="1" t="n">
        <v>46318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46318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46177</v>
      </c>
      <c r="E486" s="1" t="n">
        <v>46318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31166-2022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44770</v>
      </c>
      <c r="E487" s="1" t="n">
        <v>46318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46318</v>
      </c>
      <c r="F488" t="inlineStr">
        <is>
          <t>VÄRMLANDS LÄN</t>
        </is>
      </c>
      <c r="G488" t="inlineStr">
        <is>
          <t>HAGFORS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44906-2024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45575</v>
      </c>
      <c r="E489" s="1" t="n">
        <v>46318</v>
      </c>
      <c r="F489" t="inlineStr">
        <is>
          <t>VÄRMLANDS LÄN</t>
        </is>
      </c>
      <c r="G489" t="inlineStr">
        <is>
          <t>HAGFORS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46048</v>
      </c>
      <c r="E490" s="1" t="n">
        <v>46318</v>
      </c>
      <c r="F490" t="inlineStr">
        <is>
          <t>VÄRMLANDS LÄN</t>
        </is>
      </c>
      <c r="G490" t="inlineStr">
        <is>
          <t>HAGFORS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17305-2023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45035</v>
      </c>
      <c r="E491" s="1" t="n">
        <v>46318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46318</v>
      </c>
      <c r="F492" t="inlineStr">
        <is>
          <t>VÄRMLANDS LÄN</t>
        </is>
      </c>
      <c r="G492" t="inlineStr">
        <is>
          <t>HAGFORS</t>
        </is>
      </c>
      <c r="I492" t="n">
        <v>13.1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31178-2022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44770</v>
      </c>
      <c r="E493" s="1" t="n">
        <v>46318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59552-2024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45638</v>
      </c>
      <c r="E494" s="1" t="n">
        <v>46318</v>
      </c>
      <c r="F494" t="inlineStr">
        <is>
          <t>VÄRMLANDS LÄN</t>
        </is>
      </c>
      <c r="G494" t="inlineStr">
        <is>
          <t>HAGFORS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25589-2026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46318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46318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46318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21067-2025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45777</v>
      </c>
      <c r="E498" s="1" t="n">
        <v>46318</v>
      </c>
      <c r="F498" t="inlineStr">
        <is>
          <t>VÄRMLANDS LÄN</t>
        </is>
      </c>
      <c r="G498" t="inlineStr">
        <is>
          <t>HAGFORS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46318</v>
      </c>
      <c r="F499" t="inlineStr">
        <is>
          <t>VÄRMLANDS LÄN</t>
        </is>
      </c>
      <c r="G499" t="inlineStr">
        <is>
          <t>HAGFORS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46050</v>
      </c>
      <c r="E500" s="1" t="n">
        <v>46318</v>
      </c>
      <c r="F500" t="inlineStr">
        <is>
          <t>VÄRMLANDS LÄN</t>
        </is>
      </c>
      <c r="G500" t="inlineStr">
        <is>
          <t>HAGFORS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46050</v>
      </c>
      <c r="E501" s="1" t="n">
        <v>46318</v>
      </c>
      <c r="F501" t="inlineStr">
        <is>
          <t>VÄRMLANDS LÄN</t>
        </is>
      </c>
      <c r="G501" t="inlineStr">
        <is>
          <t>HAGFORS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46050</v>
      </c>
      <c r="E502" s="1" t="n">
        <v>46318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46318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36.8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46050</v>
      </c>
      <c r="E504" s="1" t="n">
        <v>46318</v>
      </c>
      <c r="F504" t="inlineStr">
        <is>
          <t>VÄRMLANDS LÄN</t>
        </is>
      </c>
      <c r="G504" t="inlineStr">
        <is>
          <t>HAGFORS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46050</v>
      </c>
      <c r="E505" s="1" t="n">
        <v>46318</v>
      </c>
      <c r="F505" t="inlineStr">
        <is>
          <t>VÄRMLANDS LÄN</t>
        </is>
      </c>
      <c r="G505" t="inlineStr">
        <is>
          <t>HAGFORS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26012-2026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46318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26019-2026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46181</v>
      </c>
      <c r="E507" s="1" t="n">
        <v>46318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44938</v>
      </c>
      <c r="E508" s="1" t="n">
        <v>46318</v>
      </c>
      <c r="F508" t="inlineStr">
        <is>
          <t>VÄRMLANDS LÄN</t>
        </is>
      </c>
      <c r="G508" t="inlineStr">
        <is>
          <t>HAGFORS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46318</v>
      </c>
      <c r="F509" t="inlineStr">
        <is>
          <t>VÄRMLANDS LÄN</t>
        </is>
      </c>
      <c r="G509" t="inlineStr">
        <is>
          <t>HAGFORS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21723-2025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45783</v>
      </c>
      <c r="E510" s="1" t="n">
        <v>46318</v>
      </c>
      <c r="F510" t="inlineStr">
        <is>
          <t>VÄRMLANDS LÄN</t>
        </is>
      </c>
      <c r="G510" t="inlineStr">
        <is>
          <t>HAGFORS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24680-2024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45460</v>
      </c>
      <c r="E511" s="1" t="n">
        <v>46318</v>
      </c>
      <c r="F511" t="inlineStr">
        <is>
          <t>VÄRMLANDS LÄN</t>
        </is>
      </c>
      <c r="G511" t="inlineStr">
        <is>
          <t>HAGFORS</t>
        </is>
      </c>
      <c r="I511" t="n">
        <v>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46318</v>
      </c>
      <c r="F512" t="inlineStr">
        <is>
          <t>VÄRMLANDS LÄN</t>
        </is>
      </c>
      <c r="G512" t="inlineStr">
        <is>
          <t>HAGFORS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17833-2022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44683</v>
      </c>
      <c r="E513" s="1" t="n">
        <v>46318</v>
      </c>
      <c r="F513" t="inlineStr">
        <is>
          <t>VÄRMLANDS LÄN</t>
        </is>
      </c>
      <c r="G513" t="inlineStr">
        <is>
          <t>HAGFORS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47425-2024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45587</v>
      </c>
      <c r="E514" s="1" t="n">
        <v>46318</v>
      </c>
      <c r="F514" t="inlineStr">
        <is>
          <t>VÄRMLANDS LÄN</t>
        </is>
      </c>
      <c r="G514" t="inlineStr">
        <is>
          <t>HAGFORS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38555-2023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45162</v>
      </c>
      <c r="E515" s="1" t="n">
        <v>46318</v>
      </c>
      <c r="F515" t="inlineStr">
        <is>
          <t>VÄRMLANDS LÄN</t>
        </is>
      </c>
      <c r="G515" t="inlineStr">
        <is>
          <t>HAGFORS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20113-2023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45055</v>
      </c>
      <c r="E516" s="1" t="n">
        <v>46318</v>
      </c>
      <c r="F516" t="inlineStr">
        <is>
          <t>VÄRMLANDS LÄN</t>
        </is>
      </c>
      <c r="G516" t="inlineStr">
        <is>
          <t>HAGFORS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26265-2026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46318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61140-2023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45261</v>
      </c>
      <c r="E518" s="1" t="n">
        <v>46318</v>
      </c>
      <c r="F518" t="inlineStr">
        <is>
          <t>VÄRMLANDS LÄN</t>
        </is>
      </c>
      <c r="G518" t="inlineStr">
        <is>
          <t>HAGFORS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26350-2026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46318</v>
      </c>
      <c r="F519" t="inlineStr">
        <is>
          <t>VÄRMLANDS LÄN</t>
        </is>
      </c>
      <c r="G519" t="inlineStr">
        <is>
          <t>HAGFORS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40332-2023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45169</v>
      </c>
      <c r="E520" s="1" t="n">
        <v>46318</v>
      </c>
      <c r="F520" t="inlineStr">
        <is>
          <t>VÄRMLANDS LÄN</t>
        </is>
      </c>
      <c r="G520" t="inlineStr">
        <is>
          <t>HAGFORS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46208-2023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45196</v>
      </c>
      <c r="E521" s="1" t="n">
        <v>46318</v>
      </c>
      <c r="F521" t="inlineStr">
        <is>
          <t>VÄRMLANDS LÄN</t>
        </is>
      </c>
      <c r="G521" t="inlineStr">
        <is>
          <t>HAGFORS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24947-2024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45461</v>
      </c>
      <c r="E522" s="1" t="n">
        <v>46318</v>
      </c>
      <c r="F522" t="inlineStr">
        <is>
          <t>VÄRMLANDS LÄN</t>
        </is>
      </c>
      <c r="G522" t="inlineStr">
        <is>
          <t>HAGFORS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46318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33.4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13094-2024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45385</v>
      </c>
      <c r="E524" s="1" t="n">
        <v>46318</v>
      </c>
      <c r="F524" t="inlineStr">
        <is>
          <t>VÄRMLANDS LÄN</t>
        </is>
      </c>
      <c r="G524" t="inlineStr">
        <is>
          <t>HAGFORS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38887-2024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45547</v>
      </c>
      <c r="E525" s="1" t="n">
        <v>46318</v>
      </c>
      <c r="F525" t="inlineStr">
        <is>
          <t>VÄRMLANDS LÄN</t>
        </is>
      </c>
      <c r="G525" t="inlineStr">
        <is>
          <t>HAGFORS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62497-2022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44924</v>
      </c>
      <c r="E526" s="1" t="n">
        <v>46318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21867-2024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45443</v>
      </c>
      <c r="E527" s="1" t="n">
        <v>46318</v>
      </c>
      <c r="F527" t="inlineStr">
        <is>
          <t>VÄRMLANDS LÄN</t>
        </is>
      </c>
      <c r="G527" t="inlineStr">
        <is>
          <t>HAGFORS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26740-2026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46318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27739-2024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45475</v>
      </c>
      <c r="E529" s="1" t="n">
        <v>46318</v>
      </c>
      <c r="F529" t="inlineStr">
        <is>
          <t>VÄRMLANDS LÄN</t>
        </is>
      </c>
      <c r="G529" t="inlineStr">
        <is>
          <t>HAGFORS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26660-2026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46184</v>
      </c>
      <c r="E530" s="1" t="n">
        <v>46318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26612-2026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46318</v>
      </c>
      <c r="F531" t="inlineStr">
        <is>
          <t>VÄRMLANDS LÄN</t>
        </is>
      </c>
      <c r="G531" t="inlineStr">
        <is>
          <t>HAGFORS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22461-2025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45786</v>
      </c>
      <c r="E532" s="1" t="n">
        <v>46318</v>
      </c>
      <c r="F532" t="inlineStr">
        <is>
          <t>VÄRMLANDS LÄN</t>
        </is>
      </c>
      <c r="G532" t="inlineStr">
        <is>
          <t>HAGFORS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46318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46318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46318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46318</v>
      </c>
      <c r="F536" t="inlineStr">
        <is>
          <t>VÄRMLANDS LÄN</t>
        </is>
      </c>
      <c r="G536" t="inlineStr">
        <is>
          <t>HAGFORS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46318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46318</v>
      </c>
      <c r="F538" t="inlineStr">
        <is>
          <t>VÄRMLANDS LÄN</t>
        </is>
      </c>
      <c r="G538" t="inlineStr">
        <is>
          <t>HAGFORS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46188</v>
      </c>
      <c r="E539" s="1" t="n">
        <v>46318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46318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23268-2025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45791</v>
      </c>
      <c r="E541" s="1" t="n">
        <v>46318</v>
      </c>
      <c r="F541" t="inlineStr">
        <is>
          <t>VÄRMLANDS LÄN</t>
        </is>
      </c>
      <c r="G541" t="inlineStr">
        <is>
          <t>HAGFORS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22917-2025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45790</v>
      </c>
      <c r="E542" s="1" t="n">
        <v>46318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46318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18.2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26858-2026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46318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46318</v>
      </c>
      <c r="F545" t="inlineStr">
        <is>
          <t>VÄRMLANDS LÄN</t>
        </is>
      </c>
      <c r="G545" t="inlineStr">
        <is>
          <t>HAGFORS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45545</v>
      </c>
      <c r="E546" s="1" t="n">
        <v>46318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22964-2025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45790</v>
      </c>
      <c r="E547" s="1" t="n">
        <v>46318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55950-2024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45623</v>
      </c>
      <c r="E548" s="1" t="n">
        <v>46318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23556-2025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45792</v>
      </c>
      <c r="E549" s="1" t="n">
        <v>46318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46189</v>
      </c>
      <c r="E550" s="1" t="n">
        <v>46318</v>
      </c>
      <c r="F550" t="inlineStr">
        <is>
          <t>VÄRMLANDS LÄN</t>
        </is>
      </c>
      <c r="G550" t="inlineStr">
        <is>
          <t>HAGFORS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23525-2025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45792</v>
      </c>
      <c r="E551" s="1" t="n">
        <v>46318</v>
      </c>
      <c r="F551" t="inlineStr">
        <is>
          <t>VÄRMLANDS LÄN</t>
        </is>
      </c>
      <c r="G551" t="inlineStr">
        <is>
          <t>HAGFORS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23674-2025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45793</v>
      </c>
      <c r="E552" s="1" t="n">
        <v>46318</v>
      </c>
      <c r="F552" t="inlineStr">
        <is>
          <t>VÄRMLANDS LÄN</t>
        </is>
      </c>
      <c r="G552" t="inlineStr">
        <is>
          <t>HAGFORS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23712-2025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45793</v>
      </c>
      <c r="E553" s="1" t="n">
        <v>46318</v>
      </c>
      <c r="F553" t="inlineStr">
        <is>
          <t>VÄRMLANDS LÄN</t>
        </is>
      </c>
      <c r="G553" t="inlineStr">
        <is>
          <t>HAGFORS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45615</v>
      </c>
      <c r="E554" s="1" t="n">
        <v>46318</v>
      </c>
      <c r="F554" t="inlineStr">
        <is>
          <t>VÄRMLANDS LÄN</t>
        </is>
      </c>
      <c r="G554" t="inlineStr">
        <is>
          <t>HAGFORS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27394-2026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46189</v>
      </c>
      <c r="E555" s="1" t="n">
        <v>46318</v>
      </c>
      <c r="F555" t="inlineStr">
        <is>
          <t>VÄRMLANDS LÄN</t>
        </is>
      </c>
      <c r="G555" t="inlineStr">
        <is>
          <t>HAGFORS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46318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42169-2024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45562</v>
      </c>
      <c r="E557" s="1" t="n">
        <v>46318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42173-2024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45562</v>
      </c>
      <c r="E558" s="1" t="n">
        <v>46318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45562</v>
      </c>
      <c r="E559" s="1" t="n">
        <v>46318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46318</v>
      </c>
      <c r="F560" t="inlineStr">
        <is>
          <t>VÄRMLANDS LÄN</t>
        </is>
      </c>
      <c r="G560" t="inlineStr">
        <is>
          <t>HAGFORS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44566</v>
      </c>
      <c r="E561" s="1" t="n">
        <v>46318</v>
      </c>
      <c r="F561" t="inlineStr">
        <is>
          <t>VÄRMLANDS LÄN</t>
        </is>
      </c>
      <c r="G561" t="inlineStr">
        <is>
          <t>HAGFORS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46318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57379-2022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44896</v>
      </c>
      <c r="E563" s="1" t="n">
        <v>46318</v>
      </c>
      <c r="F563" t="inlineStr">
        <is>
          <t>VÄRMLANDS LÄN</t>
        </is>
      </c>
      <c r="G563" t="inlineStr">
        <is>
          <t>HAGFORS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46318</v>
      </c>
      <c r="F564" t="inlineStr">
        <is>
          <t>VÄRMLANDS LÄN</t>
        </is>
      </c>
      <c r="G564" t="inlineStr">
        <is>
          <t>HAGFORS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15643-2024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45404</v>
      </c>
      <c r="E565" s="1" t="n">
        <v>46318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28185-2026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46318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9.6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24434-2025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45797</v>
      </c>
      <c r="E567" s="1" t="n">
        <v>46318</v>
      </c>
      <c r="F567" t="inlineStr">
        <is>
          <t>VÄRMLANDS LÄN</t>
        </is>
      </c>
      <c r="G567" t="inlineStr">
        <is>
          <t>HAGFORS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46087</v>
      </c>
      <c r="E568" s="1" t="n">
        <v>46318</v>
      </c>
      <c r="F568" t="inlineStr">
        <is>
          <t>VÄRMLANDS LÄN</t>
        </is>
      </c>
      <c r="G568" t="inlineStr">
        <is>
          <t>HAGFORS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24435-2025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45797</v>
      </c>
      <c r="E569" s="1" t="n">
        <v>46318</v>
      </c>
      <c r="F569" t="inlineStr">
        <is>
          <t>VÄRMLANDS LÄN</t>
        </is>
      </c>
      <c r="G569" t="inlineStr">
        <is>
          <t>HAGFORS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24438-2025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45797</v>
      </c>
      <c r="E570" s="1" t="n">
        <v>46318</v>
      </c>
      <c r="F570" t="inlineStr">
        <is>
          <t>VÄRMLANDS LÄN</t>
        </is>
      </c>
      <c r="G570" t="inlineStr">
        <is>
          <t>HAGFORS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13524-2025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45736</v>
      </c>
      <c r="E571" s="1" t="n">
        <v>46318</v>
      </c>
      <c r="F571" t="inlineStr">
        <is>
          <t>VÄRMLANDS LÄN</t>
        </is>
      </c>
      <c r="G571" t="inlineStr">
        <is>
          <t>HAGFORS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36221-2026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46268</v>
      </c>
      <c r="E572" s="1" t="n">
        <v>46318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46091</v>
      </c>
      <c r="E573" s="1" t="n">
        <v>46318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36281-2026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46318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28788-2026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46318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9.699999999999999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46318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13338-2026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46094</v>
      </c>
      <c r="E577" s="1" t="n">
        <v>46318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46318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46318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13360-2026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46318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13419-2026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46094</v>
      </c>
      <c r="E581" s="1" t="n">
        <v>46318</v>
      </c>
      <c r="F581" t="inlineStr">
        <is>
          <t>VÄRMLANDS LÄN</t>
        </is>
      </c>
      <c r="G581" t="inlineStr">
        <is>
          <t>HAGFORS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28625-2026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46198</v>
      </c>
      <c r="E582" s="1" t="n">
        <v>46318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36556-2026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46269</v>
      </c>
      <c r="E583" s="1" t="n">
        <v>46318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13411-2026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46318</v>
      </c>
      <c r="F584" t="inlineStr">
        <is>
          <t>VÄRMLANDS LÄN</t>
        </is>
      </c>
      <c r="G584" t="inlineStr">
        <is>
          <t>HAGFORS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46200</v>
      </c>
      <c r="E585" s="1" t="n">
        <v>46318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46200</v>
      </c>
      <c r="E586" s="1" t="n">
        <v>46318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27855-2026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46191</v>
      </c>
      <c r="E587" s="1" t="n">
        <v>46318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36542-2026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46269</v>
      </c>
      <c r="E588" s="1" t="n">
        <v>46318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36642-2026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46272</v>
      </c>
      <c r="E589" s="1" t="n">
        <v>46318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8.800000000000001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46318</v>
      </c>
      <c r="F590" t="inlineStr">
        <is>
          <t>VÄRMLANDS LÄN</t>
        </is>
      </c>
      <c r="G590" t="inlineStr">
        <is>
          <t>HAGFORS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46318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46318</v>
      </c>
      <c r="F592" t="inlineStr">
        <is>
          <t>VÄRMLANDS LÄN</t>
        </is>
      </c>
      <c r="G592" t="inlineStr">
        <is>
          <t>HAGFORS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46318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36721-2026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46272</v>
      </c>
      <c r="E594" s="1" t="n">
        <v>46318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14288-2026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46318</v>
      </c>
      <c r="F595" t="inlineStr">
        <is>
          <t>VÄRMLANDS LÄN</t>
        </is>
      </c>
      <c r="G595" t="inlineStr">
        <is>
          <t>HAGFORS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14832-2026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46318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36728-2026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46272</v>
      </c>
      <c r="E597" s="1" t="n">
        <v>46318</v>
      </c>
      <c r="F597" t="inlineStr">
        <is>
          <t>VÄRMLANDS LÄN</t>
        </is>
      </c>
      <c r="G597" t="inlineStr">
        <is>
          <t>HAGFORS</t>
        </is>
      </c>
      <c r="H597" t="inlineStr">
        <is>
          <t>Kyrkan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14667-2026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46101</v>
      </c>
      <c r="E598" s="1" t="n">
        <v>46318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58437-2023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45250</v>
      </c>
      <c r="E599" s="1" t="n">
        <v>46318</v>
      </c>
      <c r="F599" t="inlineStr">
        <is>
          <t>VÄRMLANDS LÄN</t>
        </is>
      </c>
      <c r="G599" t="inlineStr">
        <is>
          <t>HAGFORS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46311</v>
      </c>
      <c r="E600" s="1" t="n">
        <v>46318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46318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15031-2026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46104</v>
      </c>
      <c r="E602" s="1" t="n">
        <v>46318</v>
      </c>
      <c r="F602" t="inlineStr">
        <is>
          <t>VÄRMLANDS LÄN</t>
        </is>
      </c>
      <c r="G602" t="inlineStr">
        <is>
          <t>HAGFORS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43073-2026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46311</v>
      </c>
      <c r="E603" s="1" t="n">
        <v>46318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14574-2026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46101</v>
      </c>
      <c r="E604" s="1" t="n">
        <v>46318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46318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46318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15656-2026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46318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46106</v>
      </c>
      <c r="E608" s="1" t="n">
        <v>46318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36446-2026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46318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46269</v>
      </c>
      <c r="E610" s="1" t="n">
        <v>46318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46318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15491-2026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46318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15666-2026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46106</v>
      </c>
      <c r="E613" s="1" t="n">
        <v>46318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15213-2026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46105</v>
      </c>
      <c r="E614" s="1" t="n">
        <v>46318</v>
      </c>
      <c r="F614" t="inlineStr">
        <is>
          <t>VÄRMLANDS LÄN</t>
        </is>
      </c>
      <c r="G614" t="inlineStr">
        <is>
          <t>HAGFORS</t>
        </is>
      </c>
      <c r="H614" t="inlineStr">
        <is>
          <t>Kyrkan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46203</v>
      </c>
      <c r="E615" s="1" t="n">
        <v>46318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29438-2026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46203</v>
      </c>
      <c r="E616" s="1" t="n">
        <v>46318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15554-2026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46318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15577-2026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46318</v>
      </c>
      <c r="F618" t="inlineStr">
        <is>
          <t>VÄRMLANDS LÄN</t>
        </is>
      </c>
      <c r="G618" t="inlineStr">
        <is>
          <t>HAGFORS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29400-2026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46203</v>
      </c>
      <c r="E619" s="1" t="n">
        <v>46318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36676-2026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46272</v>
      </c>
      <c r="E620" s="1" t="n">
        <v>46318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16146-2026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46318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5.9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30141-2026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46206</v>
      </c>
      <c r="E622" s="1" t="n">
        <v>46318</v>
      </c>
      <c r="F622" t="inlineStr">
        <is>
          <t>VÄRMLANDS LÄN</t>
        </is>
      </c>
      <c r="G622" t="inlineStr">
        <is>
          <t>HAGFORS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29950-2026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46205</v>
      </c>
      <c r="E623" s="1" t="n">
        <v>46318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37157-2026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46274</v>
      </c>
      <c r="E624" s="1" t="n">
        <v>46318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46318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16157-2026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46318</v>
      </c>
      <c r="F626" t="inlineStr">
        <is>
          <t>VÄRMLANDS LÄN</t>
        </is>
      </c>
      <c r="G626" t="inlineStr">
        <is>
          <t>HAGFORS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43671-2026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46316</v>
      </c>
      <c r="E627" s="1" t="n">
        <v>46318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46318</v>
      </c>
      <c r="F628" t="inlineStr">
        <is>
          <t>VÄRMLANDS LÄN</t>
        </is>
      </c>
      <c r="G628" t="inlineStr">
        <is>
          <t>HAGFORS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16284-2026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46318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19548-2026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46134</v>
      </c>
      <c r="E630" s="1" t="n">
        <v>46318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37172-2026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46274</v>
      </c>
      <c r="E631" s="1" t="n">
        <v>46318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15587-2026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46106</v>
      </c>
      <c r="E632" s="1" t="n">
        <v>46318</v>
      </c>
      <c r="F632" t="inlineStr">
        <is>
          <t>VÄRMLANDS LÄN</t>
        </is>
      </c>
      <c r="G632" t="inlineStr">
        <is>
          <t>HAGFORS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46275</v>
      </c>
      <c r="E633" s="1" t="n">
        <v>46318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52224-2023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45224</v>
      </c>
      <c r="E634" s="1" t="n">
        <v>46318</v>
      </c>
      <c r="F634" t="inlineStr">
        <is>
          <t>VÄRMLANDS LÄN</t>
        </is>
      </c>
      <c r="G634" t="inlineStr">
        <is>
          <t>HAGFORS</t>
        </is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37269-2026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46274</v>
      </c>
      <c r="E635" s="1" t="n">
        <v>46318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35664-2023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45147</v>
      </c>
      <c r="E636" s="1" t="n">
        <v>46318</v>
      </c>
      <c r="F636" t="inlineStr">
        <is>
          <t>VÄRMLANDS LÄN</t>
        </is>
      </c>
      <c r="G636" t="inlineStr">
        <is>
          <t>HAGFORS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43670-2026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46316</v>
      </c>
      <c r="E637" s="1" t="n">
        <v>46318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17815-2026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46122</v>
      </c>
      <c r="E638" s="1" t="n">
        <v>46318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30153-2026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46318</v>
      </c>
      <c r="F639" t="inlineStr">
        <is>
          <t>VÄRMLANDS LÄN</t>
        </is>
      </c>
      <c r="G639" t="inlineStr">
        <is>
          <t>HAGFORS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43674-2026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46316</v>
      </c>
      <c r="E640" s="1" t="n">
        <v>46318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17843-2026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46122</v>
      </c>
      <c r="E641" s="1" t="n">
        <v>46318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5.4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46318</v>
      </c>
      <c r="F642" t="inlineStr">
        <is>
          <t>VÄRMLANDS LÄN</t>
        </is>
      </c>
      <c r="G642" t="inlineStr">
        <is>
          <t>HAGFORS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30437-2026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46209</v>
      </c>
      <c r="E643" s="1" t="n">
        <v>46318</v>
      </c>
      <c r="F643" t="inlineStr">
        <is>
          <t>VÄRMLANDS LÄN</t>
        </is>
      </c>
      <c r="G643" t="inlineStr">
        <is>
          <t>HAGFORS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39211-2022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44817</v>
      </c>
      <c r="E644" s="1" t="n">
        <v>46318</v>
      </c>
      <c r="F644" t="inlineStr">
        <is>
          <t>VÄRMLANDS LÄN</t>
        </is>
      </c>
      <c r="G644" t="inlineStr">
        <is>
          <t>HAGFORS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46126</v>
      </c>
      <c r="E645" s="1" t="n">
        <v>46318</v>
      </c>
      <c r="F645" t="inlineStr">
        <is>
          <t>VÄRMLANDS LÄN</t>
        </is>
      </c>
      <c r="G645" t="inlineStr">
        <is>
          <t>HAGFORS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43779-2026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46316</v>
      </c>
      <c r="E646" s="1" t="n">
        <v>46318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30433-2026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46209</v>
      </c>
      <c r="E647" s="1" t="n">
        <v>46318</v>
      </c>
      <c r="F647" t="inlineStr">
        <is>
          <t>VÄRMLANDS LÄN</t>
        </is>
      </c>
      <c r="G647" t="inlineStr">
        <is>
          <t>HAGFORS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18895-2026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46129</v>
      </c>
      <c r="E648" s="1" t="n">
        <v>46318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18528-2026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46127</v>
      </c>
      <c r="E649" s="1" t="n">
        <v>46318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18901-2026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46129</v>
      </c>
      <c r="E650" s="1" t="n">
        <v>46318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18797-2026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46128</v>
      </c>
      <c r="E651" s="1" t="n">
        <v>46318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30629-2026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46211</v>
      </c>
      <c r="E652" s="1" t="n">
        <v>46318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30914-2026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46213</v>
      </c>
      <c r="E653" s="1" t="n">
        <v>46318</v>
      </c>
      <c r="F653" t="inlineStr">
        <is>
          <t>VÄRMLANDS LÄN</t>
        </is>
      </c>
      <c r="G653" t="inlineStr">
        <is>
          <t>HAGFORS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19363-2026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46133</v>
      </c>
      <c r="E654" s="1" t="n">
        <v>46318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19339-2026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46133</v>
      </c>
      <c r="E655" s="1" t="n">
        <v>46318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19894-2024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45433</v>
      </c>
      <c r="E656" s="1" t="n">
        <v>46318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19307-2026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46133</v>
      </c>
      <c r="E657" s="1" t="n">
        <v>46318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19350-2026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46133</v>
      </c>
      <c r="E658" s="1" t="n">
        <v>46318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19421-2026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46133</v>
      </c>
      <c r="E659" s="1" t="n">
        <v>46318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19530-2026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46134</v>
      </c>
      <c r="E660" s="1" t="n">
        <v>46318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19459-2026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46133</v>
      </c>
      <c r="E661" s="1" t="n">
        <v>46318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46318</v>
      </c>
      <c r="F662" t="inlineStr">
        <is>
          <t>VÄRMLANDS LÄN</t>
        </is>
      </c>
      <c r="G662" t="inlineStr">
        <is>
          <t>HAGFORS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46225</v>
      </c>
      <c r="E663" s="1" t="n">
        <v>46318</v>
      </c>
      <c r="F663" t="inlineStr">
        <is>
          <t>VÄRMLANDS LÄN</t>
        </is>
      </c>
      <c r="G663" t="inlineStr">
        <is>
          <t>HAGFORS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26777-2023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45093</v>
      </c>
      <c r="E664" s="1" t="n">
        <v>46318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31672-2026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46225</v>
      </c>
      <c r="E665" s="1" t="n">
        <v>46318</v>
      </c>
      <c r="F665" t="inlineStr">
        <is>
          <t>VÄRMLANDS LÄN</t>
        </is>
      </c>
      <c r="G665" t="inlineStr">
        <is>
          <t>HAGFORS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45673</v>
      </c>
      <c r="E666" s="1" t="n">
        <v>46318</v>
      </c>
      <c r="F666" t="inlineStr">
        <is>
          <t>VÄRMLANDS LÄN</t>
        </is>
      </c>
      <c r="G666" t="inlineStr">
        <is>
          <t>HAGFORS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13300-2023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45005</v>
      </c>
      <c r="E667" s="1" t="n">
        <v>46318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33969-2022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44790</v>
      </c>
      <c r="E668" s="1" t="n">
        <v>46318</v>
      </c>
      <c r="F668" t="inlineStr">
        <is>
          <t>VÄRMLANDS LÄN</t>
        </is>
      </c>
      <c r="G668" t="inlineStr">
        <is>
          <t>HAGFORS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25759-2023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45090</v>
      </c>
      <c r="E669" s="1" t="n">
        <v>46318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37497-2026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46275</v>
      </c>
      <c r="E670" s="1" t="n">
        <v>46318</v>
      </c>
      <c r="F670" t="inlineStr">
        <is>
          <t>VÄRMLANDS LÄN</t>
        </is>
      </c>
      <c r="G670" t="inlineStr">
        <is>
          <t>HAGFORS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31660-2022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44776</v>
      </c>
      <c r="E671" s="1" t="n">
        <v>46318</v>
      </c>
      <c r="F671" t="inlineStr">
        <is>
          <t>VÄRMLANDS LÄN</t>
        </is>
      </c>
      <c r="G671" t="inlineStr">
        <is>
          <t>HAGFORS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29372-2023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45106</v>
      </c>
      <c r="E672" s="1" t="n">
        <v>46318</v>
      </c>
      <c r="F672" t="inlineStr">
        <is>
          <t>VÄRMLANDS LÄN</t>
        </is>
      </c>
      <c r="G672" t="inlineStr">
        <is>
          <t>HAGFORS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32043-2026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46233</v>
      </c>
      <c r="E673" s="1" t="n">
        <v>46318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59092-2022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44904</v>
      </c>
      <c r="E674" s="1" t="n">
        <v>46318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46233</v>
      </c>
      <c r="E675" s="1" t="n">
        <v>46318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8.300000000000001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46318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64155-2023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45279</v>
      </c>
      <c r="E677" s="1" t="n">
        <v>46318</v>
      </c>
      <c r="F677" t="inlineStr">
        <is>
          <t>VÄRMLANDS LÄN</t>
        </is>
      </c>
      <c r="G677" t="inlineStr">
        <is>
          <t>HAGFORS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37842-2026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46318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38050-2026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46280</v>
      </c>
      <c r="E679" s="1" t="n">
        <v>46318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38053-2026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46280</v>
      </c>
      <c r="E680" s="1" t="n">
        <v>46318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37963-2026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46280</v>
      </c>
      <c r="E681" s="1" t="n">
        <v>46318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38031-2026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46280</v>
      </c>
      <c r="E682" s="1" t="n">
        <v>46318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37924-2026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46280</v>
      </c>
      <c r="E683" s="1" t="n">
        <v>46318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37914-2026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46280</v>
      </c>
      <c r="E684" s="1" t="n">
        <v>46318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37922-2026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46280</v>
      </c>
      <c r="E685" s="1" t="n">
        <v>46318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38244-2026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46281</v>
      </c>
      <c r="E686" s="1" t="n">
        <v>46318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46282</v>
      </c>
      <c r="E687" s="1" t="n">
        <v>46318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11104-2022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44628</v>
      </c>
      <c r="E688" s="1" t="n">
        <v>46318</v>
      </c>
      <c r="F688" t="inlineStr">
        <is>
          <t>VÄRMLANDS LÄN</t>
        </is>
      </c>
      <c r="G688" t="inlineStr">
        <is>
          <t>HAGFORS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38573-2026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46283</v>
      </c>
      <c r="E689" s="1" t="n">
        <v>46318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38404-2026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46282</v>
      </c>
      <c r="E690" s="1" t="n">
        <v>46318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46283</v>
      </c>
      <c r="E691" s="1" t="n">
        <v>46318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32507-2026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46239</v>
      </c>
      <c r="E692" s="1" t="n">
        <v>46318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29855-2023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45107</v>
      </c>
      <c r="E693" s="1" t="n">
        <v>46318</v>
      </c>
      <c r="F693" t="inlineStr">
        <is>
          <t>VÄRMLANDS LÄN</t>
        </is>
      </c>
      <c r="G693" t="inlineStr">
        <is>
          <t>HAGFORS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16824-2023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45033</v>
      </c>
      <c r="E694" s="1" t="n">
        <v>46318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47027-2023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45201</v>
      </c>
      <c r="E695" s="1" t="n">
        <v>46318</v>
      </c>
      <c r="F695" t="inlineStr">
        <is>
          <t>VÄRMLANDS LÄN</t>
        </is>
      </c>
      <c r="G695" t="inlineStr">
        <is>
          <t>HAGFORS</t>
        </is>
      </c>
      <c r="I695" t="n">
        <v>7.7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47033-2023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45201</v>
      </c>
      <c r="E696" s="1" t="n">
        <v>46318</v>
      </c>
      <c r="F696" t="inlineStr">
        <is>
          <t>VÄRMLANDS LÄN</t>
        </is>
      </c>
      <c r="G696" t="inlineStr">
        <is>
          <t>HAGFORS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38477-2026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46318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32483-2026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46239</v>
      </c>
      <c r="E698" s="1" t="n">
        <v>46318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46318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19.3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38645-2026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46283</v>
      </c>
      <c r="E700" s="1" t="n">
        <v>46318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18.6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57162-2024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45629</v>
      </c>
      <c r="E701" s="1" t="n">
        <v>46318</v>
      </c>
      <c r="F701" t="inlineStr">
        <is>
          <t>VÄRMLANDS LÄN</t>
        </is>
      </c>
      <c r="G701" t="inlineStr">
        <is>
          <t>HAGFORS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56884-2023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45244</v>
      </c>
      <c r="E702" s="1" t="n">
        <v>46318</v>
      </c>
      <c r="F702" t="inlineStr">
        <is>
          <t>VÄRMLANDS LÄN</t>
        </is>
      </c>
      <c r="G702" t="inlineStr">
        <is>
          <t>HAGFORS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32535-2026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46239</v>
      </c>
      <c r="E703" s="1" t="n">
        <v>46318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38342-2026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46282</v>
      </c>
      <c r="E704" s="1" t="n">
        <v>46318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2315-2024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45310</v>
      </c>
      <c r="E705" s="1" t="n">
        <v>46318</v>
      </c>
      <c r="F705" t="inlineStr">
        <is>
          <t>VÄRMLANDS LÄN</t>
        </is>
      </c>
      <c r="G705" t="inlineStr">
        <is>
          <t>HAGFORS</t>
        </is>
      </c>
      <c r="H705" t="inlineStr">
        <is>
          <t>Kyrkan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46318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46282</v>
      </c>
      <c r="E707" s="1" t="n">
        <v>46318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16.6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39070-2026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46287</v>
      </c>
      <c r="E708" s="1" t="n">
        <v>46318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46190-2024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45581</v>
      </c>
      <c r="E709" s="1" t="n">
        <v>46318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46318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39186-2026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46287</v>
      </c>
      <c r="E711" s="1" t="n">
        <v>46318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7.3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32712-2026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46241</v>
      </c>
      <c r="E712" s="1" t="n">
        <v>46318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19056-2026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46318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28654-2023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45103</v>
      </c>
      <c r="E714" s="1" t="n">
        <v>46318</v>
      </c>
      <c r="F714" t="inlineStr">
        <is>
          <t>VÄRMLANDS LÄN</t>
        </is>
      </c>
      <c r="G714" t="inlineStr">
        <is>
          <t>HAGFORS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32713-2026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46241</v>
      </c>
      <c r="E715" s="1" t="n">
        <v>46318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7.5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56466-2024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45625</v>
      </c>
      <c r="E716" s="1" t="n">
        <v>46318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39116-2026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46287</v>
      </c>
      <c r="E717" s="1" t="n">
        <v>46318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9763-2025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45716</v>
      </c>
      <c r="E718" s="1" t="n">
        <v>46318</v>
      </c>
      <c r="F718" t="inlineStr">
        <is>
          <t>VÄRMLANDS LÄN</t>
        </is>
      </c>
      <c r="G718" t="inlineStr">
        <is>
          <t>HAGFORS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32721-2026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46241</v>
      </c>
      <c r="E719" s="1" t="n">
        <v>46318</v>
      </c>
      <c r="F719" t="inlineStr">
        <is>
          <t>VÄRMLANDS LÄN</t>
        </is>
      </c>
      <c r="G719" t="inlineStr">
        <is>
          <t>HAGFORS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30180-2022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44757</v>
      </c>
      <c r="E720" s="1" t="n">
        <v>46318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61304-2023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45264</v>
      </c>
      <c r="E721" s="1" t="n">
        <v>46318</v>
      </c>
      <c r="F721" t="inlineStr">
        <is>
          <t>VÄRMLANDS LÄN</t>
        </is>
      </c>
      <c r="G721" t="inlineStr">
        <is>
          <t>HAGFORS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4047-2024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45323</v>
      </c>
      <c r="E722" s="1" t="n">
        <v>46318</v>
      </c>
      <c r="F722" t="inlineStr">
        <is>
          <t>VÄRMLANDS LÄN</t>
        </is>
      </c>
      <c r="G722" t="inlineStr">
        <is>
          <t>HAGFORS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46289</v>
      </c>
      <c r="E723" s="1" t="n">
        <v>46318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39345-2026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46288</v>
      </c>
      <c r="E724" s="1" t="n">
        <v>46318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39347-2026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46288</v>
      </c>
      <c r="E725" s="1" t="n">
        <v>46318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8.5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39382-2026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46288</v>
      </c>
      <c r="E726" s="1" t="n">
        <v>46318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39532-2026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46289</v>
      </c>
      <c r="E727" s="1" t="n">
        <v>46318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39577-2026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46289</v>
      </c>
      <c r="E728" s="1" t="n">
        <v>46318</v>
      </c>
      <c r="F728" t="inlineStr">
        <is>
          <t>VÄRMLANDS LÄN</t>
        </is>
      </c>
      <c r="G728" t="inlineStr">
        <is>
          <t>HAGFORS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39605-2026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46289</v>
      </c>
      <c r="E729" s="1" t="n">
        <v>46318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33073-2026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46245</v>
      </c>
      <c r="E730" s="1" t="n">
        <v>46318</v>
      </c>
      <c r="F730" t="inlineStr">
        <is>
          <t>VÄRMLANDS LÄN</t>
        </is>
      </c>
      <c r="G730" t="inlineStr">
        <is>
          <t>HAGFORS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18699-2022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44687</v>
      </c>
      <c r="E731" s="1" t="n">
        <v>46318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20.2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33635-2026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46248</v>
      </c>
      <c r="E732" s="1" t="n">
        <v>46318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35888-2023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45148</v>
      </c>
      <c r="E733" s="1" t="n">
        <v>46318</v>
      </c>
      <c r="F733" t="inlineStr">
        <is>
          <t>VÄRMLANDS LÄN</t>
        </is>
      </c>
      <c r="G733" t="inlineStr">
        <is>
          <t>HAGFORS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39706-2026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46290</v>
      </c>
      <c r="E734" s="1" t="n">
        <v>46318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39727-2026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46290</v>
      </c>
      <c r="E735" s="1" t="n">
        <v>46318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40191-2026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46318</v>
      </c>
      <c r="F736" t="inlineStr">
        <is>
          <t>VÄRMLANDS LÄN</t>
        </is>
      </c>
      <c r="G736" t="inlineStr">
        <is>
          <t>HAGFORS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46293</v>
      </c>
      <c r="E737" s="1" t="n">
        <v>46318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40163-2026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46293</v>
      </c>
      <c r="E738" s="1" t="n">
        <v>46318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13635-2024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45390</v>
      </c>
      <c r="E739" s="1" t="n">
        <v>46318</v>
      </c>
      <c r="F739" t="inlineStr">
        <is>
          <t>VÄRMLANDS LÄN</t>
        </is>
      </c>
      <c r="G739" t="inlineStr">
        <is>
          <t>HAGFORS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39708-2026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46290</v>
      </c>
      <c r="E740" s="1" t="n">
        <v>46318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40174-2026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46293</v>
      </c>
      <c r="E741" s="1" t="n">
        <v>46318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46293</v>
      </c>
      <c r="E742" s="1" t="n">
        <v>46318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36030-2023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45149</v>
      </c>
      <c r="E743" s="1" t="n">
        <v>46318</v>
      </c>
      <c r="F743" t="inlineStr">
        <is>
          <t>VÄRMLANDS LÄN</t>
        </is>
      </c>
      <c r="G743" t="inlineStr">
        <is>
          <t>HAGFORS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40203-2026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46318</v>
      </c>
      <c r="F744" t="inlineStr">
        <is>
          <t>VÄRMLANDS LÄN</t>
        </is>
      </c>
      <c r="G744" t="inlineStr">
        <is>
          <t>HAGFORS</t>
        </is>
      </c>
      <c r="I744" t="n">
        <v>6.4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40205-2026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46290</v>
      </c>
      <c r="E745" s="1" t="n">
        <v>46318</v>
      </c>
      <c r="F745" t="inlineStr">
        <is>
          <t>VÄRMLANDS LÄN</t>
        </is>
      </c>
      <c r="G745" t="inlineStr">
        <is>
          <t>HAGFORS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35065-2023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45145</v>
      </c>
      <c r="E746" s="1" t="n">
        <v>46318</v>
      </c>
      <c r="F746" t="inlineStr">
        <is>
          <t>VÄRMLANDS LÄN</t>
        </is>
      </c>
      <c r="G746" t="inlineStr">
        <is>
          <t>HAGFORS</t>
        </is>
      </c>
      <c r="I746" t="n">
        <v>13.5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38132-2022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44812</v>
      </c>
      <c r="E747" s="1" t="n">
        <v>46318</v>
      </c>
      <c r="F747" t="inlineStr">
        <is>
          <t>VÄRMLANDS LÄN</t>
        </is>
      </c>
      <c r="G747" t="inlineStr">
        <is>
          <t>HAGFORS</t>
        </is>
      </c>
      <c r="H747" t="inlineStr">
        <is>
          <t>Kyrkan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40148-2026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46293</v>
      </c>
      <c r="E748" s="1" t="n">
        <v>46318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39825-2026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46290</v>
      </c>
      <c r="E749" s="1" t="n">
        <v>46318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46318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40188-2026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46293</v>
      </c>
      <c r="E751" s="1" t="n">
        <v>46318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33515-2026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46248</v>
      </c>
      <c r="E752" s="1" t="n">
        <v>46318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6.5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40130-2026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46293</v>
      </c>
      <c r="E753" s="1" t="n">
        <v>46318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40157-2026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46318</v>
      </c>
      <c r="F754" t="inlineStr">
        <is>
          <t>VÄRMLANDS LÄN</t>
        </is>
      </c>
      <c r="G754" t="inlineStr">
        <is>
          <t>HAGFORS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33627-2026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46248</v>
      </c>
      <c r="E755" s="1" t="n">
        <v>46318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39881-2026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46318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39396-2023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45166</v>
      </c>
      <c r="E757" s="1" t="n">
        <v>46318</v>
      </c>
      <c r="F757" t="inlineStr">
        <is>
          <t>VÄRMLANDS LÄN</t>
        </is>
      </c>
      <c r="G757" t="inlineStr">
        <is>
          <t>HAGFORS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32031-2024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45510</v>
      </c>
      <c r="E758" s="1" t="n">
        <v>46318</v>
      </c>
      <c r="F758" t="inlineStr">
        <is>
          <t>VÄRMLANDS LÄN</t>
        </is>
      </c>
      <c r="G758" t="inlineStr">
        <is>
          <t>HAGFORS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40207-2026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46318</v>
      </c>
      <c r="F759" t="inlineStr">
        <is>
          <t>VÄRMLANDS LÄN</t>
        </is>
      </c>
      <c r="G759" t="inlineStr">
        <is>
          <t>HAGFORS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40209-2026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46290</v>
      </c>
      <c r="E760" s="1" t="n">
        <v>46318</v>
      </c>
      <c r="F760" t="inlineStr">
        <is>
          <t>VÄRMLANDS LÄN</t>
        </is>
      </c>
      <c r="G760" t="inlineStr">
        <is>
          <t>HAGFORS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15538-2024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45401</v>
      </c>
      <c r="E761" s="1" t="n">
        <v>46318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18472-2024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45425</v>
      </c>
      <c r="E762" s="1" t="n">
        <v>46318</v>
      </c>
      <c r="F762" t="inlineStr">
        <is>
          <t>VÄRMLANDS LÄN</t>
        </is>
      </c>
      <c r="G762" t="inlineStr">
        <is>
          <t>HAGFORS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60974-2024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45645</v>
      </c>
      <c r="E763" s="1" t="n">
        <v>46318</v>
      </c>
      <c r="F763" t="inlineStr">
        <is>
          <t>VÄRMLANDS LÄN</t>
        </is>
      </c>
      <c r="G763" t="inlineStr">
        <is>
          <t>HAGFORS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62546-2022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44924</v>
      </c>
      <c r="E764" s="1" t="n">
        <v>46318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40436-2026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46294</v>
      </c>
      <c r="E765" s="1" t="n">
        <v>46318</v>
      </c>
      <c r="F765" t="inlineStr">
        <is>
          <t>VÄRMLANDS LÄN</t>
        </is>
      </c>
      <c r="G765" t="inlineStr">
        <is>
          <t>HAGFORS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6478-2025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45699</v>
      </c>
      <c r="E766" s="1" t="n">
        <v>46318</v>
      </c>
      <c r="F766" t="inlineStr">
        <is>
          <t>VÄRMLANDS LÄN</t>
        </is>
      </c>
      <c r="G766" t="inlineStr">
        <is>
          <t>HAGFORS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40538-2026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46295</v>
      </c>
      <c r="E767" s="1" t="n">
        <v>46318</v>
      </c>
      <c r="F767" t="inlineStr">
        <is>
          <t>VÄRMLANDS LÄN</t>
        </is>
      </c>
      <c r="G767" t="inlineStr">
        <is>
          <t>HAGFORS</t>
        </is>
      </c>
      <c r="H767" t="inlineStr">
        <is>
          <t>Kommuner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40259-2026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46294</v>
      </c>
      <c r="E768" s="1" t="n">
        <v>46318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15.3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33833-2026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46251</v>
      </c>
      <c r="E769" s="1" t="n">
        <v>46318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5.8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44951</v>
      </c>
      <c r="E770" s="1" t="n">
        <v>46318</v>
      </c>
      <c r="F770" t="inlineStr">
        <is>
          <t>VÄRMLANDS LÄN</t>
        </is>
      </c>
      <c r="G770" t="inlineStr">
        <is>
          <t>HAGFORS</t>
        </is>
      </c>
      <c r="H770" t="inlineStr">
        <is>
          <t>Kyrkan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46252</v>
      </c>
      <c r="E771" s="1" t="n">
        <v>46318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40547-2026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46295</v>
      </c>
      <c r="E772" s="1" t="n">
        <v>46318</v>
      </c>
      <c r="F772" t="inlineStr">
        <is>
          <t>VÄRMLANDS LÄN</t>
        </is>
      </c>
      <c r="G772" t="inlineStr">
        <is>
          <t>HAGFORS</t>
        </is>
      </c>
      <c r="H772" t="inlineStr">
        <is>
          <t>Kommuner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40537-2026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46295</v>
      </c>
      <c r="E773" s="1" t="n">
        <v>46318</v>
      </c>
      <c r="F773" t="inlineStr">
        <is>
          <t>VÄRMLANDS LÄN</t>
        </is>
      </c>
      <c r="G773" t="inlineStr">
        <is>
          <t>HAGFORS</t>
        </is>
      </c>
      <c r="H773" t="inlineStr">
        <is>
          <t>Kommuner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40428-2026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46294</v>
      </c>
      <c r="E774" s="1" t="n">
        <v>46318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40440-2026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46294</v>
      </c>
      <c r="E775" s="1" t="n">
        <v>46318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20081-2025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45772</v>
      </c>
      <c r="E776" s="1" t="n">
        <v>46318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40351-2026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46294</v>
      </c>
      <c r="E777" s="1" t="n">
        <v>46318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46254</v>
      </c>
      <c r="E778" s="1" t="n">
        <v>46318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34399-2026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46254</v>
      </c>
      <c r="E779" s="1" t="n">
        <v>46318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61818-2023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45266</v>
      </c>
      <c r="E780" s="1" t="n">
        <v>46318</v>
      </c>
      <c r="F780" t="inlineStr">
        <is>
          <t>VÄRMLANDS LÄN</t>
        </is>
      </c>
      <c r="G780" t="inlineStr">
        <is>
          <t>HAGFORS</t>
        </is>
      </c>
      <c r="I780" t="n">
        <v>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45684</v>
      </c>
      <c r="E781" s="1" t="n">
        <v>46318</v>
      </c>
      <c r="F781" t="inlineStr">
        <is>
          <t>VÄRMLANDS LÄN</t>
        </is>
      </c>
      <c r="G781" t="inlineStr">
        <is>
          <t>HAGFORS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12434-2022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44638</v>
      </c>
      <c r="E782" s="1" t="n">
        <v>46318</v>
      </c>
      <c r="F782" t="inlineStr">
        <is>
          <t>VÄRMLANDS LÄN</t>
        </is>
      </c>
      <c r="G782" t="inlineStr">
        <is>
          <t>HAGFORS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34456-2026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46254</v>
      </c>
      <c r="E783" s="1" t="n">
        <v>46318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8.800000000000001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40692-2022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44824</v>
      </c>
      <c r="E784" s="1" t="n">
        <v>46318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7.2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33821-2026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46251</v>
      </c>
      <c r="E785" s="1" t="n">
        <v>46318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14.4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34552-2026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46255</v>
      </c>
      <c r="E786" s="1" t="n">
        <v>46318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5.9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47021-2023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45201</v>
      </c>
      <c r="E787" s="1" t="n">
        <v>46318</v>
      </c>
      <c r="F787" t="inlineStr">
        <is>
          <t>VÄRMLANDS LÄN</t>
        </is>
      </c>
      <c r="G787" t="inlineStr">
        <is>
          <t>HAGFORS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41050-2026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46300</v>
      </c>
      <c r="E788" s="1" t="n">
        <v>46318</v>
      </c>
      <c r="F788" t="inlineStr">
        <is>
          <t>VÄRMLANDS LÄN</t>
        </is>
      </c>
      <c r="G788" t="inlineStr">
        <is>
          <t>HAGFORS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34797-2026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46318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6.8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71447-2021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44540</v>
      </c>
      <c r="E790" s="1" t="n">
        <v>46318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41057-2026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46300</v>
      </c>
      <c r="E791" s="1" t="n">
        <v>46318</v>
      </c>
      <c r="F791" t="inlineStr">
        <is>
          <t>VÄRMLANDS LÄN</t>
        </is>
      </c>
      <c r="G791" t="inlineStr">
        <is>
          <t>HAGFORS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10297-2025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45720</v>
      </c>
      <c r="E792" s="1" t="n">
        <v>46318</v>
      </c>
      <c r="F792" t="inlineStr">
        <is>
          <t>VÄRMLANDS LÄN</t>
        </is>
      </c>
      <c r="G792" t="inlineStr">
        <is>
          <t>HAGFORS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32627-2023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45121</v>
      </c>
      <c r="E793" s="1" t="n">
        <v>46318</v>
      </c>
      <c r="F793" t="inlineStr">
        <is>
          <t>VÄRMLANDS LÄN</t>
        </is>
      </c>
      <c r="G793" t="inlineStr">
        <is>
          <t>HAGFORS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45684</v>
      </c>
      <c r="E794" s="1" t="n">
        <v>46318</v>
      </c>
      <c r="F794" t="inlineStr">
        <is>
          <t>VÄRMLANDS LÄN</t>
        </is>
      </c>
      <c r="G794" t="inlineStr">
        <is>
          <t>HAGFORS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31812-2024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45509</v>
      </c>
      <c r="E795" s="1" t="n">
        <v>46318</v>
      </c>
      <c r="F795" t="inlineStr">
        <is>
          <t>VÄRMLANDS LÄN</t>
        </is>
      </c>
      <c r="G795" t="inlineStr">
        <is>
          <t>HAGFORS</t>
        </is>
      </c>
      <c r="H795" t="inlineStr">
        <is>
          <t>Kommuner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55758-2024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45623</v>
      </c>
      <c r="E796" s="1" t="n">
        <v>46318</v>
      </c>
      <c r="F796" t="inlineStr">
        <is>
          <t>VÄRMLANDS LÄN</t>
        </is>
      </c>
      <c r="G796" t="inlineStr">
        <is>
          <t>HAGFORS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1464-2023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44937</v>
      </c>
      <c r="E797" s="1" t="n">
        <v>46318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25349-2023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45087</v>
      </c>
      <c r="E798" s="1" t="n">
        <v>46318</v>
      </c>
      <c r="F798" t="inlineStr">
        <is>
          <t>VÄRMLANDS LÄN</t>
        </is>
      </c>
      <c r="G798" t="inlineStr">
        <is>
          <t>HAGFORS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41119-2026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46300</v>
      </c>
      <c r="E799" s="1" t="n">
        <v>46318</v>
      </c>
      <c r="F799" t="inlineStr">
        <is>
          <t>VÄRMLANDS LÄN</t>
        </is>
      </c>
      <c r="G799" t="inlineStr">
        <is>
          <t>HAGFORS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35088-2024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45527</v>
      </c>
      <c r="E800" s="1" t="n">
        <v>46318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46318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46318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44938</v>
      </c>
      <c r="E803" s="1" t="n">
        <v>46318</v>
      </c>
      <c r="F803" t="inlineStr">
        <is>
          <t>VÄRMLANDS LÄN</t>
        </is>
      </c>
      <c r="G803" t="inlineStr">
        <is>
          <t>HAGFORS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29373-2023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45106</v>
      </c>
      <c r="E804" s="1" t="n">
        <v>46318</v>
      </c>
      <c r="F804" t="inlineStr">
        <is>
          <t>VÄRMLANDS LÄN</t>
        </is>
      </c>
      <c r="G804" t="inlineStr">
        <is>
          <t>HAGFORS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35184-2026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46260</v>
      </c>
      <c r="E805" s="1" t="n">
        <v>46318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11126-2024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45371</v>
      </c>
      <c r="E806" s="1" t="n">
        <v>46318</v>
      </c>
      <c r="F806" t="inlineStr">
        <is>
          <t>VÄRMLANDS LÄN</t>
        </is>
      </c>
      <c r="G806" t="inlineStr">
        <is>
          <t>HAGFORS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8842-2025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45713</v>
      </c>
      <c r="E807" s="1" t="n">
        <v>46318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41581-2026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46301</v>
      </c>
      <c r="E808" s="1" t="n">
        <v>46318</v>
      </c>
      <c r="F808" t="inlineStr">
        <is>
          <t>VÄRMLANDS LÄN</t>
        </is>
      </c>
      <c r="G808" t="inlineStr">
        <is>
          <t>HAGFORS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35173-2026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46260</v>
      </c>
      <c r="E809" s="1" t="n">
        <v>46318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18.2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53192-2022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44876</v>
      </c>
      <c r="E810" s="1" t="n">
        <v>46318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24638-2023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45084</v>
      </c>
      <c r="E811" s="1" t="n">
        <v>46318</v>
      </c>
      <c r="F811" t="inlineStr">
        <is>
          <t>VÄRMLANDS LÄN</t>
        </is>
      </c>
      <c r="G811" t="inlineStr">
        <is>
          <t>HAGFORS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61902-2021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44502</v>
      </c>
      <c r="E812" s="1" t="n">
        <v>46318</v>
      </c>
      <c r="F812" t="inlineStr">
        <is>
          <t>VÄRMLANDS LÄN</t>
        </is>
      </c>
      <c r="G812" t="inlineStr">
        <is>
          <t>HAGFORS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40176-2026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46290</v>
      </c>
      <c r="E813" s="1" t="n">
        <v>46318</v>
      </c>
      <c r="F813" t="inlineStr">
        <is>
          <t>VÄRMLANDS LÄN</t>
        </is>
      </c>
      <c r="G813" t="inlineStr">
        <is>
          <t>HAGFORS</t>
        </is>
      </c>
      <c r="I813" t="n">
        <v>14.3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35186-2026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46260</v>
      </c>
      <c r="E814" s="1" t="n">
        <v>46318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42263-2026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46307</v>
      </c>
      <c r="E815" s="1" t="n">
        <v>46318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42259-2026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46307</v>
      </c>
      <c r="E816" s="1" t="n">
        <v>46318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42329-2026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46307</v>
      </c>
      <c r="E817" s="1" t="n">
        <v>46318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35574-2026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46262</v>
      </c>
      <c r="E818" s="1" t="n">
        <v>46318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42279-2026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46307</v>
      </c>
      <c r="E819" s="1" t="n">
        <v>46318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35310-2026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46318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14.9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42235-2024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45562</v>
      </c>
      <c r="E821" s="1" t="n">
        <v>46318</v>
      </c>
      <c r="F821" t="inlineStr">
        <is>
          <t>VÄRMLANDS LÄN</t>
        </is>
      </c>
      <c r="G821" t="inlineStr">
        <is>
          <t>HAGFORS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46318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17584-2023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45036</v>
      </c>
      <c r="E823" s="1" t="n">
        <v>46318</v>
      </c>
      <c r="F823" t="inlineStr">
        <is>
          <t>VÄRMLANDS LÄN</t>
        </is>
      </c>
      <c r="G823" t="inlineStr">
        <is>
          <t>HAGFORS</t>
        </is>
      </c>
      <c r="H823" t="inlineStr">
        <is>
          <t>Kommuner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54929-2024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45618</v>
      </c>
      <c r="E824" s="1" t="n">
        <v>46318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8496-2022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44613</v>
      </c>
      <c r="E825" s="1" t="n">
        <v>46318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42314-2026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46307</v>
      </c>
      <c r="E826" s="1" t="n">
        <v>46318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61169-2024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45645</v>
      </c>
      <c r="E827" s="1" t="n">
        <v>46318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42260-2026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46307</v>
      </c>
      <c r="E828" s="1" t="n">
        <v>46318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16.8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42264-2026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46307</v>
      </c>
      <c r="E829" s="1" t="n">
        <v>46318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24814-2024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45461</v>
      </c>
      <c r="E830" s="1" t="n">
        <v>46318</v>
      </c>
      <c r="F830" t="inlineStr">
        <is>
          <t>VÄRMLANDS LÄN</t>
        </is>
      </c>
      <c r="G830" t="inlineStr">
        <is>
          <t>HAGFORS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42492-2026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46308</v>
      </c>
      <c r="E831" s="1" t="n">
        <v>46318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6.1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35781-2026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46265</v>
      </c>
      <c r="E832" s="1" t="n">
        <v>46318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42625-2026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46309</v>
      </c>
      <c r="E833" s="1" t="n">
        <v>46318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36293-2023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45152</v>
      </c>
      <c r="E834" s="1" t="n">
        <v>46318</v>
      </c>
      <c r="F834" t="inlineStr">
        <is>
          <t>VÄRMLANDS LÄN</t>
        </is>
      </c>
      <c r="G834" t="inlineStr">
        <is>
          <t>HAGFORS</t>
        </is>
      </c>
      <c r="I834" t="n">
        <v>5.9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35749-2026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46265</v>
      </c>
      <c r="E835" s="1" t="n">
        <v>46318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42737-2026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46309</v>
      </c>
      <c r="E836" s="1" t="n">
        <v>46318</v>
      </c>
      <c r="F836" t="inlineStr">
        <is>
          <t>VÄRMLANDS LÄN</t>
        </is>
      </c>
      <c r="G836" t="inlineStr">
        <is>
          <t>HAGFORS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42691-2026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46309</v>
      </c>
      <c r="E837" s="1" t="n">
        <v>46318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20444-2024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45435</v>
      </c>
      <c r="E838" s="1" t="n">
        <v>46318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5.7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35886-2023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45148</v>
      </c>
      <c r="E839" s="1" t="n">
        <v>46318</v>
      </c>
      <c r="F839" t="inlineStr">
        <is>
          <t>VÄRMLANDS LÄN</t>
        </is>
      </c>
      <c r="G839" t="inlineStr">
        <is>
          <t>HAGFORS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42637-2026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46309</v>
      </c>
      <c r="E840" s="1" t="n">
        <v>46318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42776-2026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46309</v>
      </c>
      <c r="E841" s="1" t="n">
        <v>46318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36240-2026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46268</v>
      </c>
      <c r="E842" s="1" t="n">
        <v>46318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8.800000000000001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59048-2022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44903</v>
      </c>
      <c r="E843" s="1" t="n">
        <v>46318</v>
      </c>
      <c r="F843" t="inlineStr">
        <is>
          <t>VÄRMLANDS LÄN</t>
        </is>
      </c>
      <c r="G843" t="inlineStr">
        <is>
          <t>HAGFORS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43029-2026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46311</v>
      </c>
      <c r="E844" s="1" t="n">
        <v>46318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15.9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36055-2026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46267</v>
      </c>
      <c r="E845" s="1" t="n">
        <v>46318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9.699999999999999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36110-2026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46267</v>
      </c>
      <c r="E846" s="1" t="n">
        <v>46318</v>
      </c>
      <c r="F846" t="inlineStr">
        <is>
          <t>VÄRMLANDS LÄN</t>
        </is>
      </c>
      <c r="G846" t="inlineStr">
        <is>
          <t>HAGFORS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21155-2023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45057</v>
      </c>
      <c r="E847" s="1" t="n">
        <v>46318</v>
      </c>
      <c r="F847" t="inlineStr">
        <is>
          <t>VÄRMLANDS LÄN</t>
        </is>
      </c>
      <c r="G847" t="inlineStr">
        <is>
          <t>HAGFORS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17884-2025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45758</v>
      </c>
      <c r="E848" s="1" t="n">
        <v>46318</v>
      </c>
      <c r="F848" t="inlineStr">
        <is>
          <t>VÄRMLANDS LÄN</t>
        </is>
      </c>
      <c r="G848" t="inlineStr">
        <is>
          <t>HAGFORS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19554-2024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45429</v>
      </c>
      <c r="E849" s="1" t="n">
        <v>46318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30710-2022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44763</v>
      </c>
      <c r="E850" s="1" t="n">
        <v>46318</v>
      </c>
      <c r="F850" t="inlineStr">
        <is>
          <t>VÄRMLANDS LÄN</t>
        </is>
      </c>
      <c r="G850" t="inlineStr">
        <is>
          <t>HAGFORS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52830-2023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45226</v>
      </c>
      <c r="E851" s="1" t="n">
        <v>46318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28087-2024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45476</v>
      </c>
      <c r="E852" s="1" t="n">
        <v>46318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18213-2024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45420</v>
      </c>
      <c r="E853" s="1" t="n">
        <v>46318</v>
      </c>
      <c r="F853" t="inlineStr">
        <is>
          <t>VÄRMLANDS LÄN</t>
        </is>
      </c>
      <c r="G853" t="inlineStr">
        <is>
          <t>HAGFORS</t>
        </is>
      </c>
      <c r="I853" t="n">
        <v>11.5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10382-2025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45720</v>
      </c>
      <c r="E854" s="1" t="n">
        <v>46318</v>
      </c>
      <c r="F854" t="inlineStr">
        <is>
          <t>VÄRMLANDS LÄN</t>
        </is>
      </c>
      <c r="G854" t="inlineStr">
        <is>
          <t>HAGFORS</t>
        </is>
      </c>
      <c r="I854" t="n">
        <v>4.7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6437-2024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45338</v>
      </c>
      <c r="E855" s="1" t="n">
        <v>46318</v>
      </c>
      <c r="F855" t="inlineStr">
        <is>
          <t>VÄRMLANDS LÄN</t>
        </is>
      </c>
      <c r="G855" t="inlineStr">
        <is>
          <t>HAGFORS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9795-2023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44984</v>
      </c>
      <c r="E856" s="1" t="n">
        <v>46318</v>
      </c>
      <c r="F856" t="inlineStr">
        <is>
          <t>VÄRMLANDS LÄN</t>
        </is>
      </c>
      <c r="G856" t="inlineStr">
        <is>
          <t>HAGFORS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34540-2024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45525</v>
      </c>
      <c r="E857" s="1" t="n">
        <v>46318</v>
      </c>
      <c r="F857" t="inlineStr">
        <is>
          <t>VÄRMLANDS LÄN</t>
        </is>
      </c>
      <c r="G857" t="inlineStr">
        <is>
          <t>HAGFORS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35994-2024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45533</v>
      </c>
      <c r="E858" s="1" t="n">
        <v>46318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65065-2023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45287</v>
      </c>
      <c r="E859" s="1" t="n">
        <v>46318</v>
      </c>
      <c r="F859" t="inlineStr">
        <is>
          <t>VÄRMLANDS LÄN</t>
        </is>
      </c>
      <c r="G859" t="inlineStr">
        <is>
          <t>HAGFORS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53443-2024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45614</v>
      </c>
      <c r="E860" s="1" t="n">
        <v>46318</v>
      </c>
      <c r="F860" t="inlineStr">
        <is>
          <t>VÄRMLANDS LÄN</t>
        </is>
      </c>
      <c r="G860" t="inlineStr">
        <is>
          <t>HAGFORS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52923-2023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45226</v>
      </c>
      <c r="E861" s="1" t="n">
        <v>46318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19072-2025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45765</v>
      </c>
      <c r="E862" s="1" t="n">
        <v>46318</v>
      </c>
      <c r="F862" t="inlineStr">
        <is>
          <t>VÄRMLANDS LÄN</t>
        </is>
      </c>
      <c r="G862" t="inlineStr">
        <is>
          <t>HAGFORS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51915-2023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45223</v>
      </c>
      <c r="E863" s="1" t="n">
        <v>46318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56165-2024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45624</v>
      </c>
      <c r="E864" s="1" t="n">
        <v>46318</v>
      </c>
      <c r="F864" t="inlineStr">
        <is>
          <t>VÄRMLANDS LÄN</t>
        </is>
      </c>
      <c r="G864" t="inlineStr">
        <is>
          <t>HAGFORS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14435-2025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45741</v>
      </c>
      <c r="E865" s="1" t="n">
        <v>46318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27826-2024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45475</v>
      </c>
      <c r="E866" s="1" t="n">
        <v>46318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27827-2024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45475</v>
      </c>
      <c r="E867" s="1" t="n">
        <v>46318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36206-2024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45534</v>
      </c>
      <c r="E868" s="1" t="n">
        <v>46318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36228-2024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45534</v>
      </c>
      <c r="E869" s="1" t="n">
        <v>46318</v>
      </c>
      <c r="F869" t="inlineStr">
        <is>
          <t>VÄRMLANDS LÄN</t>
        </is>
      </c>
      <c r="G869" t="inlineStr">
        <is>
          <t>HAGFORS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3149-2022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44582</v>
      </c>
      <c r="E870" s="1" t="n">
        <v>46318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20103-2024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45434</v>
      </c>
      <c r="E871" s="1" t="n">
        <v>46318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11180-2025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45725</v>
      </c>
      <c r="E872" s="1" t="n">
        <v>46318</v>
      </c>
      <c r="F872" t="inlineStr">
        <is>
          <t>VÄRMLANDS LÄN</t>
        </is>
      </c>
      <c r="G872" t="inlineStr">
        <is>
          <t>HAGFORS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15270-2024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45400</v>
      </c>
      <c r="E873" s="1" t="n">
        <v>46318</v>
      </c>
      <c r="F873" t="inlineStr">
        <is>
          <t>VÄRMLANDS LÄN</t>
        </is>
      </c>
      <c r="G873" t="inlineStr">
        <is>
          <t>HAGFORS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46426-2024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45582</v>
      </c>
      <c r="E874" s="1" t="n">
        <v>46318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15.8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594-2022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44567</v>
      </c>
      <c r="E875" s="1" t="n">
        <v>46318</v>
      </c>
      <c r="F875" t="inlineStr">
        <is>
          <t>VÄRMLANDS LÄN</t>
        </is>
      </c>
      <c r="G875" t="inlineStr">
        <is>
          <t>HAGFORS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34636-2024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45526</v>
      </c>
      <c r="E876" s="1" t="n">
        <v>46318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2225-2020</t>
        </is>
      </c>
      <c r="B877" t="inlineStr">
        <is>
          <t>samrådsanmälan</t>
        </is>
      </c>
      <c r="C877" t="inlineStr">
        <is>
          <t>Åtgärd i nyckelbiotop</t>
        </is>
      </c>
      <c r="D877" s="1" t="n">
        <v>44127</v>
      </c>
      <c r="E877" s="1" t="n">
        <v>46318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2050-2022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44671</v>
      </c>
      <c r="E878" s="1" t="n">
        <v>46318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4419-2023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46318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35.6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4420-2023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45266</v>
      </c>
      <c r="E880" s="1" t="n">
        <v>46318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44.2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937-2022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44606</v>
      </c>
      <c r="E881" s="1" t="n">
        <v>46318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59.4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4426-2023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45266</v>
      </c>
      <c r="E882" s="1" t="n">
        <v>46318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9.699999999999999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5512-2022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44834</v>
      </c>
      <c r="E883" s="1" t="n">
        <v>46318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29.9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931-2022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44606</v>
      </c>
      <c r="E884" s="1" t="n">
        <v>46318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49.5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4415-2023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46318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9.199999999999999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262-2022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44578</v>
      </c>
      <c r="E886" s="1" t="n">
        <v>46318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78.90000000000001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6970-2022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44901</v>
      </c>
      <c r="E887" s="1" t="n">
        <v>46318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29.3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4408-2023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46318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6968-2022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44901</v>
      </c>
      <c r="E889" s="1" t="n">
        <v>46318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19.3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4423-2023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46318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4418-2023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45266</v>
      </c>
      <c r="E891" s="1" t="n">
        <v>46318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19.1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907-2022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44606</v>
      </c>
      <c r="E892" s="1" t="n">
        <v>46318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43.5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651-2024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45356</v>
      </c>
      <c r="E893" s="1" t="n">
        <v>46318</v>
      </c>
      <c r="F893" t="inlineStr">
        <is>
          <t>VÄRMLANDS LÄN</t>
        </is>
      </c>
      <c r="G893" t="inlineStr">
        <is>
          <t>HAGFORS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913-2022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44606</v>
      </c>
      <c r="E894" s="1" t="n">
        <v>46318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22.4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4145-2023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45247</v>
      </c>
      <c r="E895" s="1" t="n">
        <v>46318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6967-2022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44901</v>
      </c>
      <c r="E896" s="1" t="n">
        <v>46318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27.1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89-2025</t>
        </is>
      </c>
      <c r="B897" t="inlineStr">
        <is>
          <t>samrådsanmälan</t>
        </is>
      </c>
      <c r="C897" t="inlineStr">
        <is>
          <t>Åtgärd i nyckelbiotop</t>
        </is>
      </c>
      <c r="D897" s="1" t="n">
        <v>45316</v>
      </c>
      <c r="E897" s="1" t="n">
        <v>46318</v>
      </c>
      <c r="F897" t="inlineStr">
        <is>
          <t>VÄRMLANDS LÄN</t>
        </is>
      </c>
      <c r="G897" t="inlineStr">
        <is>
          <t>HAGFORS</t>
        </is>
      </c>
      <c r="I897" t="n">
        <v>6.3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6969-2022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44901</v>
      </c>
      <c r="E898" s="1" t="n">
        <v>46318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24.3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220-2025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45680</v>
      </c>
      <c r="E899" s="1" t="n">
        <v>46318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23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898-2022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44606</v>
      </c>
      <c r="E900" s="1" t="n">
        <v>46318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24.9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4150-2023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45247</v>
      </c>
      <c r="E901" s="1" t="n">
        <v>46318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34.4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4410-2023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45266</v>
      </c>
      <c r="E902" s="1" t="n">
        <v>46318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39.3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900-2022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44606</v>
      </c>
      <c r="E903" s="1" t="n">
        <v>46318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27.3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914-2022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44606</v>
      </c>
      <c r="E904" s="1" t="n">
        <v>46318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19.3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4409-2023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45266</v>
      </c>
      <c r="E905" s="1" t="n">
        <v>46318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4155-2023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45247</v>
      </c>
      <c r="E906" s="1" t="n">
        <v>46318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40.9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4140-2023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45247</v>
      </c>
      <c r="E907" s="1" t="n">
        <v>46318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36.5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6977-2022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44901</v>
      </c>
      <c r="E908" s="1" t="n">
        <v>46318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25.2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6973-2022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46318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30.1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4143-2023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45247</v>
      </c>
      <c r="E910" s="1" t="n">
        <v>46318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13.2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4407-2023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45266</v>
      </c>
      <c r="E911" s="1" t="n">
        <v>46318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12.1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6965-2022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44901</v>
      </c>
      <c r="E912" s="1" t="n">
        <v>46318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21.4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662-2025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45716</v>
      </c>
      <c r="E913" s="1" t="n">
        <v>46318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52.4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108-2026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46037</v>
      </c>
      <c r="E914" s="1" t="n">
        <v>46318</v>
      </c>
      <c r="F914" t="inlineStr">
        <is>
          <t>VÄRMLANDS LÄN</t>
        </is>
      </c>
      <c r="G914" t="inlineStr">
        <is>
          <t>HAGFORS</t>
        </is>
      </c>
      <c r="H914" t="inlineStr">
        <is>
          <t>Bergvik skog väst AB</t>
        </is>
      </c>
      <c r="I914" t="n">
        <v>204.4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102-2026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46036</v>
      </c>
      <c r="E915" s="1" t="n">
        <v>46318</v>
      </c>
      <c r="F915" t="inlineStr">
        <is>
          <t>VÄRMLANDS LÄN</t>
        </is>
      </c>
      <c r="G915" t="inlineStr">
        <is>
          <t>HAGFORS</t>
        </is>
      </c>
      <c r="H915" t="inlineStr">
        <is>
          <t>Bergvik skog väst AB</t>
        </is>
      </c>
      <c r="I915" t="n">
        <v>57.9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60-2026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46013</v>
      </c>
      <c r="E916" s="1" t="n">
        <v>46318</v>
      </c>
      <c r="F916" t="inlineStr">
        <is>
          <t>VÄRMLANDS LÄN</t>
        </is>
      </c>
      <c r="G916" t="inlineStr">
        <is>
          <t>HAGFORS</t>
        </is>
      </c>
      <c r="H916" t="inlineStr">
        <is>
          <t>Bergvik skog väst AB</t>
        </is>
      </c>
      <c r="I916" t="n">
        <v>10.6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382-2025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45691</v>
      </c>
      <c r="E917" s="1" t="n">
        <v>46318</v>
      </c>
      <c r="F917" t="inlineStr">
        <is>
          <t>VÄRMLANDS LÄN</t>
        </is>
      </c>
      <c r="G917" t="inlineStr">
        <is>
          <t>HAGFORS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2026-10-23T02:01:10Z</dcterms:created>
  <dcterms:modified xmlns:dcterms="http://purl.org/dc/terms/" xmlns:xsi="http://www.w3.org/2001/XMLSchema-instance" xsi:type="dcterms:W3CDTF">2026-10-23T02:01:11Z</dcterms:modified>
</cp:coreProperties>
</file>