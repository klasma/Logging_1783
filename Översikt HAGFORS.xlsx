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39627-2023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45167</v>
      </c>
      <c r="E2" s="1" t="n">
        <v>46248</v>
      </c>
      <c r="F2" t="inlineStr">
        <is>
          <t>VÄRMLANDS LÄN</t>
        </is>
      </c>
      <c r="G2" t="inlineStr">
        <is>
          <t>HAGFORS</t>
        </is>
      </c>
      <c r="I2" t="n">
        <v>20.2</v>
      </c>
      <c r="J2" t="n">
        <v>0</v>
      </c>
      <c r="K2" t="n">
        <v>3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12</v>
      </c>
      <c r="T2" t="n">
        <v>18</v>
      </c>
      <c r="U2" t="n">
        <v>11</v>
      </c>
      <c r="V2" s="2" t="inlineStr">
        <is>
          <t>Dropptaggsvamp
Dvärgbägarlav
Kolflarnlav
Kortskaftad ärgspik
Lunglav
Skuggblåslav
Smal trollknäppare
Vedskivlav
Vedtrappmossa
Bårdlav
Korallblylav
Vedticka</t>
        </is>
      </c>
      <c r="W2">
        <f>HYPERLINK("https://klasma.github.io/Logging_1783/artfynd/A 39627-2023 artfynd.xlsx", "A 39627-2023")</f>
        <v/>
      </c>
      <c r="X2">
        <f>HYPERLINK("https://klasma.github.io/Logging_1783/kartor/A 39627-2023 karta.png", "A 39627-2023")</f>
        <v/>
      </c>
      <c r="Y2">
        <f>HYPERLINK("https://klasma.github.io/Logging_1783/kartor_geotiff/A 39627-2023 georefererad karta.tif", "A 39627-2023")</f>
        <v/>
      </c>
      <c r="AA2">
        <f>HYPERLINK("https://klasma.github.io/Logging_1783/klagomål/A 39627-2023 FSC-klagomål.docx", "A 39627-2023")</f>
        <v/>
      </c>
      <c r="AB2">
        <f>HYPERLINK("https://klasma.github.io/Logging_1783/klagomålsmail/A 39627-2023 FSC-klagomål mail.docx", "A 39627-2023")</f>
        <v/>
      </c>
      <c r="AC2">
        <f>HYPERLINK("https://klasma.github.io/Logging_1783/tillsyn/A 39627-2023 tillsynsbegäran.docx", "A 39627-2023")</f>
        <v/>
      </c>
      <c r="AD2">
        <f>HYPERLINK("https://klasma.github.io/Logging_1783/tillsynsmail/A 39627-2023 tillsynsbegäran mail.docx", "A 39627-2023")</f>
        <v/>
      </c>
    </row>
    <row r="3" ht="15" customHeight="1">
      <c r="A3" t="inlineStr">
        <is>
          <t>A 57613-2023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45246</v>
      </c>
      <c r="E3" s="1" t="n">
        <v>46248</v>
      </c>
      <c r="F3" t="inlineStr">
        <is>
          <t>VÄRMLANDS LÄN</t>
        </is>
      </c>
      <c r="G3" t="inlineStr">
        <is>
          <t>HAGFORS</t>
        </is>
      </c>
      <c r="H3" t="inlineStr">
        <is>
          <t>Kyrkan</t>
        </is>
      </c>
      <c r="I3" t="n">
        <v>29.5</v>
      </c>
      <c r="J3" t="n">
        <v>0</v>
      </c>
      <c r="K3" t="n">
        <v>2</v>
      </c>
      <c r="L3" t="n">
        <v>9</v>
      </c>
      <c r="M3" t="n">
        <v>1</v>
      </c>
      <c r="N3" t="n">
        <v>0</v>
      </c>
      <c r="O3" t="n">
        <v>0</v>
      </c>
      <c r="P3" t="n">
        <v>0</v>
      </c>
      <c r="Q3" t="n">
        <v>10</v>
      </c>
      <c r="R3" t="n">
        <v>1</v>
      </c>
      <c r="S3" t="n">
        <v>12</v>
      </c>
      <c r="T3" t="n">
        <v>26</v>
      </c>
      <c r="U3" t="n">
        <v>1</v>
      </c>
      <c r="V3" s="2" t="inlineStr">
        <is>
          <t>Garnlav
Brunpudrad nållav
Dropptaggsvamp
Kolflarnlav
Lunglav
Mörk kolflarnlav
Skrovellav
Skuggblåslav
Vedskivlav
Vedtrappmossa
Bollvitmossa
Skinnlav</t>
        </is>
      </c>
      <c r="W3">
        <f>HYPERLINK("https://klasma.github.io/Logging_1783/artfynd/A 57613-2023 artfynd.xlsx", "A 57613-2023")</f>
        <v/>
      </c>
      <c r="X3">
        <f>HYPERLINK("https://klasma.github.io/Logging_1783/kartor/A 57613-2023 karta.png", "A 57613-2023")</f>
        <v/>
      </c>
      <c r="Y3">
        <f>HYPERLINK("https://klasma.github.io/Logging_1783/kartor_geotiff/A 57613-2023 georefererad karta.tif", "A 57613-2023")</f>
        <v/>
      </c>
      <c r="AA3">
        <f>HYPERLINK("https://klasma.github.io/Logging_1783/klagomål/A 57613-2023 FSC-klagomål.docx", "A 57613-2023")</f>
        <v/>
      </c>
      <c r="AB3">
        <f>HYPERLINK("https://klasma.github.io/Logging_1783/klagomålsmail/A 57613-2023 FSC-klagomål mail.docx", "A 57613-2023")</f>
        <v/>
      </c>
      <c r="AC3">
        <f>HYPERLINK("https://klasma.github.io/Logging_1783/tillsyn/A 57613-2023 tillsynsbegäran.docx", "A 57613-2023")</f>
        <v/>
      </c>
      <c r="AD3">
        <f>HYPERLINK("https://klasma.github.io/Logging_1783/tillsynsmail/A 57613-2023 tillsynsbegäran mail.docx", "A 57613-2023")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46248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46248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46248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46248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46248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46248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46248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17619-2023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45036</v>
      </c>
      <c r="E11" s="1" t="n">
        <v>46248</v>
      </c>
      <c r="F11" t="inlineStr">
        <is>
          <t>VÄRMLANDS LÄN</t>
        </is>
      </c>
      <c r="G11" t="inlineStr">
        <is>
          <t>HAGFORS</t>
        </is>
      </c>
      <c r="H11" t="inlineStr">
        <is>
          <t>Kyrkan</t>
        </is>
      </c>
      <c r="I11" t="n">
        <v>3.1</v>
      </c>
      <c r="J11" t="n">
        <v>0</v>
      </c>
      <c r="K11" t="n">
        <v>1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5</v>
      </c>
      <c r="T11" t="n">
        <v>5</v>
      </c>
      <c r="U11" t="n">
        <v>0</v>
      </c>
      <c r="V11" s="2" t="inlineStr">
        <is>
          <t>Garnlav
Dropptaggsvamp
Kortskaftad ärgspik
Mörk kolflarnlav
Mindre märgborre</t>
        </is>
      </c>
      <c r="W11">
        <f>HYPERLINK("https://klasma.github.io/Logging_1783/artfynd/A 17619-2023 artfynd.xlsx", "A 17619-2023")</f>
        <v/>
      </c>
      <c r="X11">
        <f>HYPERLINK("https://klasma.github.io/Logging_1783/kartor/A 17619-2023 karta.png", "A 17619-2023")</f>
        <v/>
      </c>
      <c r="Y11">
        <f>HYPERLINK("https://klasma.github.io/Logging_1783/kartor_geotiff/A 17619-2023 georefererad karta.tif", "A 17619-2023")</f>
        <v/>
      </c>
      <c r="AA11">
        <f>HYPERLINK("https://klasma.github.io/Logging_1783/klagomål/A 17619-2023 FSC-klagomål.docx", "A 17619-2023")</f>
        <v/>
      </c>
      <c r="AB11">
        <f>HYPERLINK("https://klasma.github.io/Logging_1783/klagomålsmail/A 17619-2023 FSC-klagomål mail.docx", "A 17619-2023")</f>
        <v/>
      </c>
      <c r="AC11">
        <f>HYPERLINK("https://klasma.github.io/Logging_1783/tillsyn/A 17619-2023 tillsynsbegäran.docx", "A 17619-2023")</f>
        <v/>
      </c>
      <c r="AD11">
        <f>HYPERLINK("https://klasma.github.io/Logging_1783/tillsynsmail/A 17619-2023 tillsynsbegäran mail.docx", "A 17619-2023")</f>
        <v/>
      </c>
    </row>
    <row r="12" ht="15" customHeight="1">
      <c r="A12" t="inlineStr">
        <is>
          <t>A 61205-2024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45645</v>
      </c>
      <c r="E12" s="1" t="n">
        <v>46248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17.7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Vårärt
Dvärghäxört
Svart trolldruva
Tibast
Underviol</t>
        </is>
      </c>
      <c r="W12">
        <f>HYPERLINK("https://klasma.github.io/Logging_1783/artfynd/A 61205-2024 artfynd.xlsx", "A 61205-2024")</f>
        <v/>
      </c>
      <c r="X12">
        <f>HYPERLINK("https://klasma.github.io/Logging_1783/kartor/A 61205-2024 karta.png", "A 61205-2024")</f>
        <v/>
      </c>
      <c r="Y12">
        <f>HYPERLINK("https://klasma.github.io/Logging_1783/kartor_geotiff/A 61205-2024 georefererad karta.tif", "A 61205-2024")</f>
        <v/>
      </c>
      <c r="AA12">
        <f>HYPERLINK("https://klasma.github.io/Logging_1783/klagomål/A 61205-2024 FSC-klagomål.docx", "A 61205-2024")</f>
        <v/>
      </c>
      <c r="AB12">
        <f>HYPERLINK("https://klasma.github.io/Logging_1783/klagomålsmail/A 61205-2024 FSC-klagomål mail.docx", "A 61205-2024")</f>
        <v/>
      </c>
      <c r="AC12">
        <f>HYPERLINK("https://klasma.github.io/Logging_1783/tillsyn/A 61205-2024 tillsynsbegäran.docx", "A 61205-2024")</f>
        <v/>
      </c>
      <c r="AD12">
        <f>HYPERLINK("https://klasma.github.io/Logging_1783/tillsynsmail/A 61205-2024 tillsynsbegäran mail.docx", "A 61205-2024")</f>
        <v/>
      </c>
    </row>
    <row r="13" ht="15" customHeight="1">
      <c r="A13" t="inlineStr">
        <is>
          <t>A 44506-2025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45916</v>
      </c>
      <c r="E13" s="1" t="n">
        <v>46248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4.7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Bårdlav
Svart trolldruva
Trådticka
Vedticka
Nattviol</t>
        </is>
      </c>
      <c r="W13">
        <f>HYPERLINK("https://klasma.github.io/Logging_1783/artfynd/A 44506-2025 artfynd.xlsx", "A 44506-2025")</f>
        <v/>
      </c>
      <c r="X13">
        <f>HYPERLINK("https://klasma.github.io/Logging_1783/kartor/A 44506-2025 karta.png", "A 44506-2025")</f>
        <v/>
      </c>
      <c r="Y13">
        <f>HYPERLINK("https://klasma.github.io/Logging_1783/kartor_geotiff/A 44506-2025 georefererad karta.tif", "A 44506-2025")</f>
        <v/>
      </c>
      <c r="AA13">
        <f>HYPERLINK("https://klasma.github.io/Logging_1783/klagomål/A 44506-2025 FSC-klagomål.docx", "A 44506-2025")</f>
        <v/>
      </c>
      <c r="AB13">
        <f>HYPERLINK("https://klasma.github.io/Logging_1783/klagomålsmail/A 44506-2025 FSC-klagomål mail.docx", "A 44506-2025")</f>
        <v/>
      </c>
      <c r="AC13">
        <f>HYPERLINK("https://klasma.github.io/Logging_1783/tillsyn/A 44506-2025 tillsynsbegäran.docx", "A 44506-2025")</f>
        <v/>
      </c>
      <c r="AD13">
        <f>HYPERLINK("https://klasma.github.io/Logging_1783/tillsynsmail/A 44506-2025 tillsynsbegäran mail.docx", "A 44506-2025")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46248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46248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46248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46248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t="n">
        <v>3</v>
      </c>
      <c r="V17" s="2" t="inlineStr">
        <is>
          <t>Garnlav
Knärot
Dropptaggsvamp
Tretåig hackspett</t>
        </is>
      </c>
      <c r="W17">
        <f>HYPERLINK("https://klasma.github.io/Logging_1783/artfynd/A 23955-2025 artfynd.xlsx", "A 23955-2025")</f>
        <v/>
      </c>
      <c r="X17">
        <f>HYPERLINK("https://klasma.github.io/Logging_1783/kartor/A 23955-2025 karta.png", "A 23955-2025")</f>
        <v/>
      </c>
      <c r="Y17">
        <f>HYPERLINK("https://klasma.github.io/Logging_1783/kartor_geotiff/A 23955-2025 georefererad karta.tif", "A 23955-2025")</f>
        <v/>
      </c>
      <c r="Z17">
        <f>HYPERLINK("https://klasma.github.io/Logging_1783/knärot/A 23955-2025 karta knärot.png", "A 23955-2025")</f>
        <v/>
      </c>
      <c r="AA17">
        <f>HYPERLINK("https://klasma.github.io/Logging_1783/klagomål/A 23955-2025 FSC-klagomål.docx", "A 23955-2025")</f>
        <v/>
      </c>
      <c r="AB17">
        <f>HYPERLINK("https://klasma.github.io/Logging_1783/klagomålsmail/A 23955-2025 FSC-klagomål mail.docx", "A 23955-2025")</f>
        <v/>
      </c>
      <c r="AC17">
        <f>HYPERLINK("https://klasma.github.io/Logging_1783/tillsyn/A 23955-2025 tillsynsbegäran.docx", "A 23955-2025")</f>
        <v/>
      </c>
      <c r="AD17">
        <f>HYPERLINK("https://klasma.github.io/Logging_1783/tillsynsmail/A 23955-2025 tillsynsbegäran mail.docx", "A 23955-2025")</f>
        <v/>
      </c>
      <c r="AE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46248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1387-2024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45303</v>
      </c>
      <c r="E19" s="1" t="n">
        <v>46248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64.90000000000001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Garnlav
Tretåig hackspett
Trana</t>
        </is>
      </c>
      <c r="W19">
        <f>HYPERLINK("https://klasma.github.io/Logging_1783/artfynd/A 1387-2024 artfynd.xlsx", "A 1387-2024")</f>
        <v/>
      </c>
      <c r="X19">
        <f>HYPERLINK("https://klasma.github.io/Logging_1783/kartor/A 1387-2024 karta.png", "A 1387-2024")</f>
        <v/>
      </c>
      <c r="Y19">
        <f>HYPERLINK("https://klasma.github.io/Logging_1783/kartor_geotiff/A 1387-2024 georefererad karta.tif", "A 1387-2024")</f>
        <v/>
      </c>
      <c r="AA19">
        <f>HYPERLINK("https://klasma.github.io/Logging_1783/klagomål/A 1387-2024 FSC-klagomål.docx", "A 1387-2024")</f>
        <v/>
      </c>
      <c r="AB19">
        <f>HYPERLINK("https://klasma.github.io/Logging_1783/klagomålsmail/A 1387-2024 FSC-klagomål mail.docx", "A 1387-2024")</f>
        <v/>
      </c>
      <c r="AC19">
        <f>HYPERLINK("https://klasma.github.io/Logging_1783/tillsyn/A 1387-2024 tillsynsbegäran.docx", "A 1387-2024")</f>
        <v/>
      </c>
      <c r="AD19">
        <f>HYPERLINK("https://klasma.github.io/Logging_1783/tillsynsmail/A 1387-2024 tillsynsbegäran mail.docx", "A 1387-2024")</f>
        <v/>
      </c>
      <c r="AE19">
        <f>HYPERLINK("https://klasma.github.io/Logging_1783/fåglar/A 1387-2024 prioriterade fågelarter.docx", "A 1387-2024")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46248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Rynkskinn
Stjärntagging
Ullticka</t>
        </is>
      </c>
      <c r="W20">
        <f>HYPERLINK("https://klasma.github.io/Logging_1783/artfynd/A 15826-2025 artfynd.xlsx", "A 15826-2025")</f>
        <v/>
      </c>
      <c r="X20">
        <f>HYPERLINK("https://klasma.github.io/Logging_1783/kartor/A 15826-2025 karta.png", "A 15826-2025")</f>
        <v/>
      </c>
      <c r="Y20">
        <f>HYPERLINK("https://klasma.github.io/Logging_1783/kartor_geotiff/A 15826-2025 georefererad karta.tif", "A 15826-2025")</f>
        <v/>
      </c>
      <c r="AA20">
        <f>HYPERLINK("https://klasma.github.io/Logging_1783/klagomål/A 15826-2025 FSC-klagomål.docx", "A 15826-2025")</f>
        <v/>
      </c>
      <c r="AB20">
        <f>HYPERLINK("https://klasma.github.io/Logging_1783/klagomålsmail/A 15826-2025 FSC-klagomål mail.docx", "A 15826-2025")</f>
        <v/>
      </c>
      <c r="AC20">
        <f>HYPERLINK("https://klasma.github.io/Logging_1783/tillsyn/A 15826-2025 tillsynsbegäran.docx", "A 15826-2025")</f>
        <v/>
      </c>
      <c r="AD20">
        <f>HYPERLINK("https://klasma.github.io/Logging_1783/tillsynsmail/A 15826-2025 tillsynsbegäran mail.docx", "A 15826-2025")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46248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46248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59330-2024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45637</v>
      </c>
      <c r="E23" s="1" t="n">
        <v>46248</v>
      </c>
      <c r="F23" t="inlineStr">
        <is>
          <t>VÄRMLANDS LÄN</t>
        </is>
      </c>
      <c r="G23" t="inlineStr">
        <is>
          <t>HAGFORS</t>
        </is>
      </c>
      <c r="I23" t="n">
        <v>3.7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Gränsticka
Utter</t>
        </is>
      </c>
      <c r="W23">
        <f>HYPERLINK("https://klasma.github.io/Logging_1783/artfynd/A 59330-2024 artfynd.xlsx", "A 59330-2024")</f>
        <v/>
      </c>
      <c r="X23">
        <f>HYPERLINK("https://klasma.github.io/Logging_1783/kartor/A 59330-2024 karta.png", "A 59330-2024")</f>
        <v/>
      </c>
      <c r="Y23">
        <f>HYPERLINK("https://klasma.github.io/Logging_1783/kartor_geotiff/A 59330-2024 georefererad karta.tif", "A 59330-2024")</f>
        <v/>
      </c>
      <c r="AA23">
        <f>HYPERLINK("https://klasma.github.io/Logging_1783/klagomål/A 59330-2024 FSC-klagomål.docx", "A 59330-2024")</f>
        <v/>
      </c>
      <c r="AB23">
        <f>HYPERLINK("https://klasma.github.io/Logging_1783/klagomålsmail/A 59330-2024 FSC-klagomål mail.docx", "A 59330-2024")</f>
        <v/>
      </c>
      <c r="AC23">
        <f>HYPERLINK("https://klasma.github.io/Logging_1783/tillsyn/A 59330-2024 tillsynsbegäran.docx", "A 59330-2024")</f>
        <v/>
      </c>
      <c r="AD23">
        <f>HYPERLINK("https://klasma.github.io/Logging_1783/tillsynsmail/A 59330-2024 tillsynsbegäran mail.docx", "A 59330-2024")</f>
        <v/>
      </c>
    </row>
    <row r="24" ht="15" customHeight="1">
      <c r="A24" t="inlineStr">
        <is>
          <t>A 656-2022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46248</v>
      </c>
      <c r="F24" t="inlineStr">
        <is>
          <t>VÄRMLANDS LÄN</t>
        </is>
      </c>
      <c r="G24" t="inlineStr">
        <is>
          <t>HAGFORS</t>
        </is>
      </c>
      <c r="I24" t="n">
        <v>35.1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Dvärgbägarlav
Vedskivlav</t>
        </is>
      </c>
      <c r="W24">
        <f>HYPERLINK("https://klasma.github.io/Logging_1783/artfynd/A 656-2022 artfynd.xlsx", "A 656-2022")</f>
        <v/>
      </c>
      <c r="X24">
        <f>HYPERLINK("https://klasma.github.io/Logging_1783/kartor/A 656-2022 karta.png", "A 656-2022")</f>
        <v/>
      </c>
      <c r="Y24">
        <f>HYPERLINK("https://klasma.github.io/Logging_1783/kartor_geotiff/A 656-2022 georefererad karta.tif", "A 656-2022")</f>
        <v/>
      </c>
      <c r="AA24">
        <f>HYPERLINK("https://klasma.github.io/Logging_1783/klagomål/A 656-2022 FSC-klagomål.docx", "A 656-2022")</f>
        <v/>
      </c>
      <c r="AB24">
        <f>HYPERLINK("https://klasma.github.io/Logging_1783/klagomålsmail/A 656-2022 FSC-klagomål mail.docx", "A 656-2022")</f>
        <v/>
      </c>
      <c r="AC24">
        <f>HYPERLINK("https://klasma.github.io/Logging_1783/tillsyn/A 656-2022 tillsynsbegäran.docx", "A 656-2022")</f>
        <v/>
      </c>
      <c r="AD24">
        <f>HYPERLINK("https://klasma.github.io/Logging_1783/tillsynsmail/A 656-2022 tillsynsbegäran mail.docx", "A 656-2022")</f>
        <v/>
      </c>
    </row>
    <row r="25" ht="15" customHeight="1">
      <c r="A25" t="inlineStr">
        <is>
          <t>A 69709-2021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44532</v>
      </c>
      <c r="E25" s="1" t="n">
        <v>46248</v>
      </c>
      <c r="F25" t="inlineStr">
        <is>
          <t>VÄRMLANDS LÄN</t>
        </is>
      </c>
      <c r="G25" t="inlineStr">
        <is>
          <t>HAGFORS</t>
        </is>
      </c>
      <c r="H25" t="inlineStr">
        <is>
          <t>Bergvik skog väst AB</t>
        </is>
      </c>
      <c r="I25" t="n">
        <v>8.9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Svartvit taggsvamp
Tjäder</t>
        </is>
      </c>
      <c r="W25">
        <f>HYPERLINK("https://klasma.github.io/Logging_1783/artfynd/A 69709-2021 artfynd.xlsx", "A 69709-2021")</f>
        <v/>
      </c>
      <c r="X25">
        <f>HYPERLINK("https://klasma.github.io/Logging_1783/kartor/A 69709-2021 karta.png", "A 69709-2021")</f>
        <v/>
      </c>
      <c r="Y25">
        <f>HYPERLINK("https://klasma.github.io/Logging_1783/kartor_geotiff/A 69709-2021 georefererad karta.tif", "A 69709-2021")</f>
        <v/>
      </c>
      <c r="AA25">
        <f>HYPERLINK("https://klasma.github.io/Logging_1783/klagomål/A 69709-2021 FSC-klagomål.docx", "A 69709-2021")</f>
        <v/>
      </c>
      <c r="AB25">
        <f>HYPERLINK("https://klasma.github.io/Logging_1783/klagomålsmail/A 69709-2021 FSC-klagomål mail.docx", "A 69709-2021")</f>
        <v/>
      </c>
      <c r="AC25">
        <f>HYPERLINK("https://klasma.github.io/Logging_1783/tillsyn/A 69709-2021 tillsynsbegäran.docx", "A 69709-2021")</f>
        <v/>
      </c>
      <c r="AD25">
        <f>HYPERLINK("https://klasma.github.io/Logging_1783/tillsynsmail/A 69709-2021 tillsynsbegäran mail.docx", "A 69709-2021")</f>
        <v/>
      </c>
      <c r="AE25">
        <f>HYPERLINK("https://klasma.github.io/Logging_1783/fåglar/A 69709-2021 prioriterade fågelarter.docx", "A 69709-2021")</f>
        <v/>
      </c>
    </row>
    <row r="26" ht="15" customHeight="1">
      <c r="A26" t="inlineStr">
        <is>
          <t>A 35908-2022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46248</v>
      </c>
      <c r="F26" t="inlineStr">
        <is>
          <t>VÄRMLANDS LÄN</t>
        </is>
      </c>
      <c r="G26" t="inlineStr">
        <is>
          <t>HAGFORS</t>
        </is>
      </c>
      <c r="I26" t="n">
        <v>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Aspgelélav
Bårdlav</t>
        </is>
      </c>
      <c r="W26">
        <f>HYPERLINK("https://klasma.github.io/Logging_1783/artfynd/A 35908-2022 artfynd.xlsx", "A 35908-2022")</f>
        <v/>
      </c>
      <c r="X26">
        <f>HYPERLINK("https://klasma.github.io/Logging_1783/kartor/A 35908-2022 karta.png", "A 35908-2022")</f>
        <v/>
      </c>
      <c r="Y26">
        <f>HYPERLINK("https://klasma.github.io/Logging_1783/kartor_geotiff/A 35908-2022 georefererad karta.tif", "A 35908-2022")</f>
        <v/>
      </c>
      <c r="AA26">
        <f>HYPERLINK("https://klasma.github.io/Logging_1783/klagomål/A 35908-2022 FSC-klagomål.docx", "A 35908-2022")</f>
        <v/>
      </c>
      <c r="AB26">
        <f>HYPERLINK("https://klasma.github.io/Logging_1783/klagomålsmail/A 35908-2022 FSC-klagomål mail.docx", "A 35908-2022")</f>
        <v/>
      </c>
      <c r="AC26">
        <f>HYPERLINK("https://klasma.github.io/Logging_1783/tillsyn/A 35908-2022 tillsynsbegäran.docx", "A 35908-2022")</f>
        <v/>
      </c>
      <c r="AD26">
        <f>HYPERLINK("https://klasma.github.io/Logging_1783/tillsynsmail/A 35908-2022 tillsynsbegäran mail.docx", "A 35908-2022")</f>
        <v/>
      </c>
    </row>
    <row r="27" ht="15" customHeight="1">
      <c r="A27" t="inlineStr">
        <is>
          <t>A 10836-2026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46078</v>
      </c>
      <c r="E27" s="1" t="n">
        <v>46248</v>
      </c>
      <c r="F27" t="inlineStr">
        <is>
          <t>VÄRMLANDS LÄN</t>
        </is>
      </c>
      <c r="G27" t="inlineStr">
        <is>
          <t>HAGFORS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Mattlummer
Ärtsångare</t>
        </is>
      </c>
      <c r="W27">
        <f>HYPERLINK("https://klasma.github.io/Logging_1783/artfynd/A 10836-2026 artfynd.xlsx", "A 10836-2026")</f>
        <v/>
      </c>
      <c r="X27">
        <f>HYPERLINK("https://klasma.github.io/Logging_1783/kartor/A 10836-2026 karta.png", "A 10836-2026")</f>
        <v/>
      </c>
      <c r="Y27">
        <f>HYPERLINK("https://klasma.github.io/Logging_1783/kartor_geotiff/A 10836-2026 georefererad karta.tif", "A 10836-2026")</f>
        <v/>
      </c>
      <c r="AA27">
        <f>HYPERLINK("https://klasma.github.io/Logging_1783/klagomål/A 10836-2026 FSC-klagomål.docx", "A 10836-2026")</f>
        <v/>
      </c>
      <c r="AB27">
        <f>HYPERLINK("https://klasma.github.io/Logging_1783/klagomålsmail/A 10836-2026 FSC-klagomål mail.docx", "A 10836-2026")</f>
        <v/>
      </c>
      <c r="AC27">
        <f>HYPERLINK("https://klasma.github.io/Logging_1783/tillsyn/A 10836-2026 tillsynsbegäran.docx", "A 10836-2026")</f>
        <v/>
      </c>
      <c r="AD27">
        <f>HYPERLINK("https://klasma.github.io/Logging_1783/tillsynsmail/A 10836-2026 tillsynsbegäran mail.docx", "A 10836-2026")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46248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46248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46248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46248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30524-2022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44762</v>
      </c>
      <c r="E32" s="1" t="n">
        <v>46248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Kolflarnlav</t>
        </is>
      </c>
      <c r="W32">
        <f>HYPERLINK("https://klasma.github.io/Logging_1783/artfynd/A 30524-2022 artfynd.xlsx", "A 30524-2022")</f>
        <v/>
      </c>
      <c r="X32">
        <f>HYPERLINK("https://klasma.github.io/Logging_1783/kartor/A 30524-2022 karta.png", "A 30524-2022")</f>
        <v/>
      </c>
      <c r="Y32">
        <f>HYPERLINK("https://klasma.github.io/Logging_1783/kartor_geotiff/A 30524-2022 georefererad karta.tif", "A 30524-2022")</f>
        <v/>
      </c>
      <c r="AA32">
        <f>HYPERLINK("https://klasma.github.io/Logging_1783/klagomål/A 30524-2022 FSC-klagomål.docx", "A 30524-2022")</f>
        <v/>
      </c>
      <c r="AB32">
        <f>HYPERLINK("https://klasma.github.io/Logging_1783/klagomålsmail/A 30524-2022 FSC-klagomål mail.docx", "A 30524-2022")</f>
        <v/>
      </c>
      <c r="AC32">
        <f>HYPERLINK("https://klasma.github.io/Logging_1783/tillsyn/A 30524-2022 tillsynsbegäran.docx", "A 30524-2022")</f>
        <v/>
      </c>
      <c r="AD32">
        <f>HYPERLINK("https://klasma.github.io/Logging_1783/tillsynsmail/A 30524-2022 tillsynsbegäran mail.docx", "A 30524-2022")</f>
        <v/>
      </c>
    </row>
    <row r="33" ht="15" customHeight="1">
      <c r="A33" t="inlineStr">
        <is>
          <t>A 44095-2023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45188</v>
      </c>
      <c r="E33" s="1" t="n">
        <v>46248</v>
      </c>
      <c r="F33" t="inlineStr">
        <is>
          <t>VÄRMLANDS LÄN</t>
        </is>
      </c>
      <c r="G33" t="inlineStr">
        <is>
          <t>HAGFORS</t>
        </is>
      </c>
      <c r="I33" t="n">
        <v>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Utter</t>
        </is>
      </c>
      <c r="W33">
        <f>HYPERLINK("https://klasma.github.io/Logging_1783/artfynd/A 44095-2023 artfynd.xlsx", "A 44095-2023")</f>
        <v/>
      </c>
      <c r="X33">
        <f>HYPERLINK("https://klasma.github.io/Logging_1783/kartor/A 44095-2023 karta.png", "A 44095-2023")</f>
        <v/>
      </c>
      <c r="Y33">
        <f>HYPERLINK("https://klasma.github.io/Logging_1783/kartor_geotiff/A 44095-2023 georefererad karta.tif", "A 44095-2023")</f>
        <v/>
      </c>
      <c r="AA33">
        <f>HYPERLINK("https://klasma.github.io/Logging_1783/klagomål/A 44095-2023 FSC-klagomål.docx", "A 44095-2023")</f>
        <v/>
      </c>
      <c r="AB33">
        <f>HYPERLINK("https://klasma.github.io/Logging_1783/klagomålsmail/A 44095-2023 FSC-klagomål mail.docx", "A 44095-2023")</f>
        <v/>
      </c>
      <c r="AC33">
        <f>HYPERLINK("https://klasma.github.io/Logging_1783/tillsyn/A 44095-2023 tillsynsbegäran.docx", "A 44095-2023")</f>
        <v/>
      </c>
      <c r="AD33">
        <f>HYPERLINK("https://klasma.github.io/Logging_1783/tillsynsmail/A 44095-2023 tillsynsbegäran mail.docx", "A 44095-2023")</f>
        <v/>
      </c>
    </row>
    <row r="34" ht="15" customHeight="1">
      <c r="A34" t="inlineStr">
        <is>
          <t>A 16319-2023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45028</v>
      </c>
      <c r="E34" s="1" t="n">
        <v>46248</v>
      </c>
      <c r="F34" t="inlineStr">
        <is>
          <t>VÄRMLANDS LÄN</t>
        </is>
      </c>
      <c r="G34" t="inlineStr">
        <is>
          <t>HAGFORS</t>
        </is>
      </c>
      <c r="I34" t="n">
        <v>1.1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HYPERLINK("https://klasma.github.io/Logging_1783/artfynd/A 16319-2023 artfynd.xlsx", "A 16319-2023")</f>
        <v/>
      </c>
      <c r="X34">
        <f>HYPERLINK("https://klasma.github.io/Logging_1783/kartor/A 16319-2023 karta.png", "A 16319-2023")</f>
        <v/>
      </c>
      <c r="Y34">
        <f>HYPERLINK("https://klasma.github.io/Logging_1783/kartor_geotiff/A 16319-2023 georefererad karta.tif", "A 16319-2023")</f>
        <v/>
      </c>
      <c r="AA34">
        <f>HYPERLINK("https://klasma.github.io/Logging_1783/klagomål/A 16319-2023 FSC-klagomål.docx", "A 16319-2023")</f>
        <v/>
      </c>
      <c r="AB34">
        <f>HYPERLINK("https://klasma.github.io/Logging_1783/klagomålsmail/A 16319-2023 FSC-klagomål mail.docx", "A 16319-2023")</f>
        <v/>
      </c>
      <c r="AC34">
        <f>HYPERLINK("https://klasma.github.io/Logging_1783/tillsyn/A 16319-2023 tillsynsbegäran.docx", "A 16319-2023")</f>
        <v/>
      </c>
      <c r="AD34">
        <f>HYPERLINK("https://klasma.github.io/Logging_1783/tillsynsmail/A 16319-2023 tillsynsbegäran mail.docx", "A 16319-2023")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46248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56083-2022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44889</v>
      </c>
      <c r="E36" s="1" t="n">
        <v>46248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19.1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HYPERLINK("https://klasma.github.io/Logging_1783/artfynd/A 56083-2022 artfynd.xlsx", "A 56083-2022")</f>
        <v/>
      </c>
      <c r="X36">
        <f>HYPERLINK("https://klasma.github.io/Logging_1783/kartor/A 56083-2022 karta.png", "A 56083-2022")</f>
        <v/>
      </c>
      <c r="Y36">
        <f>HYPERLINK("https://klasma.github.io/Logging_1783/kartor_geotiff/A 56083-2022 georefererad karta.tif", "A 56083-2022")</f>
        <v/>
      </c>
      <c r="AA36">
        <f>HYPERLINK("https://klasma.github.io/Logging_1783/klagomål/A 56083-2022 FSC-klagomål.docx", "A 56083-2022")</f>
        <v/>
      </c>
      <c r="AB36">
        <f>HYPERLINK("https://klasma.github.io/Logging_1783/klagomålsmail/A 56083-2022 FSC-klagomål mail.docx", "A 56083-2022")</f>
        <v/>
      </c>
      <c r="AC36">
        <f>HYPERLINK("https://klasma.github.io/Logging_1783/tillsyn/A 56083-2022 tillsynsbegäran.docx", "A 56083-2022")</f>
        <v/>
      </c>
      <c r="AD36">
        <f>HYPERLINK("https://klasma.github.io/Logging_1783/tillsynsmail/A 56083-2022 tillsynsbegäran mail.docx", "A 56083-2022")</f>
        <v/>
      </c>
    </row>
    <row r="37" ht="15" customHeight="1">
      <c r="A37" t="inlineStr">
        <is>
          <t>A 37152-2023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45155</v>
      </c>
      <c r="E37" s="1" t="n">
        <v>46248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0.5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Hökuggla</t>
        </is>
      </c>
      <c r="W37">
        <f>HYPERLINK("https://klasma.github.io/Logging_1783/artfynd/A 37152-2023 artfynd.xlsx", "A 37152-2023")</f>
        <v/>
      </c>
      <c r="X37">
        <f>HYPERLINK("https://klasma.github.io/Logging_1783/kartor/A 37152-2023 karta.png", "A 37152-2023")</f>
        <v/>
      </c>
      <c r="Y37">
        <f>HYPERLINK("https://klasma.github.io/Logging_1783/kartor_geotiff/A 37152-2023 georefererad karta.tif", "A 37152-2023")</f>
        <v/>
      </c>
      <c r="AA37">
        <f>HYPERLINK("https://klasma.github.io/Logging_1783/klagomål/A 37152-2023 FSC-klagomål.docx", "A 37152-2023")</f>
        <v/>
      </c>
      <c r="AB37">
        <f>HYPERLINK("https://klasma.github.io/Logging_1783/klagomålsmail/A 37152-2023 FSC-klagomål mail.docx", "A 37152-2023")</f>
        <v/>
      </c>
      <c r="AC37">
        <f>HYPERLINK("https://klasma.github.io/Logging_1783/tillsyn/A 37152-2023 tillsynsbegäran.docx", "A 37152-2023")</f>
        <v/>
      </c>
      <c r="AD37">
        <f>HYPERLINK("https://klasma.github.io/Logging_1783/tillsynsmail/A 37152-2023 tillsynsbegäran mail.docx", "A 37152-2023")</f>
        <v/>
      </c>
      <c r="AE37">
        <f>HYPERLINK("https://klasma.github.io/Logging_1783/fåglar/A 37152-2023 prioriterade fågelarter.docx", "A 37152-2023")</f>
        <v/>
      </c>
    </row>
    <row r="38" ht="15" customHeight="1">
      <c r="A38" t="inlineStr">
        <is>
          <t>A 51194-2022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44868</v>
      </c>
      <c r="E38" s="1" t="n">
        <v>46248</v>
      </c>
      <c r="F38" t="inlineStr">
        <is>
          <t>VÄRMLANDS LÄN</t>
        </is>
      </c>
      <c r="G38" t="inlineStr">
        <is>
          <t>HAGFORS</t>
        </is>
      </c>
      <c r="I38" t="n">
        <v>1.6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Garnlav</t>
        </is>
      </c>
      <c r="W38">
        <f>HYPERLINK("https://klasma.github.io/Logging_1783/artfynd/A 51194-2022 artfynd.xlsx", "A 51194-2022")</f>
        <v/>
      </c>
      <c r="X38">
        <f>HYPERLINK("https://klasma.github.io/Logging_1783/kartor/A 51194-2022 karta.png", "A 51194-2022")</f>
        <v/>
      </c>
      <c r="Y38">
        <f>HYPERLINK("https://klasma.github.io/Logging_1783/kartor_geotiff/A 51194-2022 georefererad karta.tif", "A 51194-2022")</f>
        <v/>
      </c>
      <c r="AA38">
        <f>HYPERLINK("https://klasma.github.io/Logging_1783/klagomål/A 51194-2022 FSC-klagomål.docx", "A 51194-2022")</f>
        <v/>
      </c>
      <c r="AB38">
        <f>HYPERLINK("https://klasma.github.io/Logging_1783/klagomålsmail/A 51194-2022 FSC-klagomål mail.docx", "A 51194-2022")</f>
        <v/>
      </c>
      <c r="AC38">
        <f>HYPERLINK("https://klasma.github.io/Logging_1783/tillsyn/A 51194-2022 tillsynsbegäran.docx", "A 51194-2022")</f>
        <v/>
      </c>
      <c r="AD38">
        <f>HYPERLINK("https://klasma.github.io/Logging_1783/tillsynsmail/A 51194-2022 tillsynsbegäran mail.docx", "A 51194-2022")</f>
        <v/>
      </c>
    </row>
    <row r="39" ht="15" customHeight="1">
      <c r="A39" t="inlineStr">
        <is>
          <t>A 24885-2025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45799</v>
      </c>
      <c r="E39" s="1" t="n">
        <v>46248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Mörk husmossa</t>
        </is>
      </c>
      <c r="W39">
        <f>HYPERLINK("https://klasma.github.io/Logging_1783/artfynd/A 24885-2025 artfynd.xlsx", "A 24885-2025")</f>
        <v/>
      </c>
      <c r="X39">
        <f>HYPERLINK("https://klasma.github.io/Logging_1783/kartor/A 24885-2025 karta.png", "A 24885-2025")</f>
        <v/>
      </c>
      <c r="Y39">
        <f>HYPERLINK("https://klasma.github.io/Logging_1783/kartor_geotiff/A 24885-2025 georefererad karta.tif", "A 24885-2025")</f>
        <v/>
      </c>
      <c r="AA39">
        <f>HYPERLINK("https://klasma.github.io/Logging_1783/klagomål/A 24885-2025 FSC-klagomål.docx", "A 24885-2025")</f>
        <v/>
      </c>
      <c r="AB39">
        <f>HYPERLINK("https://klasma.github.io/Logging_1783/klagomålsmail/A 24885-2025 FSC-klagomål mail.docx", "A 24885-2025")</f>
        <v/>
      </c>
      <c r="AC39">
        <f>HYPERLINK("https://klasma.github.io/Logging_1783/tillsyn/A 24885-2025 tillsynsbegäran.docx", "A 24885-2025")</f>
        <v/>
      </c>
      <c r="AD39">
        <f>HYPERLINK("https://klasma.github.io/Logging_1783/tillsynsmail/A 24885-2025 tillsynsbegäran mail.docx", "A 24885-2025")</f>
        <v/>
      </c>
    </row>
    <row r="40" ht="15" customHeight="1">
      <c r="A40" t="inlineStr">
        <is>
          <t>A 6986-2022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44603</v>
      </c>
      <c r="E40" s="1" t="n">
        <v>46248</v>
      </c>
      <c r="F40" t="inlineStr">
        <is>
          <t>VÄRMLANDS LÄN</t>
        </is>
      </c>
      <c r="G40" t="inlineStr">
        <is>
          <t>HAGFORS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Vedticka</t>
        </is>
      </c>
      <c r="W40">
        <f>HYPERLINK("https://klasma.github.io/Logging_1783/artfynd/A 6986-2022 artfynd.xlsx", "A 6986-2022")</f>
        <v/>
      </c>
      <c r="X40">
        <f>HYPERLINK("https://klasma.github.io/Logging_1783/kartor/A 6986-2022 karta.png", "A 6986-2022")</f>
        <v/>
      </c>
      <c r="Y40">
        <f>HYPERLINK("https://klasma.github.io/Logging_1783/kartor_geotiff/A 6986-2022 georefererad karta.tif", "A 6986-2022")</f>
        <v/>
      </c>
      <c r="AA40">
        <f>HYPERLINK("https://klasma.github.io/Logging_1783/klagomål/A 6986-2022 FSC-klagomål.docx", "A 6986-2022")</f>
        <v/>
      </c>
      <c r="AB40">
        <f>HYPERLINK("https://klasma.github.io/Logging_1783/klagomålsmail/A 6986-2022 FSC-klagomål mail.docx", "A 6986-2022")</f>
        <v/>
      </c>
      <c r="AC40">
        <f>HYPERLINK("https://klasma.github.io/Logging_1783/tillsyn/A 6986-2022 tillsynsbegäran.docx", "A 6986-2022")</f>
        <v/>
      </c>
      <c r="AD40">
        <f>HYPERLINK("https://klasma.github.io/Logging_1783/tillsynsmail/A 6986-2022 tillsynsbegäran mail.docx", "A 6986-2022")</f>
        <v/>
      </c>
    </row>
    <row r="41" ht="15" customHeight="1">
      <c r="A41" t="inlineStr">
        <is>
          <t>A 26624-2025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45810</v>
      </c>
      <c r="E41" s="1" t="n">
        <v>46248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Mattlummer</t>
        </is>
      </c>
      <c r="W41">
        <f>HYPERLINK("https://klasma.github.io/Logging_1783/artfynd/A 26624-2025 artfynd.xlsx", "A 26624-2025")</f>
        <v/>
      </c>
      <c r="X41">
        <f>HYPERLINK("https://klasma.github.io/Logging_1783/kartor/A 26624-2025 karta.png", "A 26624-2025")</f>
        <v/>
      </c>
      <c r="Y41">
        <f>HYPERLINK("https://klasma.github.io/Logging_1783/kartor_geotiff/A 26624-2025 georefererad karta.tif", "A 26624-2025")</f>
        <v/>
      </c>
      <c r="AA41">
        <f>HYPERLINK("https://klasma.github.io/Logging_1783/klagomål/A 26624-2025 FSC-klagomål.docx", "A 26624-2025")</f>
        <v/>
      </c>
      <c r="AB41">
        <f>HYPERLINK("https://klasma.github.io/Logging_1783/klagomålsmail/A 26624-2025 FSC-klagomål mail.docx", "A 26624-2025")</f>
        <v/>
      </c>
      <c r="AC41">
        <f>HYPERLINK("https://klasma.github.io/Logging_1783/tillsyn/A 26624-2025 tillsynsbegäran.docx", "A 26624-2025")</f>
        <v/>
      </c>
      <c r="AD41">
        <f>HYPERLINK("https://klasma.github.io/Logging_1783/tillsynsmail/A 26624-2025 tillsynsbegäran mail.docx", "A 26624-2025")</f>
        <v/>
      </c>
    </row>
    <row r="42" ht="15" customHeight="1">
      <c r="A42" t="inlineStr">
        <is>
          <t>A 33848-2025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45842</v>
      </c>
      <c r="E42" s="1" t="n">
        <v>46248</v>
      </c>
      <c r="F42" t="inlineStr">
        <is>
          <t>VÄRMLANDS LÄN</t>
        </is>
      </c>
      <c r="G42" t="inlineStr">
        <is>
          <t>HAGFORS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HYPERLINK("https://klasma.github.io/Logging_1783/artfynd/A 33848-2025 artfynd.xlsx", "A 33848-2025")</f>
        <v/>
      </c>
      <c r="X42">
        <f>HYPERLINK("https://klasma.github.io/Logging_1783/kartor/A 33848-2025 karta.png", "A 33848-2025")</f>
        <v/>
      </c>
      <c r="Y42">
        <f>HYPERLINK("https://klasma.github.io/Logging_1783/kartor_geotiff/A 33848-2025 georefererad karta.tif", "A 33848-2025")</f>
        <v/>
      </c>
      <c r="AA42">
        <f>HYPERLINK("https://klasma.github.io/Logging_1783/klagomål/A 33848-2025 FSC-klagomål.docx", "A 33848-2025")</f>
        <v/>
      </c>
      <c r="AB42">
        <f>HYPERLINK("https://klasma.github.io/Logging_1783/klagomålsmail/A 33848-2025 FSC-klagomål mail.docx", "A 33848-2025")</f>
        <v/>
      </c>
      <c r="AC42">
        <f>HYPERLINK("https://klasma.github.io/Logging_1783/tillsyn/A 33848-2025 tillsynsbegäran.docx", "A 33848-2025")</f>
        <v/>
      </c>
      <c r="AD42">
        <f>HYPERLINK("https://klasma.github.io/Logging_1783/tillsynsmail/A 33848-2025 tillsynsbegäran mail.docx", "A 33848-2025")</f>
        <v/>
      </c>
    </row>
    <row r="43" ht="15" customHeight="1">
      <c r="A43" t="inlineStr">
        <is>
          <t>A 34158-2025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45845</v>
      </c>
      <c r="E43" s="1" t="n">
        <v>46248</v>
      </c>
      <c r="F43" t="inlineStr">
        <is>
          <t>VÄRMLANDS LÄN</t>
        </is>
      </c>
      <c r="G43" t="inlineStr">
        <is>
          <t>HAGFORS</t>
        </is>
      </c>
      <c r="I43" t="n">
        <v>5.8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Korallblylav</t>
        </is>
      </c>
      <c r="W43">
        <f>HYPERLINK("https://klasma.github.io/Logging_1783/artfynd/A 34158-2025 artfynd.xlsx", "A 34158-2025")</f>
        <v/>
      </c>
      <c r="X43">
        <f>HYPERLINK("https://klasma.github.io/Logging_1783/kartor/A 34158-2025 karta.png", "A 34158-2025")</f>
        <v/>
      </c>
      <c r="Y43">
        <f>HYPERLINK("https://klasma.github.io/Logging_1783/kartor_geotiff/A 34158-2025 georefererad karta.tif", "A 34158-2025")</f>
        <v/>
      </c>
      <c r="AA43">
        <f>HYPERLINK("https://klasma.github.io/Logging_1783/klagomål/A 34158-2025 FSC-klagomål.docx", "A 34158-2025")</f>
        <v/>
      </c>
      <c r="AB43">
        <f>HYPERLINK("https://klasma.github.io/Logging_1783/klagomålsmail/A 34158-2025 FSC-klagomål mail.docx", "A 34158-2025")</f>
        <v/>
      </c>
      <c r="AC43">
        <f>HYPERLINK("https://klasma.github.io/Logging_1783/tillsyn/A 34158-2025 tillsynsbegäran.docx", "A 34158-2025")</f>
        <v/>
      </c>
      <c r="AD43">
        <f>HYPERLINK("https://klasma.github.io/Logging_1783/tillsynsmail/A 34158-2025 tillsynsbegäran mail.docx", "A 34158-2025")</f>
        <v/>
      </c>
    </row>
    <row r="44" ht="15" customHeight="1">
      <c r="A44" t="inlineStr">
        <is>
          <t>A 33905-2025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45842</v>
      </c>
      <c r="E44" s="1" t="n">
        <v>46248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33905-2025 artfynd.xlsx", "A 33905-2025")</f>
        <v/>
      </c>
      <c r="X44">
        <f>HYPERLINK("https://klasma.github.io/Logging_1783/kartor/A 33905-2025 karta.png", "A 33905-2025")</f>
        <v/>
      </c>
      <c r="Y44">
        <f>HYPERLINK("https://klasma.github.io/Logging_1783/kartor_geotiff/A 33905-2025 georefererad karta.tif", "A 33905-2025")</f>
        <v/>
      </c>
      <c r="AA44">
        <f>HYPERLINK("https://klasma.github.io/Logging_1783/klagomål/A 33905-2025 FSC-klagomål.docx", "A 33905-2025")</f>
        <v/>
      </c>
      <c r="AB44">
        <f>HYPERLINK("https://klasma.github.io/Logging_1783/klagomålsmail/A 33905-2025 FSC-klagomål mail.docx", "A 33905-2025")</f>
        <v/>
      </c>
      <c r="AC44">
        <f>HYPERLINK("https://klasma.github.io/Logging_1783/tillsyn/A 33905-2025 tillsynsbegäran.docx", "A 33905-2025")</f>
        <v/>
      </c>
      <c r="AD44">
        <f>HYPERLINK("https://klasma.github.io/Logging_1783/tillsynsmail/A 33905-2025 tillsynsbegäran mail.docx", "A 33905-2025")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46248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22484-2025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45786</v>
      </c>
      <c r="E46" s="1" t="n">
        <v>46248</v>
      </c>
      <c r="F46" t="inlineStr">
        <is>
          <t>VÄRMLANDS LÄN</t>
        </is>
      </c>
      <c r="G46" t="inlineStr">
        <is>
          <t>HAGFORS</t>
        </is>
      </c>
      <c r="I46" t="n">
        <v>4.5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Rödlånke</t>
        </is>
      </c>
      <c r="W46">
        <f>HYPERLINK("https://klasma.github.io/Logging_1783/artfynd/A 22484-2025 artfynd.xlsx", "A 22484-2025")</f>
        <v/>
      </c>
      <c r="X46">
        <f>HYPERLINK("https://klasma.github.io/Logging_1783/kartor/A 22484-2025 karta.png", "A 22484-2025")</f>
        <v/>
      </c>
      <c r="Y46">
        <f>HYPERLINK("https://klasma.github.io/Logging_1783/kartor_geotiff/A 22484-2025 georefererad karta.tif", "A 22484-2025")</f>
        <v/>
      </c>
      <c r="AA46">
        <f>HYPERLINK("https://klasma.github.io/Logging_1783/klagomål/A 22484-2025 FSC-klagomål.docx", "A 22484-2025")</f>
        <v/>
      </c>
      <c r="AB46">
        <f>HYPERLINK("https://klasma.github.io/Logging_1783/klagomålsmail/A 22484-2025 FSC-klagomål mail.docx", "A 22484-2025")</f>
        <v/>
      </c>
      <c r="AC46">
        <f>HYPERLINK("https://klasma.github.io/Logging_1783/tillsyn/A 22484-2025 tillsynsbegäran.docx", "A 22484-2025")</f>
        <v/>
      </c>
      <c r="AD46">
        <f>HYPERLINK("https://klasma.github.io/Logging_1783/tillsynsmail/A 22484-2025 tillsynsbegäran mail.docx", "A 22484-2025")</f>
        <v/>
      </c>
    </row>
    <row r="47" ht="15" customHeight="1">
      <c r="A47" t="inlineStr">
        <is>
          <t>A 15219-2025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45744</v>
      </c>
      <c r="E47" s="1" t="n">
        <v>46248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15.8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2</v>
      </c>
      <c r="V47" s="2" t="inlineStr">
        <is>
          <t>Borsttagging</t>
        </is>
      </c>
      <c r="W47">
        <f>HYPERLINK("https://klasma.github.io/Logging_1783/artfynd/A 15219-2025 artfynd.xlsx", "A 15219-2025")</f>
        <v/>
      </c>
      <c r="X47">
        <f>HYPERLINK("https://klasma.github.io/Logging_1783/kartor/A 15219-2025 karta.png", "A 15219-2025")</f>
        <v/>
      </c>
      <c r="Y47">
        <f>HYPERLINK("https://klasma.github.io/Logging_1783/kartor_geotiff/A 15219-2025 georefererad karta.tif", "A 15219-2025")</f>
        <v/>
      </c>
      <c r="AA47">
        <f>HYPERLINK("https://klasma.github.io/Logging_1783/klagomål/A 15219-2025 FSC-klagomål.docx", "A 15219-2025")</f>
        <v/>
      </c>
      <c r="AB47">
        <f>HYPERLINK("https://klasma.github.io/Logging_1783/klagomålsmail/A 15219-2025 FSC-klagomål mail.docx", "A 15219-2025")</f>
        <v/>
      </c>
      <c r="AC47">
        <f>HYPERLINK("https://klasma.github.io/Logging_1783/tillsyn/A 15219-2025 tillsynsbegäran.docx", "A 15219-2025")</f>
        <v/>
      </c>
      <c r="AD47">
        <f>HYPERLINK("https://klasma.github.io/Logging_1783/tillsynsmail/A 15219-2025 tillsynsbegäran mail.docx", "A 15219-2025")</f>
        <v/>
      </c>
    </row>
    <row r="48" ht="15" customHeight="1">
      <c r="A48" t="inlineStr">
        <is>
          <t>A 50030-2025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45943</v>
      </c>
      <c r="E48" s="1" t="n">
        <v>46248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Svart trolldruva</t>
        </is>
      </c>
      <c r="W48">
        <f>HYPERLINK("https://klasma.github.io/Logging_1783/artfynd/A 50030-2025 artfynd.xlsx", "A 50030-2025")</f>
        <v/>
      </c>
      <c r="X48">
        <f>HYPERLINK("https://klasma.github.io/Logging_1783/kartor/A 50030-2025 karta.png", "A 50030-2025")</f>
        <v/>
      </c>
      <c r="Y48">
        <f>HYPERLINK("https://klasma.github.io/Logging_1783/kartor_geotiff/A 50030-2025 georefererad karta.tif", "A 50030-2025")</f>
        <v/>
      </c>
      <c r="AA48">
        <f>HYPERLINK("https://klasma.github.io/Logging_1783/klagomål/A 50030-2025 FSC-klagomål.docx", "A 50030-2025")</f>
        <v/>
      </c>
      <c r="AB48">
        <f>HYPERLINK("https://klasma.github.io/Logging_1783/klagomålsmail/A 50030-2025 FSC-klagomål mail.docx", "A 50030-2025")</f>
        <v/>
      </c>
      <c r="AC48">
        <f>HYPERLINK("https://klasma.github.io/Logging_1783/tillsyn/A 50030-2025 tillsynsbegäran.docx", "A 50030-2025")</f>
        <v/>
      </c>
      <c r="AD48">
        <f>HYPERLINK("https://klasma.github.io/Logging_1783/tillsynsmail/A 50030-2025 tillsynsbegäran mail.docx", "A 50030-2025")</f>
        <v/>
      </c>
    </row>
    <row r="49" ht="15" customHeight="1">
      <c r="A49" t="inlineStr">
        <is>
          <t>A 24659-2026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46248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24659-2026 artfynd.xlsx", "A 24659-2026")</f>
        <v/>
      </c>
      <c r="X49">
        <f>HYPERLINK("https://klasma.github.io/Logging_1783/kartor/A 24659-2026 karta.png", "A 24659-2026")</f>
        <v/>
      </c>
      <c r="Y49">
        <f>HYPERLINK("https://klasma.github.io/Logging_1783/kartor_geotiff/A 24659-2026 georefererad karta.tif", "A 24659-2026")</f>
        <v/>
      </c>
      <c r="AA49">
        <f>HYPERLINK("https://klasma.github.io/Logging_1783/klagomål/A 24659-2026 FSC-klagomål.docx", "A 24659-2026")</f>
        <v/>
      </c>
      <c r="AB49">
        <f>HYPERLINK("https://klasma.github.io/Logging_1783/klagomålsmail/A 24659-2026 FSC-klagomål mail.docx", "A 24659-2026")</f>
        <v/>
      </c>
      <c r="AC49">
        <f>HYPERLINK("https://klasma.github.io/Logging_1783/tillsyn/A 24659-2026 tillsynsbegäran.docx", "A 24659-2026")</f>
        <v/>
      </c>
      <c r="AD49">
        <f>HYPERLINK("https://klasma.github.io/Logging_1783/tillsynsmail/A 24659-2026 tillsynsbegäran mail.docx", "A 24659-2026")</f>
        <v/>
      </c>
    </row>
    <row r="50" ht="15" customHeight="1">
      <c r="A50" t="inlineStr">
        <is>
          <t>A 24716-2026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46171</v>
      </c>
      <c r="E50" s="1" t="n">
        <v>46248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82.3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HYPERLINK("https://klasma.github.io/Logging_1783/artfynd/A 24716-2026 artfynd.xlsx", "A 24716-2026")</f>
        <v/>
      </c>
      <c r="X50">
        <f>HYPERLINK("https://klasma.github.io/Logging_1783/kartor/A 24716-2026 karta.png", "A 24716-2026")</f>
        <v/>
      </c>
      <c r="Y50">
        <f>HYPERLINK("https://klasma.github.io/Logging_1783/kartor_geotiff/A 24716-2026 georefererad karta.tif", "A 24716-2026")</f>
        <v/>
      </c>
      <c r="AA50">
        <f>HYPERLINK("https://klasma.github.io/Logging_1783/klagomål/A 24716-2026 FSC-klagomål.docx", "A 24716-2026")</f>
        <v/>
      </c>
      <c r="AB50">
        <f>HYPERLINK("https://klasma.github.io/Logging_1783/klagomålsmail/A 24716-2026 FSC-klagomål mail.docx", "A 24716-2026")</f>
        <v/>
      </c>
      <c r="AC50">
        <f>HYPERLINK("https://klasma.github.io/Logging_1783/tillsyn/A 24716-2026 tillsynsbegäran.docx", "A 24716-2026")</f>
        <v/>
      </c>
      <c r="AD50">
        <f>HYPERLINK("https://klasma.github.io/Logging_1783/tillsynsmail/A 24716-2026 tillsynsbegäran mail.docx", "A 24716-2026")</f>
        <v/>
      </c>
    </row>
    <row r="51" ht="15" customHeight="1">
      <c r="A51" t="inlineStr">
        <is>
          <t>A 54700-2025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45966</v>
      </c>
      <c r="E51" s="1" t="n">
        <v>46248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6.6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HYPERLINK("https://klasma.github.io/Logging_1783/artfynd/A 54700-2025 artfynd.xlsx", "A 54700-2025")</f>
        <v/>
      </c>
      <c r="X51">
        <f>HYPERLINK("https://klasma.github.io/Logging_1783/kartor/A 54700-2025 karta.png", "A 54700-2025")</f>
        <v/>
      </c>
      <c r="Y51">
        <f>HYPERLINK("https://klasma.github.io/Logging_1783/kartor_geotiff/A 54700-2025 georefererad karta.tif", "A 54700-2025")</f>
        <v/>
      </c>
      <c r="AA51">
        <f>HYPERLINK("https://klasma.github.io/Logging_1783/klagomål/A 54700-2025 FSC-klagomål.docx", "A 54700-2025")</f>
        <v/>
      </c>
      <c r="AB51">
        <f>HYPERLINK("https://klasma.github.io/Logging_1783/klagomålsmail/A 54700-2025 FSC-klagomål mail.docx", "A 54700-2025")</f>
        <v/>
      </c>
      <c r="AC51">
        <f>HYPERLINK("https://klasma.github.io/Logging_1783/tillsyn/A 54700-2025 tillsynsbegäran.docx", "A 54700-2025")</f>
        <v/>
      </c>
      <c r="AD51">
        <f>HYPERLINK("https://klasma.github.io/Logging_1783/tillsynsmail/A 54700-2025 tillsynsbegäran mail.docx", "A 54700-2025")</f>
        <v/>
      </c>
      <c r="AE51">
        <f>HYPERLINK("https://klasma.github.io/Logging_1783/fåglar/A 54700-2025 prioriterade fågelarter.docx", "A 54700-2025")</f>
        <v/>
      </c>
    </row>
    <row r="52" ht="15" customHeight="1">
      <c r="A52" t="inlineStr">
        <is>
          <t>A 26189-2026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46248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Sävsparv</t>
        </is>
      </c>
      <c r="W52">
        <f>HYPERLINK("https://klasma.github.io/Logging_1783/artfynd/A 26189-2026 artfynd.xlsx", "A 26189-2026")</f>
        <v/>
      </c>
      <c r="X52">
        <f>HYPERLINK("https://klasma.github.io/Logging_1783/kartor/A 26189-2026 karta.png", "A 26189-2026")</f>
        <v/>
      </c>
      <c r="Y52">
        <f>HYPERLINK("https://klasma.github.io/Logging_1783/kartor_geotiff/A 26189-2026 georefererad karta.tif", "A 26189-2026")</f>
        <v/>
      </c>
      <c r="AA52">
        <f>HYPERLINK("https://klasma.github.io/Logging_1783/klagomål/A 26189-2026 FSC-klagomål.docx", "A 26189-2026")</f>
        <v/>
      </c>
      <c r="AB52">
        <f>HYPERLINK("https://klasma.github.io/Logging_1783/klagomålsmail/A 26189-2026 FSC-klagomål mail.docx", "A 26189-2026")</f>
        <v/>
      </c>
      <c r="AC52">
        <f>HYPERLINK("https://klasma.github.io/Logging_1783/tillsyn/A 26189-2026 tillsynsbegäran.docx", "A 26189-2026")</f>
        <v/>
      </c>
      <c r="AD52">
        <f>HYPERLINK("https://klasma.github.io/Logging_1783/tillsynsmail/A 26189-2026 tillsynsbegäran mail.docx", "A 26189-2026")</f>
        <v/>
      </c>
      <c r="AE52">
        <f>HYPERLINK("https://klasma.github.io/Logging_1783/fåglar/A 26189-2026 prioriterade fågelarter.docx", "A 26189-2026")</f>
        <v/>
      </c>
    </row>
    <row r="53" ht="15" customHeight="1">
      <c r="A53" t="inlineStr">
        <is>
          <t>A 55484-2025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45971</v>
      </c>
      <c r="E53" s="1" t="n">
        <v>46248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Grön sköldmossa</t>
        </is>
      </c>
      <c r="W53">
        <f>HYPERLINK("https://klasma.github.io/Logging_1783/artfynd/A 55484-2025 artfynd.xlsx", "A 55484-2025")</f>
        <v/>
      </c>
      <c r="X53">
        <f>HYPERLINK("https://klasma.github.io/Logging_1783/kartor/A 55484-2025 karta.png", "A 55484-2025")</f>
        <v/>
      </c>
      <c r="Y53">
        <f>HYPERLINK("https://klasma.github.io/Logging_1783/kartor_geotiff/A 55484-2025 georefererad karta.tif", "A 55484-2025")</f>
        <v/>
      </c>
      <c r="AA53">
        <f>HYPERLINK("https://klasma.github.io/Logging_1783/klagomål/A 55484-2025 FSC-klagomål.docx", "A 55484-2025")</f>
        <v/>
      </c>
      <c r="AB53">
        <f>HYPERLINK("https://klasma.github.io/Logging_1783/klagomålsmail/A 55484-2025 FSC-klagomål mail.docx", "A 55484-2025")</f>
        <v/>
      </c>
      <c r="AC53">
        <f>HYPERLINK("https://klasma.github.io/Logging_1783/tillsyn/A 55484-2025 tillsynsbegäran.docx", "A 55484-2025")</f>
        <v/>
      </c>
      <c r="AD53">
        <f>HYPERLINK("https://klasma.github.io/Logging_1783/tillsynsmail/A 55484-2025 tillsynsbegäran mail.docx", "A 55484-2025")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46248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46248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46248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62954-2025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46009</v>
      </c>
      <c r="E57" s="1" t="n">
        <v>46248</v>
      </c>
      <c r="F57" t="inlineStr">
        <is>
          <t>VÄRMLANDS LÄN</t>
        </is>
      </c>
      <c r="G57" t="inlineStr">
        <is>
          <t>HAGFORS</t>
        </is>
      </c>
      <c r="I57" t="n">
        <v>9.1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Kråka</t>
        </is>
      </c>
      <c r="W57">
        <f>HYPERLINK("https://klasma.github.io/Logging_1783/artfynd/A 62954-2025 artfynd.xlsx", "A 62954-2025")</f>
        <v/>
      </c>
      <c r="X57">
        <f>HYPERLINK("https://klasma.github.io/Logging_1783/kartor/A 62954-2025 karta.png", "A 62954-2025")</f>
        <v/>
      </c>
      <c r="Y57">
        <f>HYPERLINK("https://klasma.github.io/Logging_1783/kartor_geotiff/A 62954-2025 georefererad karta.tif", "A 62954-2025")</f>
        <v/>
      </c>
      <c r="AA57">
        <f>HYPERLINK("https://klasma.github.io/Logging_1783/klagomål/A 62954-2025 FSC-klagomål.docx", "A 62954-2025")</f>
        <v/>
      </c>
      <c r="AB57">
        <f>HYPERLINK("https://klasma.github.io/Logging_1783/klagomålsmail/A 62954-2025 FSC-klagomål mail.docx", "A 62954-2025")</f>
        <v/>
      </c>
      <c r="AC57">
        <f>HYPERLINK("https://klasma.github.io/Logging_1783/tillsyn/A 62954-2025 tillsynsbegäran.docx", "A 62954-2025")</f>
        <v/>
      </c>
      <c r="AD57">
        <f>HYPERLINK("https://klasma.github.io/Logging_1783/tillsynsmail/A 62954-2025 tillsynsbegäran mail.docx", "A 62954-2025")</f>
        <v/>
      </c>
    </row>
    <row r="58" ht="15" customHeight="1">
      <c r="A58" t="inlineStr">
        <is>
          <t>A 8254-2026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46064</v>
      </c>
      <c r="E58" s="1" t="n">
        <v>46248</v>
      </c>
      <c r="F58" t="inlineStr">
        <is>
          <t>VÄRMLANDS LÄN</t>
        </is>
      </c>
      <c r="G58" t="inlineStr">
        <is>
          <t>HAGFORS</t>
        </is>
      </c>
      <c r="I58" t="n">
        <v>1.1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HYPERLINK("https://klasma.github.io/Logging_1783/artfynd/A 8254-2026 artfynd.xlsx", "A 8254-2026")</f>
        <v/>
      </c>
      <c r="X58">
        <f>HYPERLINK("https://klasma.github.io/Logging_1783/kartor/A 8254-2026 karta.png", "A 8254-2026")</f>
        <v/>
      </c>
      <c r="Y58">
        <f>HYPERLINK("https://klasma.github.io/Logging_1783/kartor_geotiff/A 8254-2026 georefererad karta.tif", "A 8254-2026")</f>
        <v/>
      </c>
      <c r="AA58">
        <f>HYPERLINK("https://klasma.github.io/Logging_1783/klagomål/A 8254-2026 FSC-klagomål.docx", "A 8254-2026")</f>
        <v/>
      </c>
      <c r="AB58">
        <f>HYPERLINK("https://klasma.github.io/Logging_1783/klagomålsmail/A 8254-2026 FSC-klagomål mail.docx", "A 8254-2026")</f>
        <v/>
      </c>
      <c r="AC58">
        <f>HYPERLINK("https://klasma.github.io/Logging_1783/tillsyn/A 8254-2026 tillsynsbegäran.docx", "A 8254-2026")</f>
        <v/>
      </c>
      <c r="AD58">
        <f>HYPERLINK("https://klasma.github.io/Logging_1783/tillsynsmail/A 8254-2026 tillsynsbegäran mail.docx", "A 8254-2026")</f>
        <v/>
      </c>
    </row>
    <row r="59" ht="15" customHeight="1">
      <c r="A59" t="inlineStr">
        <is>
          <t>A 12445-2026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46090</v>
      </c>
      <c r="E59" s="1" t="n">
        <v>46248</v>
      </c>
      <c r="F59" t="inlineStr">
        <is>
          <t>VÄRMLANDS LÄN</t>
        </is>
      </c>
      <c r="G59" t="inlineStr">
        <is>
          <t>HAGFORS</t>
        </is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HYPERLINK("https://klasma.github.io/Logging_1783/artfynd/A 12445-2026 artfynd.xlsx", "A 12445-2026")</f>
        <v/>
      </c>
      <c r="X59">
        <f>HYPERLINK("https://klasma.github.io/Logging_1783/kartor/A 12445-2026 karta.png", "A 12445-2026")</f>
        <v/>
      </c>
      <c r="Y59">
        <f>HYPERLINK("https://klasma.github.io/Logging_1783/kartor_geotiff/A 12445-2026 georefererad karta.tif", "A 12445-2026")</f>
        <v/>
      </c>
      <c r="AA59">
        <f>HYPERLINK("https://klasma.github.io/Logging_1783/klagomål/A 12445-2026 FSC-klagomål.docx", "A 12445-2026")</f>
        <v/>
      </c>
      <c r="AB59">
        <f>HYPERLINK("https://klasma.github.io/Logging_1783/klagomålsmail/A 12445-2026 FSC-klagomål mail.docx", "A 12445-2026")</f>
        <v/>
      </c>
      <c r="AC59">
        <f>HYPERLINK("https://klasma.github.io/Logging_1783/tillsyn/A 12445-2026 tillsynsbegäran.docx", "A 12445-2026")</f>
        <v/>
      </c>
      <c r="AD59">
        <f>HYPERLINK("https://klasma.github.io/Logging_1783/tillsynsmail/A 12445-2026 tillsynsbegäran mail.docx", "A 12445-2026")</f>
        <v/>
      </c>
      <c r="AE59">
        <f>HYPERLINK("https://klasma.github.io/Logging_1783/fåglar/A 12445-2026 prioriterade fågelarter.docx", "A 12445-2026")</f>
        <v/>
      </c>
    </row>
    <row r="60" ht="15" customHeight="1">
      <c r="A60" t="inlineStr">
        <is>
          <t>A 19362-2026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46133</v>
      </c>
      <c r="E60" s="1" t="n">
        <v>46248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8.5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19362-2026 artfynd.xlsx", "A 19362-2026")</f>
        <v/>
      </c>
      <c r="X60">
        <f>HYPERLINK("https://klasma.github.io/Logging_1783/kartor/A 19362-2026 karta.png", "A 19362-2026")</f>
        <v/>
      </c>
      <c r="Y60">
        <f>HYPERLINK("https://klasma.github.io/Logging_1783/kartor_geotiff/A 19362-2026 georefererad karta.tif", "A 19362-2026")</f>
        <v/>
      </c>
      <c r="AA60">
        <f>HYPERLINK("https://klasma.github.io/Logging_1783/klagomål/A 19362-2026 FSC-klagomål.docx", "A 19362-2026")</f>
        <v/>
      </c>
      <c r="AB60">
        <f>HYPERLINK("https://klasma.github.io/Logging_1783/klagomålsmail/A 19362-2026 FSC-klagomål mail.docx", "A 19362-2026")</f>
        <v/>
      </c>
      <c r="AC60">
        <f>HYPERLINK("https://klasma.github.io/Logging_1783/tillsyn/A 19362-2026 tillsynsbegäran.docx", "A 19362-2026")</f>
        <v/>
      </c>
      <c r="AD60">
        <f>HYPERLINK("https://klasma.github.io/Logging_1783/tillsynsmail/A 19362-2026 tillsynsbegäran mail.docx", "A 19362-2026")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46248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46248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46248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46248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46248</v>
      </c>
      <c r="F65" t="inlineStr">
        <is>
          <t>VÄRMLANDS LÄN</t>
        </is>
      </c>
      <c r="G65" t="inlineStr">
        <is>
          <t>HAGFORS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73207-2021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46248</v>
      </c>
      <c r="F66" t="inlineStr">
        <is>
          <t>VÄRMLANDS LÄN</t>
        </is>
      </c>
      <c r="G66" t="inlineStr">
        <is>
          <t>HAGFORS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46248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64051-2021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46248</v>
      </c>
      <c r="F68" t="inlineStr">
        <is>
          <t>VÄRMLANDS LÄN</t>
        </is>
      </c>
      <c r="G68" t="inlineStr">
        <is>
          <t>HAGFORS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68148-2021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44526</v>
      </c>
      <c r="E69" s="1" t="n">
        <v>46248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14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34220-2022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44791</v>
      </c>
      <c r="E70" s="1" t="n">
        <v>46248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46248</v>
      </c>
      <c r="F71" t="inlineStr">
        <is>
          <t>VÄRMLANDS LÄN</t>
        </is>
      </c>
      <c r="G71" t="inlineStr">
        <is>
          <t>HAGFORS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71082-2021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46248</v>
      </c>
      <c r="F72" t="inlineStr">
        <is>
          <t>VÄRMLANDS LÄN</t>
        </is>
      </c>
      <c r="G72" t="inlineStr">
        <is>
          <t>HAGFORS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12431-2022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46248</v>
      </c>
      <c r="F73" t="inlineStr">
        <is>
          <t>VÄRMLANDS LÄN</t>
        </is>
      </c>
      <c r="G73" t="inlineStr">
        <is>
          <t>HAGFORS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65295-2021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46248</v>
      </c>
      <c r="F74" t="inlineStr">
        <is>
          <t>VÄRMLANDS LÄN</t>
        </is>
      </c>
      <c r="G74" t="inlineStr">
        <is>
          <t>HAGFORS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10305-2022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44622</v>
      </c>
      <c r="E75" s="1" t="n">
        <v>46248</v>
      </c>
      <c r="F75" t="inlineStr">
        <is>
          <t>VÄRMLANDS LÄN</t>
        </is>
      </c>
      <c r="G75" t="inlineStr">
        <is>
          <t>HAGFORS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44566</v>
      </c>
      <c r="E76" s="1" t="n">
        <v>46248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44607</v>
      </c>
      <c r="E77" s="1" t="n">
        <v>46248</v>
      </c>
      <c r="F77" t="inlineStr">
        <is>
          <t>VÄRMLANDS LÄN</t>
        </is>
      </c>
      <c r="G77" t="inlineStr">
        <is>
          <t>HAGFORS</t>
        </is>
      </c>
      <c r="H77" t="inlineStr">
        <is>
          <t>Bergvik skog väst AB</t>
        </is>
      </c>
      <c r="I77" t="n">
        <v>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45293-2021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44439</v>
      </c>
      <c r="E78" s="1" t="n">
        <v>46248</v>
      </c>
      <c r="F78" t="inlineStr">
        <is>
          <t>VÄRMLANDS LÄN</t>
        </is>
      </c>
      <c r="G78" t="inlineStr">
        <is>
          <t>HAGFORS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65551-2021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46248</v>
      </c>
      <c r="F79" t="inlineStr">
        <is>
          <t>VÄRMLANDS LÄN</t>
        </is>
      </c>
      <c r="G79" t="inlineStr">
        <is>
          <t>HAGFORS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46248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44059-2021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44434</v>
      </c>
      <c r="E81" s="1" t="n">
        <v>46248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44756</v>
      </c>
      <c r="E82" s="1" t="n">
        <v>46248</v>
      </c>
      <c r="F82" t="inlineStr">
        <is>
          <t>VÄRMLANDS LÄN</t>
        </is>
      </c>
      <c r="G82" t="inlineStr">
        <is>
          <t>HAGFORS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8577-2022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44613</v>
      </c>
      <c r="E83" s="1" t="n">
        <v>46248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46248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44683</v>
      </c>
      <c r="E85" s="1" t="n">
        <v>46248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43473-2021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44432</v>
      </c>
      <c r="E86" s="1" t="n">
        <v>46248</v>
      </c>
      <c r="F86" t="inlineStr">
        <is>
          <t>VÄRMLANDS LÄN</t>
        </is>
      </c>
      <c r="G86" t="inlineStr">
        <is>
          <t>HAGFORS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41999-2021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44426</v>
      </c>
      <c r="E87" s="1" t="n">
        <v>46248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42.4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46248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44539-2021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44435</v>
      </c>
      <c r="E89" s="1" t="n">
        <v>46248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27.3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46248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46248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46248</v>
      </c>
      <c r="F92" t="inlineStr">
        <is>
          <t>VÄRMLANDS LÄN</t>
        </is>
      </c>
      <c r="G92" t="inlineStr">
        <is>
          <t>HAGFORS</t>
        </is>
      </c>
      <c r="H92" t="inlineStr">
        <is>
          <t>Kommuner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44545</v>
      </c>
      <c r="E93" s="1" t="n">
        <v>46248</v>
      </c>
      <c r="F93" t="inlineStr">
        <is>
          <t>VÄRMLANDS LÄN</t>
        </is>
      </c>
      <c r="G93" t="inlineStr">
        <is>
          <t>HAGFORS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46248</v>
      </c>
      <c r="F94" t="inlineStr">
        <is>
          <t>VÄRMLANDS LÄN</t>
        </is>
      </c>
      <c r="G94" t="inlineStr">
        <is>
          <t>HAGFORS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44799</v>
      </c>
      <c r="E95" s="1" t="n">
        <v>46248</v>
      </c>
      <c r="F95" t="inlineStr">
        <is>
          <t>VÄRMLANDS LÄN</t>
        </is>
      </c>
      <c r="G95" t="inlineStr">
        <is>
          <t>HAGFORS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43475-2022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44836</v>
      </c>
      <c r="E96" s="1" t="n">
        <v>46248</v>
      </c>
      <c r="F96" t="inlineStr">
        <is>
          <t>VÄRMLANDS LÄN</t>
        </is>
      </c>
      <c r="G96" t="inlineStr">
        <is>
          <t>HAGFORS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20436-2022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44699</v>
      </c>
      <c r="E97" s="1" t="n">
        <v>46248</v>
      </c>
      <c r="F97" t="inlineStr">
        <is>
          <t>VÄRMLANDS LÄN</t>
        </is>
      </c>
      <c r="G97" t="inlineStr">
        <is>
          <t>HAGFORS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46248</v>
      </c>
      <c r="F98" t="inlineStr">
        <is>
          <t>VÄRMLANDS LÄN</t>
        </is>
      </c>
      <c r="G98" t="inlineStr">
        <is>
          <t>HAGFORS</t>
        </is>
      </c>
      <c r="H98" t="inlineStr">
        <is>
          <t>Bergvik skog väst AB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51759-2022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46248</v>
      </c>
      <c r="F99" t="inlineStr">
        <is>
          <t>VÄRMLANDS LÄN</t>
        </is>
      </c>
      <c r="G99" t="inlineStr">
        <is>
          <t>HAGFORS</t>
        </is>
      </c>
      <c r="H99" t="inlineStr">
        <is>
          <t>Bergvik skog väst AB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39059-2022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44817</v>
      </c>
      <c r="E100" s="1" t="n">
        <v>46248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46248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44545</v>
      </c>
      <c r="E102" s="1" t="n">
        <v>46248</v>
      </c>
      <c r="F102" t="inlineStr">
        <is>
          <t>VÄRMLANDS LÄN</t>
        </is>
      </c>
      <c r="G102" t="inlineStr">
        <is>
          <t>HAGFORS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46248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46248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65565-2021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46248</v>
      </c>
      <c r="F105" t="inlineStr">
        <is>
          <t>VÄRMLANDS LÄN</t>
        </is>
      </c>
      <c r="G105" t="inlineStr">
        <is>
          <t>HAGFORS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46248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17402-2022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44678</v>
      </c>
      <c r="E107" s="1" t="n">
        <v>46248</v>
      </c>
      <c r="F107" t="inlineStr">
        <is>
          <t>VÄRMLANDS LÄN</t>
        </is>
      </c>
      <c r="G107" t="inlineStr">
        <is>
          <t>HAGFORS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30158-2024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45489</v>
      </c>
      <c r="E108" s="1" t="n">
        <v>46248</v>
      </c>
      <c r="F108" t="inlineStr">
        <is>
          <t>VÄRMLANDS LÄN</t>
        </is>
      </c>
      <c r="G108" t="inlineStr">
        <is>
          <t>HAGFORS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21442-2022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44706</v>
      </c>
      <c r="E109" s="1" t="n">
        <v>46248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44246-2022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44839</v>
      </c>
      <c r="E110" s="1" t="n">
        <v>46248</v>
      </c>
      <c r="F110" t="inlineStr">
        <is>
          <t>VÄRMLANDS LÄN</t>
        </is>
      </c>
      <c r="G110" t="inlineStr">
        <is>
          <t>HAGFORS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46248</v>
      </c>
      <c r="F111" t="inlineStr">
        <is>
          <t>VÄRMLANDS LÄN</t>
        </is>
      </c>
      <c r="G111" t="inlineStr">
        <is>
          <t>HAGFORS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45678</v>
      </c>
      <c r="E112" s="1" t="n">
        <v>46248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7304-2022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44606</v>
      </c>
      <c r="E113" s="1" t="n">
        <v>46248</v>
      </c>
      <c r="F113" t="inlineStr">
        <is>
          <t>VÄRMLANDS LÄN</t>
        </is>
      </c>
      <c r="G113" t="inlineStr">
        <is>
          <t>HAGFORS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46248</v>
      </c>
      <c r="F114" t="inlineStr">
        <is>
          <t>VÄRMLANDS LÄN</t>
        </is>
      </c>
      <c r="G114" t="inlineStr">
        <is>
          <t>HAGFORS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45152</v>
      </c>
      <c r="E115" s="1" t="n">
        <v>46248</v>
      </c>
      <c r="F115" t="inlineStr">
        <is>
          <t>VÄRMLANDS LÄN</t>
        </is>
      </c>
      <c r="G115" t="inlineStr">
        <is>
          <t>HAGFORS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28654-2023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45103</v>
      </c>
      <c r="E116" s="1" t="n">
        <v>46248</v>
      </c>
      <c r="F116" t="inlineStr">
        <is>
          <t>VÄRMLANDS LÄN</t>
        </is>
      </c>
      <c r="G116" t="inlineStr">
        <is>
          <t>HAGFORS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56466-2024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45625</v>
      </c>
      <c r="E117" s="1" t="n">
        <v>46248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53757-2021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46248</v>
      </c>
      <c r="F118" t="inlineStr">
        <is>
          <t>VÄRMLANDS LÄN</t>
        </is>
      </c>
      <c r="G118" t="inlineStr">
        <is>
          <t>HAGFORS</t>
        </is>
      </c>
      <c r="H118" t="inlineStr">
        <is>
          <t>Kyrkan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45335</v>
      </c>
      <c r="E119" s="1" t="n">
        <v>46248</v>
      </c>
      <c r="F119" t="inlineStr">
        <is>
          <t>VÄRMLANDS LÄN</t>
        </is>
      </c>
      <c r="G119" t="inlineStr">
        <is>
          <t>HAGFORS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46248</v>
      </c>
      <c r="F120" t="inlineStr">
        <is>
          <t>VÄRMLANDS LÄN</t>
        </is>
      </c>
      <c r="G120" t="inlineStr">
        <is>
          <t>HAGFORS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9763-2025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45716</v>
      </c>
      <c r="E121" s="1" t="n">
        <v>46248</v>
      </c>
      <c r="F121" t="inlineStr">
        <is>
          <t>VÄRMLANDS LÄN</t>
        </is>
      </c>
      <c r="G121" t="inlineStr">
        <is>
          <t>HAGFORS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14464-2025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45741</v>
      </c>
      <c r="E122" s="1" t="n">
        <v>46248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46248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44883</v>
      </c>
      <c r="E124" s="1" t="n">
        <v>46248</v>
      </c>
      <c r="F124" t="inlineStr">
        <is>
          <t>VÄRMLANDS LÄN</t>
        </is>
      </c>
      <c r="G124" t="inlineStr">
        <is>
          <t>HAGFORS</t>
        </is>
      </c>
      <c r="H124" t="inlineStr">
        <is>
          <t>Bergvik skog väst AB</t>
        </is>
      </c>
      <c r="I124" t="n">
        <v>17.9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44757</v>
      </c>
      <c r="E125" s="1" t="n">
        <v>46248</v>
      </c>
      <c r="F125" t="inlineStr">
        <is>
          <t>VÄRMLANDS LÄN</t>
        </is>
      </c>
      <c r="G125" t="inlineStr">
        <is>
          <t>HAGFORS</t>
        </is>
      </c>
      <c r="H125" t="inlineStr">
        <is>
          <t>Bergvik skog väst AB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61304-2023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45264</v>
      </c>
      <c r="E126" s="1" t="n">
        <v>46248</v>
      </c>
      <c r="F126" t="inlineStr">
        <is>
          <t>VÄRMLANDS LÄN</t>
        </is>
      </c>
      <c r="G126" t="inlineStr">
        <is>
          <t>HAGFORS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4047-2024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46248</v>
      </c>
      <c r="F127" t="inlineStr">
        <is>
          <t>VÄRMLANDS LÄN</t>
        </is>
      </c>
      <c r="G127" t="inlineStr">
        <is>
          <t>HAGFORS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45238-2024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45575</v>
      </c>
      <c r="E128" s="1" t="n">
        <v>46248</v>
      </c>
      <c r="F128" t="inlineStr">
        <is>
          <t>VÄRMLANDS LÄN</t>
        </is>
      </c>
      <c r="G128" t="inlineStr">
        <is>
          <t>HAGFORS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37085-2023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45155</v>
      </c>
      <c r="E129" s="1" t="n">
        <v>46248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37463-2022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44809</v>
      </c>
      <c r="E130" s="1" t="n">
        <v>46248</v>
      </c>
      <c r="F130" t="inlineStr">
        <is>
          <t>VÄRMLANDS LÄN</t>
        </is>
      </c>
      <c r="G130" t="inlineStr">
        <is>
          <t>HAGFORS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62461-2023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46248</v>
      </c>
      <c r="F131" t="inlineStr">
        <is>
          <t>VÄRMLANDS LÄN</t>
        </is>
      </c>
      <c r="G131" t="inlineStr">
        <is>
          <t>HAGFORS</t>
        </is>
      </c>
      <c r="H131" t="inlineStr">
        <is>
          <t>Bergvik skog väst AB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44687</v>
      </c>
      <c r="E132" s="1" t="n">
        <v>46248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20.2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45057</v>
      </c>
      <c r="E133" s="1" t="n">
        <v>46248</v>
      </c>
      <c r="F133" t="inlineStr">
        <is>
          <t>VÄRMLANDS LÄN</t>
        </is>
      </c>
      <c r="G133" t="inlineStr">
        <is>
          <t>HAGFORS</t>
        </is>
      </c>
      <c r="H133" t="inlineStr">
        <is>
          <t>Kyrkan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45148</v>
      </c>
      <c r="E134" s="1" t="n">
        <v>46248</v>
      </c>
      <c r="F134" t="inlineStr">
        <is>
          <t>VÄRMLANDS LÄN</t>
        </is>
      </c>
      <c r="G134" t="inlineStr">
        <is>
          <t>HAGFORS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46248</v>
      </c>
      <c r="F135" t="inlineStr">
        <is>
          <t>VÄRMLANDS LÄN</t>
        </is>
      </c>
      <c r="G135" t="inlineStr">
        <is>
          <t>HAGFORS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46248</v>
      </c>
      <c r="F136" t="inlineStr">
        <is>
          <t>VÄRMLANDS LÄN</t>
        </is>
      </c>
      <c r="G136" t="inlineStr">
        <is>
          <t>HAGFORS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36030-2023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45149</v>
      </c>
      <c r="E137" s="1" t="n">
        <v>46248</v>
      </c>
      <c r="F137" t="inlineStr">
        <is>
          <t>VÄRMLANDS LÄN</t>
        </is>
      </c>
      <c r="G137" t="inlineStr">
        <is>
          <t>HAGFORS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46248</v>
      </c>
      <c r="F138" t="inlineStr">
        <is>
          <t>VÄRMLANDS LÄN</t>
        </is>
      </c>
      <c r="G138" t="inlineStr">
        <is>
          <t>HAGFORS</t>
        </is>
      </c>
      <c r="I138" t="n">
        <v>13.5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46248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45356</v>
      </c>
      <c r="E140" s="1" t="n">
        <v>46248</v>
      </c>
      <c r="F140" t="inlineStr">
        <is>
          <t>VÄRMLANDS LÄN</t>
        </is>
      </c>
      <c r="G140" t="inlineStr">
        <is>
          <t>HAGFORS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52083-2024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46248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44125-2021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44434</v>
      </c>
      <c r="E142" s="1" t="n">
        <v>46248</v>
      </c>
      <c r="F142" t="inlineStr">
        <is>
          <t>VÄRMLANDS LÄN</t>
        </is>
      </c>
      <c r="G142" t="inlineStr">
        <is>
          <t>HAGFORS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26859-2024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45470</v>
      </c>
      <c r="E143" s="1" t="n">
        <v>46248</v>
      </c>
      <c r="F143" t="inlineStr">
        <is>
          <t>VÄRMLANDS LÄN</t>
        </is>
      </c>
      <c r="G143" t="inlineStr">
        <is>
          <t>HAGFORS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22031-2023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46248</v>
      </c>
      <c r="F144" t="inlineStr">
        <is>
          <t>VÄRMLANDS LÄN</t>
        </is>
      </c>
      <c r="G144" t="inlineStr">
        <is>
          <t>HAGFORS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42175-2024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46248</v>
      </c>
      <c r="F145" t="inlineStr">
        <is>
          <t>VÄRMLANDS LÄN</t>
        </is>
      </c>
      <c r="G145" t="inlineStr">
        <is>
          <t>HAGFORS</t>
        </is>
      </c>
      <c r="H145" t="inlineStr">
        <is>
          <t>Bergvik skog väst AB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46248</v>
      </c>
      <c r="F146" t="inlineStr">
        <is>
          <t>VÄRMLANDS LÄN</t>
        </is>
      </c>
      <c r="G146" t="inlineStr">
        <is>
          <t>HAGFORS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32031-2024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45510</v>
      </c>
      <c r="E147" s="1" t="n">
        <v>46248</v>
      </c>
      <c r="F147" t="inlineStr">
        <is>
          <t>VÄRMLANDS LÄN</t>
        </is>
      </c>
      <c r="G147" t="inlineStr">
        <is>
          <t>HAGFORS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45621</v>
      </c>
      <c r="E148" s="1" t="n">
        <v>46248</v>
      </c>
      <c r="F148" t="inlineStr">
        <is>
          <t>VÄRMLANDS LÄN</t>
        </is>
      </c>
      <c r="G148" t="inlineStr">
        <is>
          <t>HAGFORS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45218-2021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44439</v>
      </c>
      <c r="E149" s="1" t="n">
        <v>46248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49.5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25258-2023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45079</v>
      </c>
      <c r="E150" s="1" t="n">
        <v>46248</v>
      </c>
      <c r="F150" t="inlineStr">
        <is>
          <t>VÄRMLANDS LÄN</t>
        </is>
      </c>
      <c r="G150" t="inlineStr">
        <is>
          <t>HAGFORS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15538-2024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45401</v>
      </c>
      <c r="E151" s="1" t="n">
        <v>46248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46248</v>
      </c>
      <c r="F152" t="inlineStr">
        <is>
          <t>VÄRMLANDS LÄN</t>
        </is>
      </c>
      <c r="G152" t="inlineStr">
        <is>
          <t>HAGFORS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44664</v>
      </c>
      <c r="E153" s="1" t="n">
        <v>46248</v>
      </c>
      <c r="F153" t="inlineStr">
        <is>
          <t>VÄRMLANDS LÄN</t>
        </is>
      </c>
      <c r="G153" t="inlineStr">
        <is>
          <t>HAGFORS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46248</v>
      </c>
      <c r="F154" t="inlineStr">
        <is>
          <t>VÄRMLANDS LÄN</t>
        </is>
      </c>
      <c r="G154" t="inlineStr">
        <is>
          <t>HAGFORS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60974-2024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45645</v>
      </c>
      <c r="E155" s="1" t="n">
        <v>46248</v>
      </c>
      <c r="F155" t="inlineStr">
        <is>
          <t>VÄRMLANDS LÄN</t>
        </is>
      </c>
      <c r="G155" t="inlineStr">
        <is>
          <t>HAGFORS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21451-2024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45441</v>
      </c>
      <c r="E156" s="1" t="n">
        <v>46248</v>
      </c>
      <c r="F156" t="inlineStr">
        <is>
          <t>VÄRMLANDS LÄN</t>
        </is>
      </c>
      <c r="G156" t="inlineStr">
        <is>
          <t>HAGFORS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62546-2022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44924</v>
      </c>
      <c r="E157" s="1" t="n">
        <v>46248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44953</v>
      </c>
      <c r="E158" s="1" t="n">
        <v>46248</v>
      </c>
      <c r="F158" t="inlineStr">
        <is>
          <t>VÄRMLANDS LÄN</t>
        </is>
      </c>
      <c r="G158" t="inlineStr">
        <is>
          <t>HAGFORS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32147-2023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46248</v>
      </c>
      <c r="F159" t="inlineStr">
        <is>
          <t>VÄRMLANDS LÄN</t>
        </is>
      </c>
      <c r="G159" t="inlineStr">
        <is>
          <t>HAGFORS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6478-2025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45699</v>
      </c>
      <c r="E160" s="1" t="n">
        <v>46248</v>
      </c>
      <c r="F160" t="inlineStr">
        <is>
          <t>VÄRMLANDS LÄN</t>
        </is>
      </c>
      <c r="G160" t="inlineStr">
        <is>
          <t>HAGFORS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46248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44951</v>
      </c>
      <c r="E162" s="1" t="n">
        <v>46248</v>
      </c>
      <c r="F162" t="inlineStr">
        <is>
          <t>VÄRMLANDS LÄN</t>
        </is>
      </c>
      <c r="G162" t="inlineStr">
        <is>
          <t>HAGFORS</t>
        </is>
      </c>
      <c r="H162" t="inlineStr">
        <is>
          <t>Kyrkan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45772</v>
      </c>
      <c r="E163" s="1" t="n">
        <v>46248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45203</v>
      </c>
      <c r="E164" s="1" t="n">
        <v>46248</v>
      </c>
      <c r="F164" t="inlineStr">
        <is>
          <t>VÄRMLANDS LÄN</t>
        </is>
      </c>
      <c r="G164" t="inlineStr">
        <is>
          <t>HAGFORS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17297-2024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45414</v>
      </c>
      <c r="E165" s="1" t="n">
        <v>46248</v>
      </c>
      <c r="F165" t="inlineStr">
        <is>
          <t>VÄRMLANDS LÄN</t>
        </is>
      </c>
      <c r="G165" t="inlineStr">
        <is>
          <t>HAGFORS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31657-2024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45506</v>
      </c>
      <c r="E166" s="1" t="n">
        <v>46248</v>
      </c>
      <c r="F166" t="inlineStr">
        <is>
          <t>VÄRMLANDS LÄN</t>
        </is>
      </c>
      <c r="G166" t="inlineStr">
        <is>
          <t>HAGFORS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56893-2023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46248</v>
      </c>
      <c r="F167" t="inlineStr">
        <is>
          <t>VÄRMLANDS LÄN</t>
        </is>
      </c>
      <c r="G167" t="inlineStr">
        <is>
          <t>HAGFORS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58210-2022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44901</v>
      </c>
      <c r="E168" s="1" t="n">
        <v>46248</v>
      </c>
      <c r="F168" t="inlineStr">
        <is>
          <t>VÄRMLANDS LÄN</t>
        </is>
      </c>
      <c r="G168" t="inlineStr">
        <is>
          <t>HAGFORS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54112-2023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45232</v>
      </c>
      <c r="E169" s="1" t="n">
        <v>46248</v>
      </c>
      <c r="F169" t="inlineStr">
        <is>
          <t>VÄRMLANDS LÄN</t>
        </is>
      </c>
      <c r="G169" t="inlineStr">
        <is>
          <t>HAGFORS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18014-2024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45419</v>
      </c>
      <c r="E170" s="1" t="n">
        <v>46248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46248</v>
      </c>
      <c r="F171" t="inlineStr">
        <is>
          <t>VÄRMLANDS LÄN</t>
        </is>
      </c>
      <c r="G171" t="inlineStr">
        <is>
          <t>HAGFORS</t>
        </is>
      </c>
      <c r="I171" t="n">
        <v>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45684</v>
      </c>
      <c r="E172" s="1" t="n">
        <v>46248</v>
      </c>
      <c r="F172" t="inlineStr">
        <is>
          <t>VÄRMLANDS LÄN</t>
        </is>
      </c>
      <c r="G172" t="inlineStr">
        <is>
          <t>HAGFORS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12434-2022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44638</v>
      </c>
      <c r="E173" s="1" t="n">
        <v>46248</v>
      </c>
      <c r="F173" t="inlineStr">
        <is>
          <t>VÄRMLANDS LÄN</t>
        </is>
      </c>
      <c r="G173" t="inlineStr">
        <is>
          <t>HAGFORS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46248</v>
      </c>
      <c r="F174" t="inlineStr">
        <is>
          <t>VÄRMLANDS LÄN</t>
        </is>
      </c>
      <c r="G174" t="inlineStr">
        <is>
          <t>HAGFORS</t>
        </is>
      </c>
      <c r="H174" t="inlineStr">
        <is>
          <t>Kommuner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64936-2023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45282</v>
      </c>
      <c r="E175" s="1" t="n">
        <v>46248</v>
      </c>
      <c r="F175" t="inlineStr">
        <is>
          <t>VÄRMLANDS LÄN</t>
        </is>
      </c>
      <c r="G175" t="inlineStr">
        <is>
          <t>HAGFORS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44824</v>
      </c>
      <c r="E176" s="1" t="n">
        <v>46248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7.2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46248</v>
      </c>
      <c r="F177" t="inlineStr">
        <is>
          <t>VÄRMLANDS LÄN</t>
        </is>
      </c>
      <c r="G177" t="inlineStr">
        <is>
          <t>HAGFORS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20682-2024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46248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44949</v>
      </c>
      <c r="E179" s="1" t="n">
        <v>46248</v>
      </c>
      <c r="F179" t="inlineStr">
        <is>
          <t>VÄRMLANDS LÄN</t>
        </is>
      </c>
      <c r="G179" t="inlineStr">
        <is>
          <t>HAGFORS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30327-2022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44760</v>
      </c>
      <c r="E180" s="1" t="n">
        <v>46248</v>
      </c>
      <c r="F180" t="inlineStr">
        <is>
          <t>VÄRMLANDS LÄN</t>
        </is>
      </c>
      <c r="G180" t="inlineStr">
        <is>
          <t>HAGFORS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6910-2024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46248</v>
      </c>
      <c r="F181" t="inlineStr">
        <is>
          <t>VÄRMLANDS LÄN</t>
        </is>
      </c>
      <c r="G181" t="inlineStr">
        <is>
          <t>HAGFORS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45715</v>
      </c>
      <c r="E182" s="1" t="n">
        <v>46248</v>
      </c>
      <c r="F182" t="inlineStr">
        <is>
          <t>VÄRMLANDS LÄN</t>
        </is>
      </c>
      <c r="G182" t="inlineStr">
        <is>
          <t>HAGFORS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47021-2023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45201</v>
      </c>
      <c r="E183" s="1" t="n">
        <v>46248</v>
      </c>
      <c r="F183" t="inlineStr">
        <is>
          <t>VÄRMLANDS LÄN</t>
        </is>
      </c>
      <c r="G183" t="inlineStr">
        <is>
          <t>HAGFORS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71447-2021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44540</v>
      </c>
      <c r="E184" s="1" t="n">
        <v>46248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60221-2023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45258</v>
      </c>
      <c r="E185" s="1" t="n">
        <v>46248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19583-2023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45050</v>
      </c>
      <c r="E186" s="1" t="n">
        <v>46248</v>
      </c>
      <c r="F186" t="inlineStr">
        <is>
          <t>VÄRMLANDS LÄN</t>
        </is>
      </c>
      <c r="G186" t="inlineStr">
        <is>
          <t>HAGFORS</t>
        </is>
      </c>
      <c r="H186" t="inlineStr">
        <is>
          <t>Kommuner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45653</v>
      </c>
      <c r="E187" s="1" t="n">
        <v>46248</v>
      </c>
      <c r="F187" t="inlineStr">
        <is>
          <t>VÄRMLANDS LÄN</t>
        </is>
      </c>
      <c r="G187" t="inlineStr">
        <is>
          <t>HAGFORS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35668-2023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46248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46248</v>
      </c>
      <c r="F189" t="inlineStr">
        <is>
          <t>VÄRMLANDS LÄN</t>
        </is>
      </c>
      <c r="G189" t="inlineStr">
        <is>
          <t>HAGFORS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44834</v>
      </c>
      <c r="E190" s="1" t="n">
        <v>46248</v>
      </c>
      <c r="F190" t="inlineStr">
        <is>
          <t>VÄRMLANDS LÄN</t>
        </is>
      </c>
      <c r="G190" t="inlineStr">
        <is>
          <t>HAGFORS</t>
        </is>
      </c>
      <c r="H190" t="inlineStr">
        <is>
          <t>Kyrkan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19783-2023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45051</v>
      </c>
      <c r="E191" s="1" t="n">
        <v>46248</v>
      </c>
      <c r="F191" t="inlineStr">
        <is>
          <t>VÄRMLANDS LÄN</t>
        </is>
      </c>
      <c r="G191" t="inlineStr">
        <is>
          <t>HAGFORS</t>
        </is>
      </c>
      <c r="H191" t="inlineStr">
        <is>
          <t>Kommuner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32627-2023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45121</v>
      </c>
      <c r="E192" s="1" t="n">
        <v>46248</v>
      </c>
      <c r="F192" t="inlineStr">
        <is>
          <t>VÄRMLANDS LÄN</t>
        </is>
      </c>
      <c r="G192" t="inlineStr">
        <is>
          <t>HAGFORS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44817</v>
      </c>
      <c r="E193" s="1" t="n">
        <v>46248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46248</v>
      </c>
      <c r="F194" t="inlineStr">
        <is>
          <t>VÄRMLANDS LÄN</t>
        </is>
      </c>
      <c r="G194" t="inlineStr">
        <is>
          <t>HAGFORS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46248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45435</v>
      </c>
      <c r="E196" s="1" t="n">
        <v>46248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38612-2023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46248</v>
      </c>
      <c r="F197" t="inlineStr">
        <is>
          <t>VÄRMLANDS LÄN</t>
        </is>
      </c>
      <c r="G197" t="inlineStr">
        <is>
          <t>HAGFORS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45644</v>
      </c>
      <c r="E198" s="1" t="n">
        <v>46248</v>
      </c>
      <c r="F198" t="inlineStr">
        <is>
          <t>VÄRMLANDS LÄN</t>
        </is>
      </c>
      <c r="G198" t="inlineStr">
        <is>
          <t>HAGFORS</t>
        </is>
      </c>
      <c r="H198" t="inlineStr">
        <is>
          <t>Kyrkan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45400</v>
      </c>
      <c r="E199" s="1" t="n">
        <v>46248</v>
      </c>
      <c r="F199" t="inlineStr">
        <is>
          <t>VÄRMLANDS LÄN</t>
        </is>
      </c>
      <c r="G199" t="inlineStr">
        <is>
          <t>HAGFORS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45659</v>
      </c>
      <c r="E200" s="1" t="n">
        <v>46248</v>
      </c>
      <c r="F200" t="inlineStr">
        <is>
          <t>VÄRMLANDS LÄN</t>
        </is>
      </c>
      <c r="G200" t="inlineStr">
        <is>
          <t>HAGFORS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46248</v>
      </c>
      <c r="F201" t="inlineStr">
        <is>
          <t>VÄRMLANDS LÄN</t>
        </is>
      </c>
      <c r="G201" t="inlineStr">
        <is>
          <t>HAGFORS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13850-2022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44649</v>
      </c>
      <c r="E202" s="1" t="n">
        <v>46248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45509</v>
      </c>
      <c r="E203" s="1" t="n">
        <v>46248</v>
      </c>
      <c r="F203" t="inlineStr">
        <is>
          <t>VÄRMLANDS LÄN</t>
        </is>
      </c>
      <c r="G203" t="inlineStr">
        <is>
          <t>HAGFORS</t>
        </is>
      </c>
      <c r="H203" t="inlineStr">
        <is>
          <t>Kommuner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70712-2021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46248</v>
      </c>
      <c r="F204" t="inlineStr">
        <is>
          <t>VÄRMLANDS LÄN</t>
        </is>
      </c>
      <c r="G204" t="inlineStr">
        <is>
          <t>HAGFORS</t>
        </is>
      </c>
      <c r="H204" t="inlineStr">
        <is>
          <t>Kommuner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46248</v>
      </c>
      <c r="F205" t="inlineStr">
        <is>
          <t>VÄRMLANDS LÄN</t>
        </is>
      </c>
      <c r="G205" t="inlineStr">
        <is>
          <t>HAGFORS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58307-2023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45250</v>
      </c>
      <c r="E206" s="1" t="n">
        <v>46248</v>
      </c>
      <c r="F206" t="inlineStr">
        <is>
          <t>VÄRMLANDS LÄN</t>
        </is>
      </c>
      <c r="G206" t="inlineStr">
        <is>
          <t>HAGFORS</t>
        </is>
      </c>
      <c r="H206" t="inlineStr">
        <is>
          <t>Kommuner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11744-2024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45373</v>
      </c>
      <c r="E207" s="1" t="n">
        <v>46248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55758-2024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45623</v>
      </c>
      <c r="E208" s="1" t="n">
        <v>46248</v>
      </c>
      <c r="F208" t="inlineStr">
        <is>
          <t>VÄRMLANDS LÄN</t>
        </is>
      </c>
      <c r="G208" t="inlineStr">
        <is>
          <t>HAGFORS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45525</v>
      </c>
      <c r="E209" s="1" t="n">
        <v>46248</v>
      </c>
      <c r="F209" t="inlineStr">
        <is>
          <t>VÄRMLANDS LÄN</t>
        </is>
      </c>
      <c r="G209" t="inlineStr">
        <is>
          <t>HAGFORS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46248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45087</v>
      </c>
      <c r="E211" s="1" t="n">
        <v>46248</v>
      </c>
      <c r="F211" t="inlineStr">
        <is>
          <t>VÄRMLANDS LÄN</t>
        </is>
      </c>
      <c r="G211" t="inlineStr">
        <is>
          <t>HAGFORS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35088-2024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45527</v>
      </c>
      <c r="E212" s="1" t="n">
        <v>46248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31166-2022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44770</v>
      </c>
      <c r="E213" s="1" t="n">
        <v>46248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30180-2023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45110</v>
      </c>
      <c r="E214" s="1" t="n">
        <v>46248</v>
      </c>
      <c r="F214" t="inlineStr">
        <is>
          <t>VÄRMLANDS LÄN</t>
        </is>
      </c>
      <c r="G214" t="inlineStr">
        <is>
          <t>HAGFORS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44938</v>
      </c>
      <c r="E215" s="1" t="n">
        <v>46248</v>
      </c>
      <c r="F215" t="inlineStr">
        <is>
          <t>VÄRMLANDS LÄN</t>
        </is>
      </c>
      <c r="G215" t="inlineStr">
        <is>
          <t>HAGFORS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29373-2023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46248</v>
      </c>
      <c r="F216" t="inlineStr">
        <is>
          <t>VÄRMLANDS LÄN</t>
        </is>
      </c>
      <c r="G216" t="inlineStr">
        <is>
          <t>HAGFORS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58808-2022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44903</v>
      </c>
      <c r="E217" s="1" t="n">
        <v>46248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1734-2023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44938</v>
      </c>
      <c r="E218" s="1" t="n">
        <v>46248</v>
      </c>
      <c r="F218" t="inlineStr">
        <is>
          <t>VÄRMLANDS LÄN</t>
        </is>
      </c>
      <c r="G218" t="inlineStr">
        <is>
          <t>HAGFORS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20652-2022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44700</v>
      </c>
      <c r="E219" s="1" t="n">
        <v>46248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18170-2024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45420</v>
      </c>
      <c r="E220" s="1" t="n">
        <v>46248</v>
      </c>
      <c r="F220" t="inlineStr">
        <is>
          <t>VÄRMLANDS LÄN</t>
        </is>
      </c>
      <c r="G220" t="inlineStr">
        <is>
          <t>HAGFORS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11126-2024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45371</v>
      </c>
      <c r="E221" s="1" t="n">
        <v>46248</v>
      </c>
      <c r="F221" t="inlineStr">
        <is>
          <t>VÄRMLANDS LÄN</t>
        </is>
      </c>
      <c r="G221" t="inlineStr">
        <is>
          <t>HAGFORS</t>
        </is>
      </c>
      <c r="I221" t="n">
        <v>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46248</v>
      </c>
      <c r="F222" t="inlineStr">
        <is>
          <t>VÄRMLANDS LÄN</t>
        </is>
      </c>
      <c r="G222" t="inlineStr">
        <is>
          <t>HAGFORS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61232-2024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45645</v>
      </c>
      <c r="E223" s="1" t="n">
        <v>46248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38555-2023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45162</v>
      </c>
      <c r="E224" s="1" t="n">
        <v>46248</v>
      </c>
      <c r="F224" t="inlineStr">
        <is>
          <t>VÄRMLANDS LÄN</t>
        </is>
      </c>
      <c r="G224" t="inlineStr">
        <is>
          <t>HAGFORS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8842-2025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46248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45679</v>
      </c>
      <c r="E226" s="1" t="n">
        <v>46248</v>
      </c>
      <c r="F226" t="inlineStr">
        <is>
          <t>VÄRMLANDS LÄN</t>
        </is>
      </c>
      <c r="G226" t="inlineStr">
        <is>
          <t>HAGFORS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20113-2023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45055</v>
      </c>
      <c r="E227" s="1" t="n">
        <v>46248</v>
      </c>
      <c r="F227" t="inlineStr">
        <is>
          <t>VÄRMLANDS LÄN</t>
        </is>
      </c>
      <c r="G227" t="inlineStr">
        <is>
          <t>HAGFORS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53192-2022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44876</v>
      </c>
      <c r="E228" s="1" t="n">
        <v>46248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24638-2023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45084</v>
      </c>
      <c r="E229" s="1" t="n">
        <v>46248</v>
      </c>
      <c r="F229" t="inlineStr">
        <is>
          <t>VÄRMLANDS LÄN</t>
        </is>
      </c>
      <c r="G229" t="inlineStr">
        <is>
          <t>HAGFORS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61902-2021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46248</v>
      </c>
      <c r="F230" t="inlineStr">
        <is>
          <t>VÄRMLANDS LÄN</t>
        </is>
      </c>
      <c r="G230" t="inlineStr">
        <is>
          <t>HAGFORS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61140-2023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45261</v>
      </c>
      <c r="E231" s="1" t="n">
        <v>46248</v>
      </c>
      <c r="F231" t="inlineStr">
        <is>
          <t>VÄRMLANDS LÄN</t>
        </is>
      </c>
      <c r="G231" t="inlineStr">
        <is>
          <t>HAGFORS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13657-2023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46248</v>
      </c>
      <c r="F232" t="inlineStr">
        <is>
          <t>VÄRMLANDS LÄN</t>
        </is>
      </c>
      <c r="G232" t="inlineStr">
        <is>
          <t>HAGFORS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46208-2023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46248</v>
      </c>
      <c r="F233" t="inlineStr">
        <is>
          <t>VÄRMLANDS LÄN</t>
        </is>
      </c>
      <c r="G233" t="inlineStr">
        <is>
          <t>HAGFORS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24947-2024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45461</v>
      </c>
      <c r="E234" s="1" t="n">
        <v>46248</v>
      </c>
      <c r="F234" t="inlineStr">
        <is>
          <t>VÄRMLANDS LÄN</t>
        </is>
      </c>
      <c r="G234" t="inlineStr">
        <is>
          <t>HAGFORS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14897-2024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45398</v>
      </c>
      <c r="E235" s="1" t="n">
        <v>46248</v>
      </c>
      <c r="F235" t="inlineStr">
        <is>
          <t>VÄRMLANDS LÄN</t>
        </is>
      </c>
      <c r="G235" t="inlineStr">
        <is>
          <t>HAGFORS</t>
        </is>
      </c>
      <c r="I235" t="n">
        <v>5.2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13094-2024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45385</v>
      </c>
      <c r="E236" s="1" t="n">
        <v>46248</v>
      </c>
      <c r="F236" t="inlineStr">
        <is>
          <t>VÄRMLANDS LÄN</t>
        </is>
      </c>
      <c r="G236" t="inlineStr">
        <is>
          <t>HAGFORS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38887-2024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45547</v>
      </c>
      <c r="E237" s="1" t="n">
        <v>46248</v>
      </c>
      <c r="F237" t="inlineStr">
        <is>
          <t>VÄRMLANDS LÄN</t>
        </is>
      </c>
      <c r="G237" t="inlineStr">
        <is>
          <t>HAGFORS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46248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21867-2024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45443</v>
      </c>
      <c r="E239" s="1" t="n">
        <v>46248</v>
      </c>
      <c r="F239" t="inlineStr">
        <is>
          <t>VÄRMLANDS LÄN</t>
        </is>
      </c>
      <c r="G239" t="inlineStr">
        <is>
          <t>HAGFORS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46248</v>
      </c>
      <c r="F240" t="inlineStr">
        <is>
          <t>VÄRMLANDS LÄN</t>
        </is>
      </c>
      <c r="G240" t="inlineStr">
        <is>
          <t>HAGFORS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17584-2023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45036</v>
      </c>
      <c r="E241" s="1" t="n">
        <v>46248</v>
      </c>
      <c r="F241" t="inlineStr">
        <is>
          <t>VÄRMLANDS LÄN</t>
        </is>
      </c>
      <c r="G241" t="inlineStr">
        <is>
          <t>HAGFORS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27739-2024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45475</v>
      </c>
      <c r="E242" s="1" t="n">
        <v>46248</v>
      </c>
      <c r="F242" t="inlineStr">
        <is>
          <t>VÄRMLANDS LÄN</t>
        </is>
      </c>
      <c r="G242" t="inlineStr">
        <is>
          <t>HAGFORS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54929-2024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45618</v>
      </c>
      <c r="E243" s="1" t="n">
        <v>46248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46248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56808-2023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45244</v>
      </c>
      <c r="E245" s="1" t="n">
        <v>46248</v>
      </c>
      <c r="F245" t="inlineStr">
        <is>
          <t>VÄRMLANDS LÄN</t>
        </is>
      </c>
      <c r="G245" t="inlineStr">
        <is>
          <t>HAGFORS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61169-2024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45645</v>
      </c>
      <c r="E246" s="1" t="n">
        <v>46248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44596</v>
      </c>
      <c r="E247" s="1" t="n">
        <v>46248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24814-2024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45461</v>
      </c>
      <c r="E248" s="1" t="n">
        <v>46248</v>
      </c>
      <c r="F248" t="inlineStr">
        <is>
          <t>VÄRMLANDS LÄN</t>
        </is>
      </c>
      <c r="G248" t="inlineStr">
        <is>
          <t>HAGFORS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3681-2024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45321</v>
      </c>
      <c r="E249" s="1" t="n">
        <v>46248</v>
      </c>
      <c r="F249" t="inlineStr">
        <is>
          <t>VÄRMLANDS LÄN</t>
        </is>
      </c>
      <c r="G249" t="inlineStr">
        <is>
          <t>HAGFORS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45562</v>
      </c>
      <c r="E250" s="1" t="n">
        <v>46248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45562</v>
      </c>
      <c r="E251" s="1" t="n">
        <v>46248</v>
      </c>
      <c r="F251" t="inlineStr">
        <is>
          <t>VÄRMLANDS LÄN</t>
        </is>
      </c>
      <c r="G251" t="inlineStr">
        <is>
          <t>HAGFORS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42178-2024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45562</v>
      </c>
      <c r="E252" s="1" t="n">
        <v>46248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52378-2021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44465</v>
      </c>
      <c r="E253" s="1" t="n">
        <v>46248</v>
      </c>
      <c r="F253" t="inlineStr">
        <is>
          <t>VÄRMLANDS LÄN</t>
        </is>
      </c>
      <c r="G253" t="inlineStr">
        <is>
          <t>HAGFORS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36293-2023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45152</v>
      </c>
      <c r="E254" s="1" t="n">
        <v>46248</v>
      </c>
      <c r="F254" t="inlineStr">
        <is>
          <t>VÄRMLANDS LÄN</t>
        </is>
      </c>
      <c r="G254" t="inlineStr">
        <is>
          <t>HAGFORS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44566</v>
      </c>
      <c r="E255" s="1" t="n">
        <v>46248</v>
      </c>
      <c r="F255" t="inlineStr">
        <is>
          <t>VÄRMLANDS LÄN</t>
        </is>
      </c>
      <c r="G255" t="inlineStr">
        <is>
          <t>HAGFORS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20060-2023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46248</v>
      </c>
      <c r="F256" t="inlineStr">
        <is>
          <t>VÄRMLANDS LÄN</t>
        </is>
      </c>
      <c r="G256" t="inlineStr">
        <is>
          <t>HAGFORS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57379-2022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44896</v>
      </c>
      <c r="E257" s="1" t="n">
        <v>46248</v>
      </c>
      <c r="F257" t="inlineStr">
        <is>
          <t>VÄRMLANDS LÄN</t>
        </is>
      </c>
      <c r="G257" t="inlineStr">
        <is>
          <t>HAGFORS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49753-2023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45212</v>
      </c>
      <c r="E258" s="1" t="n">
        <v>46248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5.1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58437-2023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46248</v>
      </c>
      <c r="F259" t="inlineStr">
        <is>
          <t>VÄRMLANDS LÄN</t>
        </is>
      </c>
      <c r="G259" t="inlineStr">
        <is>
          <t>HAGFORS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60991-2024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45645</v>
      </c>
      <c r="E260" s="1" t="n">
        <v>46248</v>
      </c>
      <c r="F260" t="inlineStr">
        <is>
          <t>VÄRMLANDS LÄN</t>
        </is>
      </c>
      <c r="G260" t="inlineStr">
        <is>
          <t>HAGFORS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45435</v>
      </c>
      <c r="E261" s="1" t="n">
        <v>46248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45244</v>
      </c>
      <c r="E262" s="1" t="n">
        <v>46248</v>
      </c>
      <c r="F262" t="inlineStr">
        <is>
          <t>VÄRMLANDS LÄN</t>
        </is>
      </c>
      <c r="G262" t="inlineStr">
        <is>
          <t>HAGFORS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45148</v>
      </c>
      <c r="E263" s="1" t="n">
        <v>46248</v>
      </c>
      <c r="F263" t="inlineStr">
        <is>
          <t>VÄRMLANDS LÄN</t>
        </is>
      </c>
      <c r="G263" t="inlineStr">
        <is>
          <t>HAGFORS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52224-2023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45224</v>
      </c>
      <c r="E264" s="1" t="n">
        <v>46248</v>
      </c>
      <c r="F264" t="inlineStr">
        <is>
          <t>VÄRMLANDS LÄN</t>
        </is>
      </c>
      <c r="G264" t="inlineStr">
        <is>
          <t>HAGFORS</t>
        </is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44610</v>
      </c>
      <c r="E265" s="1" t="n">
        <v>46248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45147</v>
      </c>
      <c r="E266" s="1" t="n">
        <v>46248</v>
      </c>
      <c r="F266" t="inlineStr">
        <is>
          <t>VÄRMLANDS LÄN</t>
        </is>
      </c>
      <c r="G266" t="inlineStr">
        <is>
          <t>HAGFORS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59048-2022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44903</v>
      </c>
      <c r="E267" s="1" t="n">
        <v>46248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39211-2022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44817</v>
      </c>
      <c r="E268" s="1" t="n">
        <v>46248</v>
      </c>
      <c r="F268" t="inlineStr">
        <is>
          <t>VÄRMLANDS LÄN</t>
        </is>
      </c>
      <c r="G268" t="inlineStr">
        <is>
          <t>HAGFORS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28594-2023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45103</v>
      </c>
      <c r="E269" s="1" t="n">
        <v>46248</v>
      </c>
      <c r="F269" t="inlineStr">
        <is>
          <t>VÄRMLANDS LÄN</t>
        </is>
      </c>
      <c r="G269" t="inlineStr">
        <is>
          <t>HAGFORS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44950</v>
      </c>
      <c r="E270" s="1" t="n">
        <v>46248</v>
      </c>
      <c r="F270" t="inlineStr">
        <is>
          <t>VÄRMLANDS LÄN</t>
        </is>
      </c>
      <c r="G270" t="inlineStr">
        <is>
          <t>HAGFORS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44950</v>
      </c>
      <c r="E271" s="1" t="n">
        <v>46248</v>
      </c>
      <c r="F271" t="inlineStr">
        <is>
          <t>VÄRMLANDS LÄN</t>
        </is>
      </c>
      <c r="G271" t="inlineStr">
        <is>
          <t>HAGFORS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45057</v>
      </c>
      <c r="E272" s="1" t="n">
        <v>46248</v>
      </c>
      <c r="F272" t="inlineStr">
        <is>
          <t>VÄRMLANDS LÄN</t>
        </is>
      </c>
      <c r="G272" t="inlineStr">
        <is>
          <t>HAGFORS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21309-2023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45062</v>
      </c>
      <c r="E273" s="1" t="n">
        <v>46248</v>
      </c>
      <c r="F273" t="inlineStr">
        <is>
          <t>VÄRMLANDS LÄN</t>
        </is>
      </c>
      <c r="G273" t="inlineStr">
        <is>
          <t>HAGFORS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17884-2025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45758</v>
      </c>
      <c r="E274" s="1" t="n">
        <v>46248</v>
      </c>
      <c r="F274" t="inlineStr">
        <is>
          <t>VÄRMLANDS LÄN</t>
        </is>
      </c>
      <c r="G274" t="inlineStr">
        <is>
          <t>HAGFORS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19554-2024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45429</v>
      </c>
      <c r="E275" s="1" t="n">
        <v>46248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19894-2024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45433</v>
      </c>
      <c r="E276" s="1" t="n">
        <v>46248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30710-2022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44763</v>
      </c>
      <c r="E277" s="1" t="n">
        <v>46248</v>
      </c>
      <c r="F277" t="inlineStr">
        <is>
          <t>VÄRMLANDS LÄN</t>
        </is>
      </c>
      <c r="G277" t="inlineStr">
        <is>
          <t>HAGFORS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52830-2023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45226</v>
      </c>
      <c r="E278" s="1" t="n">
        <v>46248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28087-2024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45476</v>
      </c>
      <c r="E279" s="1" t="n">
        <v>46248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18213-2024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46248</v>
      </c>
      <c r="F280" t="inlineStr">
        <is>
          <t>VÄRMLANDS LÄN</t>
        </is>
      </c>
      <c r="G280" t="inlineStr">
        <is>
          <t>HAGFORS</t>
        </is>
      </c>
      <c r="I280" t="n">
        <v>11.5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26777-2023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45093</v>
      </c>
      <c r="E281" s="1" t="n">
        <v>46248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45673</v>
      </c>
      <c r="E282" s="1" t="n">
        <v>46248</v>
      </c>
      <c r="F282" t="inlineStr">
        <is>
          <t>VÄRMLANDS LÄN</t>
        </is>
      </c>
      <c r="G282" t="inlineStr">
        <is>
          <t>HAGFORS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33146-2024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45518</v>
      </c>
      <c r="E283" s="1" t="n">
        <v>46248</v>
      </c>
      <c r="F283" t="inlineStr">
        <is>
          <t>VÄRMLANDS LÄN</t>
        </is>
      </c>
      <c r="G283" t="inlineStr">
        <is>
          <t>HAGFORS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44830</v>
      </c>
      <c r="E284" s="1" t="n">
        <v>46248</v>
      </c>
      <c r="F284" t="inlineStr">
        <is>
          <t>VÄRMLANDS LÄN</t>
        </is>
      </c>
      <c r="G284" t="inlineStr">
        <is>
          <t>HAGFORS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19125-2024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46248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19.5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45743</v>
      </c>
      <c r="E286" s="1" t="n">
        <v>46248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13300-2023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45005</v>
      </c>
      <c r="E287" s="1" t="n">
        <v>46248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33969-2022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44790</v>
      </c>
      <c r="E288" s="1" t="n">
        <v>46248</v>
      </c>
      <c r="F288" t="inlineStr">
        <is>
          <t>VÄRMLANDS LÄN</t>
        </is>
      </c>
      <c r="G288" t="inlineStr">
        <is>
          <t>HAGFORS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25759-2023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45090</v>
      </c>
      <c r="E289" s="1" t="n">
        <v>46248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7.6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45720</v>
      </c>
      <c r="E290" s="1" t="n">
        <v>46248</v>
      </c>
      <c r="F290" t="inlineStr">
        <is>
          <t>VÄRMLANDS LÄN</t>
        </is>
      </c>
      <c r="G290" t="inlineStr">
        <is>
          <t>HAGFORS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44776</v>
      </c>
      <c r="E291" s="1" t="n">
        <v>46248</v>
      </c>
      <c r="F291" t="inlineStr">
        <is>
          <t>VÄRMLANDS LÄN</t>
        </is>
      </c>
      <c r="G291" t="inlineStr">
        <is>
          <t>HAGFORS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6437-2024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45338</v>
      </c>
      <c r="E292" s="1" t="n">
        <v>46248</v>
      </c>
      <c r="F292" t="inlineStr">
        <is>
          <t>VÄRMLANDS LÄN</t>
        </is>
      </c>
      <c r="G292" t="inlineStr">
        <is>
          <t>HAGFORS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9795-2023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46248</v>
      </c>
      <c r="F293" t="inlineStr">
        <is>
          <t>VÄRMLANDS LÄN</t>
        </is>
      </c>
      <c r="G293" t="inlineStr">
        <is>
          <t>HAGFORS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46248</v>
      </c>
      <c r="F294" t="inlineStr">
        <is>
          <t>VÄRMLANDS LÄN</t>
        </is>
      </c>
      <c r="G294" t="inlineStr">
        <is>
          <t>HAGFORS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34540-2024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45525</v>
      </c>
      <c r="E295" s="1" t="n">
        <v>46248</v>
      </c>
      <c r="F295" t="inlineStr">
        <is>
          <t>VÄRMLANDS LÄN</t>
        </is>
      </c>
      <c r="G295" t="inlineStr">
        <is>
          <t>HAGFORS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59092-2022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44904</v>
      </c>
      <c r="E296" s="1" t="n">
        <v>46248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45371</v>
      </c>
      <c r="E297" s="1" t="n">
        <v>46248</v>
      </c>
      <c r="F297" t="inlineStr">
        <is>
          <t>VÄRMLANDS LÄN</t>
        </is>
      </c>
      <c r="G297" t="inlineStr">
        <is>
          <t>HAGFORS</t>
        </is>
      </c>
      <c r="I297" t="n">
        <v>4.8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18585-2025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46248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7.9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46248</v>
      </c>
      <c r="F299" t="inlineStr">
        <is>
          <t>VÄRMLANDS LÄN</t>
        </is>
      </c>
      <c r="G299" t="inlineStr">
        <is>
          <t>HAGFORS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45533</v>
      </c>
      <c r="E300" s="1" t="n">
        <v>46248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65065-2023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45287</v>
      </c>
      <c r="E301" s="1" t="n">
        <v>46248</v>
      </c>
      <c r="F301" t="inlineStr">
        <is>
          <t>VÄRMLANDS LÄN</t>
        </is>
      </c>
      <c r="G301" t="inlineStr">
        <is>
          <t>HAGFORS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42593-2021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44428</v>
      </c>
      <c r="E302" s="1" t="n">
        <v>46248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47019-2023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45201</v>
      </c>
      <c r="E303" s="1" t="n">
        <v>46248</v>
      </c>
      <c r="F303" t="inlineStr">
        <is>
          <t>VÄRMLANDS LÄN</t>
        </is>
      </c>
      <c r="G303" t="inlineStr">
        <is>
          <t>HAGFORS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53443-2024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46248</v>
      </c>
      <c r="F304" t="inlineStr">
        <is>
          <t>VÄRMLANDS LÄN</t>
        </is>
      </c>
      <c r="G304" t="inlineStr">
        <is>
          <t>HAGFORS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52923-2023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45226</v>
      </c>
      <c r="E305" s="1" t="n">
        <v>46248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19072-2025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45765</v>
      </c>
      <c r="E306" s="1" t="n">
        <v>46248</v>
      </c>
      <c r="F306" t="inlineStr">
        <is>
          <t>VÄRMLANDS LÄN</t>
        </is>
      </c>
      <c r="G306" t="inlineStr">
        <is>
          <t>HAGFORS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60664-2023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45259</v>
      </c>
      <c r="E307" s="1" t="n">
        <v>46248</v>
      </c>
      <c r="F307" t="inlineStr">
        <is>
          <t>VÄRMLANDS LÄN</t>
        </is>
      </c>
      <c r="G307" t="inlineStr">
        <is>
          <t>HAGFORS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35775-2024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45532</v>
      </c>
      <c r="E308" s="1" t="n">
        <v>46248</v>
      </c>
      <c r="F308" t="inlineStr">
        <is>
          <t>VÄRMLANDS LÄN</t>
        </is>
      </c>
      <c r="G308" t="inlineStr">
        <is>
          <t>HAGFORS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11104-2022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44628</v>
      </c>
      <c r="E309" s="1" t="n">
        <v>46248</v>
      </c>
      <c r="F309" t="inlineStr">
        <is>
          <t>VÄRMLANDS LÄN</t>
        </is>
      </c>
      <c r="G309" t="inlineStr">
        <is>
          <t>HAGFORS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51915-2023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45223</v>
      </c>
      <c r="E310" s="1" t="n">
        <v>46248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56165-2024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45624</v>
      </c>
      <c r="E311" s="1" t="n">
        <v>46248</v>
      </c>
      <c r="F311" t="inlineStr">
        <is>
          <t>VÄRMLANDS LÄN</t>
        </is>
      </c>
      <c r="G311" t="inlineStr">
        <is>
          <t>HAGFORS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45107</v>
      </c>
      <c r="E312" s="1" t="n">
        <v>46248</v>
      </c>
      <c r="F312" t="inlineStr">
        <is>
          <t>VÄRMLANDS LÄN</t>
        </is>
      </c>
      <c r="G312" t="inlineStr">
        <is>
          <t>HAGFORS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16824-2023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45033</v>
      </c>
      <c r="E313" s="1" t="n">
        <v>46248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47027-2023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45201</v>
      </c>
      <c r="E314" s="1" t="n">
        <v>46248</v>
      </c>
      <c r="F314" t="inlineStr">
        <is>
          <t>VÄRMLANDS LÄN</t>
        </is>
      </c>
      <c r="G314" t="inlineStr">
        <is>
          <t>HAGFORS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47033-2023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45201</v>
      </c>
      <c r="E315" s="1" t="n">
        <v>46248</v>
      </c>
      <c r="F315" t="inlineStr">
        <is>
          <t>VÄRMLANDS LÄN</t>
        </is>
      </c>
      <c r="G315" t="inlineStr">
        <is>
          <t>HAGFORS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50929-2023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45211</v>
      </c>
      <c r="E316" s="1" t="n">
        <v>46248</v>
      </c>
      <c r="F316" t="inlineStr">
        <is>
          <t>VÄRMLANDS LÄN</t>
        </is>
      </c>
      <c r="G316" t="inlineStr">
        <is>
          <t>HAGFORS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14435-2025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45741</v>
      </c>
      <c r="E317" s="1" t="n">
        <v>46248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27826-2024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45475</v>
      </c>
      <c r="E318" s="1" t="n">
        <v>46248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27827-2024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45475</v>
      </c>
      <c r="E319" s="1" t="n">
        <v>46248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45534</v>
      </c>
      <c r="E320" s="1" t="n">
        <v>46248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36228-2024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45534</v>
      </c>
      <c r="E321" s="1" t="n">
        <v>46248</v>
      </c>
      <c r="F321" t="inlineStr">
        <is>
          <t>VÄRMLANDS LÄN</t>
        </is>
      </c>
      <c r="G321" t="inlineStr">
        <is>
          <t>HAGFORS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57359-2022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44896</v>
      </c>
      <c r="E322" s="1" t="n">
        <v>46248</v>
      </c>
      <c r="F322" t="inlineStr">
        <is>
          <t>VÄRMLANDS LÄN</t>
        </is>
      </c>
      <c r="G322" t="inlineStr">
        <is>
          <t>HAGFORS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57162-2024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45629</v>
      </c>
      <c r="E323" s="1" t="n">
        <v>46248</v>
      </c>
      <c r="F323" t="inlineStr">
        <is>
          <t>VÄRMLANDS LÄN</t>
        </is>
      </c>
      <c r="G323" t="inlineStr">
        <is>
          <t>HAGFORS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41092-2024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45559</v>
      </c>
      <c r="E324" s="1" t="n">
        <v>46248</v>
      </c>
      <c r="F324" t="inlineStr">
        <is>
          <t>VÄRMLANDS LÄN</t>
        </is>
      </c>
      <c r="G324" t="inlineStr">
        <is>
          <t>HAGFORS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3149-2022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44582</v>
      </c>
      <c r="E325" s="1" t="n">
        <v>46248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56884-2023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45244</v>
      </c>
      <c r="E326" s="1" t="n">
        <v>46248</v>
      </c>
      <c r="F326" t="inlineStr">
        <is>
          <t>VÄRMLANDS LÄN</t>
        </is>
      </c>
      <c r="G326" t="inlineStr">
        <is>
          <t>HAGFORS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20103-2024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45434</v>
      </c>
      <c r="E327" s="1" t="n">
        <v>46248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45310</v>
      </c>
      <c r="E328" s="1" t="n">
        <v>46248</v>
      </c>
      <c r="F328" t="inlineStr">
        <is>
          <t>VÄRMLANDS LÄN</t>
        </is>
      </c>
      <c r="G328" t="inlineStr">
        <is>
          <t>HAGFORS</t>
        </is>
      </c>
      <c r="H328" t="inlineStr">
        <is>
          <t>Kyrkan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45725</v>
      </c>
      <c r="E329" s="1" t="n">
        <v>46248</v>
      </c>
      <c r="F329" t="inlineStr">
        <is>
          <t>VÄRMLANDS LÄN</t>
        </is>
      </c>
      <c r="G329" t="inlineStr">
        <is>
          <t>HAGFORS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15270-2024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45400</v>
      </c>
      <c r="E330" s="1" t="n">
        <v>46248</v>
      </c>
      <c r="F330" t="inlineStr">
        <is>
          <t>VÄRMLANDS LÄN</t>
        </is>
      </c>
      <c r="G330" t="inlineStr">
        <is>
          <t>HAGFORS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46190-2024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45581</v>
      </c>
      <c r="E331" s="1" t="n">
        <v>46248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45582</v>
      </c>
      <c r="E332" s="1" t="n">
        <v>46248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15.8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58084-2024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45632</v>
      </c>
      <c r="E333" s="1" t="n">
        <v>46248</v>
      </c>
      <c r="F333" t="inlineStr">
        <is>
          <t>VÄRMLANDS LÄN</t>
        </is>
      </c>
      <c r="G333" t="inlineStr">
        <is>
          <t>HAGFORS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19702-2022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44694</v>
      </c>
      <c r="E334" s="1" t="n">
        <v>46248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44567</v>
      </c>
      <c r="E335" s="1" t="n">
        <v>46248</v>
      </c>
      <c r="F335" t="inlineStr">
        <is>
          <t>VÄRMLANDS LÄN</t>
        </is>
      </c>
      <c r="G335" t="inlineStr">
        <is>
          <t>HAGFORS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34636-2024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46248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49585-2023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46248</v>
      </c>
      <c r="F337" t="inlineStr">
        <is>
          <t>VÄRMLANDS LÄN</t>
        </is>
      </c>
      <c r="G337" t="inlineStr">
        <is>
          <t>HAGFORS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5796-2024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45335</v>
      </c>
      <c r="E338" s="1" t="n">
        <v>46248</v>
      </c>
      <c r="F338" t="inlineStr">
        <is>
          <t>VÄRMLANDS LÄN</t>
        </is>
      </c>
      <c r="G338" t="inlineStr">
        <is>
          <t>HAGFORS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24895-2025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45799</v>
      </c>
      <c r="E339" s="1" t="n">
        <v>46248</v>
      </c>
      <c r="F339" t="inlineStr">
        <is>
          <t>VÄRMLANDS LÄN</t>
        </is>
      </c>
      <c r="G339" t="inlineStr">
        <is>
          <t>HAGFORS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24793-2025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45799</v>
      </c>
      <c r="E340" s="1" t="n">
        <v>46248</v>
      </c>
      <c r="F340" t="inlineStr">
        <is>
          <t>VÄRMLANDS LÄN</t>
        </is>
      </c>
      <c r="G340" t="inlineStr">
        <is>
          <t>HAGFORS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45758</v>
      </c>
      <c r="E341" s="1" t="n">
        <v>46248</v>
      </c>
      <c r="F341" t="inlineStr">
        <is>
          <t>VÄRMLANDS LÄN</t>
        </is>
      </c>
      <c r="G341" t="inlineStr">
        <is>
          <t>HAGFORS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25031-2025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45799</v>
      </c>
      <c r="E342" s="1" t="n">
        <v>46248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45703</v>
      </c>
      <c r="E343" s="1" t="n">
        <v>46248</v>
      </c>
      <c r="F343" t="inlineStr">
        <is>
          <t>VÄRMLANDS LÄN</t>
        </is>
      </c>
      <c r="G343" t="inlineStr">
        <is>
          <t>HAGFORS</t>
        </is>
      </c>
      <c r="H343" t="inlineStr">
        <is>
          <t>Kyrkan</t>
        </is>
      </c>
      <c r="I343" t="n">
        <v>15.9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17329-2024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45414</v>
      </c>
      <c r="E344" s="1" t="n">
        <v>46248</v>
      </c>
      <c r="F344" t="inlineStr">
        <is>
          <t>VÄRMLANDS LÄN</t>
        </is>
      </c>
      <c r="G344" t="inlineStr">
        <is>
          <t>HAGFORS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22503-2024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45447</v>
      </c>
      <c r="E345" s="1" t="n">
        <v>46248</v>
      </c>
      <c r="F345" t="inlineStr">
        <is>
          <t>VÄRMLANDS LÄN</t>
        </is>
      </c>
      <c r="G345" t="inlineStr">
        <is>
          <t>HAGFORS</t>
        </is>
      </c>
      <c r="I345" t="n">
        <v>0.2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4279-2024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45324</v>
      </c>
      <c r="E346" s="1" t="n">
        <v>46248</v>
      </c>
      <c r="F346" t="inlineStr">
        <is>
          <t>VÄRMLANDS LÄN</t>
        </is>
      </c>
      <c r="G346" t="inlineStr">
        <is>
          <t>HAGFORS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44571</v>
      </c>
      <c r="E347" s="1" t="n">
        <v>46248</v>
      </c>
      <c r="F347" t="inlineStr">
        <is>
          <t>VÄRMLANDS LÄN</t>
        </is>
      </c>
      <c r="G347" t="inlineStr">
        <is>
          <t>HAGFORS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45684</v>
      </c>
      <c r="E348" s="1" t="n">
        <v>46248</v>
      </c>
      <c r="F348" t="inlineStr">
        <is>
          <t>VÄRMLANDS LÄN</t>
        </is>
      </c>
      <c r="G348" t="inlineStr">
        <is>
          <t>HAGFORS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52924-2023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46248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45446</v>
      </c>
      <c r="E350" s="1" t="n">
        <v>46248</v>
      </c>
      <c r="F350" t="inlineStr">
        <is>
          <t>VÄRMLANDS LÄN</t>
        </is>
      </c>
      <c r="G350" t="inlineStr">
        <is>
          <t>HAGFORS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12426-2024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45379</v>
      </c>
      <c r="E351" s="1" t="n">
        <v>46248</v>
      </c>
      <c r="F351" t="inlineStr">
        <is>
          <t>VÄRMLANDS LÄN</t>
        </is>
      </c>
      <c r="G351" t="inlineStr">
        <is>
          <t>HAGFORS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33823-2025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45842</v>
      </c>
      <c r="E352" s="1" t="n">
        <v>46248</v>
      </c>
      <c r="F352" t="inlineStr">
        <is>
          <t>VÄRMLANDS LÄN</t>
        </is>
      </c>
      <c r="G352" t="inlineStr">
        <is>
          <t>HAGFORS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45713</v>
      </c>
      <c r="E353" s="1" t="n">
        <v>46248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26463-2025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45807</v>
      </c>
      <c r="E354" s="1" t="n">
        <v>46248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16755-2025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45754</v>
      </c>
      <c r="E355" s="1" t="n">
        <v>46248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38474-2024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46248</v>
      </c>
      <c r="F356" t="inlineStr">
        <is>
          <t>VÄRMLANDS LÄN</t>
        </is>
      </c>
      <c r="G356" t="inlineStr">
        <is>
          <t>HAGFORS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1710-2025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45671</v>
      </c>
      <c r="E357" s="1" t="n">
        <v>46248</v>
      </c>
      <c r="F357" t="inlineStr">
        <is>
          <t>VÄRMLANDS LÄN</t>
        </is>
      </c>
      <c r="G357" t="inlineStr">
        <is>
          <t>HAGFORS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27071-2025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46248</v>
      </c>
      <c r="F358" t="inlineStr">
        <is>
          <t>VÄRMLANDS LÄN</t>
        </is>
      </c>
      <c r="G358" t="inlineStr">
        <is>
          <t>HAGFORS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52383-2024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45608</v>
      </c>
      <c r="E359" s="1" t="n">
        <v>46248</v>
      </c>
      <c r="F359" t="inlineStr">
        <is>
          <t>VÄRMLANDS LÄN</t>
        </is>
      </c>
      <c r="G359" t="inlineStr">
        <is>
          <t>HAGFORS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48276-2024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45590</v>
      </c>
      <c r="E360" s="1" t="n">
        <v>46248</v>
      </c>
      <c r="F360" t="inlineStr">
        <is>
          <t>VÄRMLANDS LÄN</t>
        </is>
      </c>
      <c r="G360" t="inlineStr">
        <is>
          <t>HAGFORS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54751-2022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44883</v>
      </c>
      <c r="E361" s="1" t="n">
        <v>46248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32149-2023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45107</v>
      </c>
      <c r="E362" s="1" t="n">
        <v>46248</v>
      </c>
      <c r="F362" t="inlineStr">
        <is>
          <t>VÄRMLANDS LÄN</t>
        </is>
      </c>
      <c r="G362" t="inlineStr">
        <is>
          <t>HAGFORS</t>
        </is>
      </c>
      <c r="I362" t="n">
        <v>9.1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26617-2025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45810</v>
      </c>
      <c r="E363" s="1" t="n">
        <v>46248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52494-2024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45609</v>
      </c>
      <c r="E364" s="1" t="n">
        <v>46248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0.2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5338-2025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46248</v>
      </c>
      <c r="F365" t="inlineStr">
        <is>
          <t>VÄRMLANDS LÄN</t>
        </is>
      </c>
      <c r="G365" t="inlineStr">
        <is>
          <t>HAGFORS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26980-2025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45811</v>
      </c>
      <c r="E366" s="1" t="n">
        <v>46248</v>
      </c>
      <c r="F366" t="inlineStr">
        <is>
          <t>VÄRMLANDS LÄN</t>
        </is>
      </c>
      <c r="G366" t="inlineStr">
        <is>
          <t>HAGFORS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26982-2025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45811</v>
      </c>
      <c r="E367" s="1" t="n">
        <v>46248</v>
      </c>
      <c r="F367" t="inlineStr">
        <is>
          <t>VÄRMLANDS LÄN</t>
        </is>
      </c>
      <c r="G367" t="inlineStr">
        <is>
          <t>HAGFORS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10562-2024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45366</v>
      </c>
      <c r="E368" s="1" t="n">
        <v>46248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45812</v>
      </c>
      <c r="E369" s="1" t="n">
        <v>46248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27229-2025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45812</v>
      </c>
      <c r="E370" s="1" t="n">
        <v>46248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44595</v>
      </c>
      <c r="E371" s="1" t="n">
        <v>46248</v>
      </c>
      <c r="F371" t="inlineStr">
        <is>
          <t>VÄRMLANDS LÄN</t>
        </is>
      </c>
      <c r="G371" t="inlineStr">
        <is>
          <t>HAGFORS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27319-2025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45812</v>
      </c>
      <c r="E372" s="1" t="n">
        <v>46248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27119-2025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45811</v>
      </c>
      <c r="E373" s="1" t="n">
        <v>46248</v>
      </c>
      <c r="F373" t="inlineStr">
        <is>
          <t>VÄRMLANDS LÄN</t>
        </is>
      </c>
      <c r="G373" t="inlineStr">
        <is>
          <t>HAGFORS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27181-2025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45812</v>
      </c>
      <c r="E374" s="1" t="n">
        <v>46248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27195-2025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45812</v>
      </c>
      <c r="E375" s="1" t="n">
        <v>46248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60167-2023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45258</v>
      </c>
      <c r="E376" s="1" t="n">
        <v>46248</v>
      </c>
      <c r="F376" t="inlineStr">
        <is>
          <t>VÄRMLANDS LÄN</t>
        </is>
      </c>
      <c r="G376" t="inlineStr">
        <is>
          <t>HAGFORS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60178-2023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45258</v>
      </c>
      <c r="E377" s="1" t="n">
        <v>46248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50922-2023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45211</v>
      </c>
      <c r="E378" s="1" t="n">
        <v>46248</v>
      </c>
      <c r="F378" t="inlineStr">
        <is>
          <t>VÄRMLANDS LÄN</t>
        </is>
      </c>
      <c r="G378" t="inlineStr">
        <is>
          <t>HAGFORS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32696-2023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45112</v>
      </c>
      <c r="E379" s="1" t="n">
        <v>46248</v>
      </c>
      <c r="F379" t="inlineStr">
        <is>
          <t>VÄRMLANDS LÄN</t>
        </is>
      </c>
      <c r="G379" t="inlineStr">
        <is>
          <t>HAGFORS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45328</v>
      </c>
      <c r="E380" s="1" t="n">
        <v>46248</v>
      </c>
      <c r="F380" t="inlineStr">
        <is>
          <t>VÄRMLANDS LÄN</t>
        </is>
      </c>
      <c r="G380" t="inlineStr">
        <is>
          <t>HAGFORS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28437-2025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45819</v>
      </c>
      <c r="E381" s="1" t="n">
        <v>46248</v>
      </c>
      <c r="F381" t="inlineStr">
        <is>
          <t>VÄRMLANDS LÄN</t>
        </is>
      </c>
      <c r="G381" t="inlineStr">
        <is>
          <t>HAGFORS</t>
        </is>
      </c>
      <c r="H381" t="inlineStr">
        <is>
          <t>Kyrkan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28309-2025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46248</v>
      </c>
      <c r="F382" t="inlineStr">
        <is>
          <t>VÄRMLANDS LÄN</t>
        </is>
      </c>
      <c r="G382" t="inlineStr">
        <is>
          <t>HAGFORS</t>
        </is>
      </c>
      <c r="H382" t="inlineStr">
        <is>
          <t>Kyrkan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16525-2023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45029</v>
      </c>
      <c r="E383" s="1" t="n">
        <v>46248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41603-2023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45175</v>
      </c>
      <c r="E384" s="1" t="n">
        <v>46248</v>
      </c>
      <c r="F384" t="inlineStr">
        <is>
          <t>VÄRMLANDS LÄN</t>
        </is>
      </c>
      <c r="G384" t="inlineStr">
        <is>
          <t>HAGFORS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29149-2025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46248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3.7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29115-2025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45821</v>
      </c>
      <c r="E386" s="1" t="n">
        <v>46248</v>
      </c>
      <c r="F386" t="inlineStr">
        <is>
          <t>VÄRMLANDS LÄN</t>
        </is>
      </c>
      <c r="G386" t="inlineStr">
        <is>
          <t>HAGFORS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12673-2024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45384</v>
      </c>
      <c r="E387" s="1" t="n">
        <v>46248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24857-2025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45799</v>
      </c>
      <c r="E388" s="1" t="n">
        <v>46248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11367-2025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46248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56895-2023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45244</v>
      </c>
      <c r="E390" s="1" t="n">
        <v>46248</v>
      </c>
      <c r="F390" t="inlineStr">
        <is>
          <t>VÄRMLANDS LÄN</t>
        </is>
      </c>
      <c r="G390" t="inlineStr">
        <is>
          <t>HAGFORS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45673</v>
      </c>
      <c r="E391" s="1" t="n">
        <v>46248</v>
      </c>
      <c r="F391" t="inlineStr">
        <is>
          <t>VÄRMLANDS LÄN</t>
        </is>
      </c>
      <c r="G391" t="inlineStr">
        <is>
          <t>HAGFORS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32690-2025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45839</v>
      </c>
      <c r="E392" s="1" t="n">
        <v>46248</v>
      </c>
      <c r="F392" t="inlineStr">
        <is>
          <t>VÄRMLANDS LÄN</t>
        </is>
      </c>
      <c r="G392" t="inlineStr">
        <is>
          <t>HAGFORS</t>
        </is>
      </c>
      <c r="H392" t="inlineStr">
        <is>
          <t>Kyrkan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30124-2025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46248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36764-2025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45873</v>
      </c>
      <c r="E394" s="1" t="n">
        <v>46248</v>
      </c>
      <c r="F394" t="inlineStr">
        <is>
          <t>VÄRMLANDS LÄN</t>
        </is>
      </c>
      <c r="G394" t="inlineStr">
        <is>
          <t>HAGFORS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42150-2024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45562</v>
      </c>
      <c r="E395" s="1" t="n">
        <v>46248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39249-2025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45889</v>
      </c>
      <c r="E396" s="1" t="n">
        <v>46248</v>
      </c>
      <c r="F396" t="inlineStr">
        <is>
          <t>VÄRMLANDS LÄN</t>
        </is>
      </c>
      <c r="G396" t="inlineStr">
        <is>
          <t>HAGFORS</t>
        </is>
      </c>
      <c r="H396" t="inlineStr">
        <is>
          <t>Kyrkan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26615-2024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45469</v>
      </c>
      <c r="E397" s="1" t="n">
        <v>46248</v>
      </c>
      <c r="F397" t="inlineStr">
        <is>
          <t>VÄRMLANDS LÄN</t>
        </is>
      </c>
      <c r="G397" t="inlineStr">
        <is>
          <t>HAGFORS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29949-2025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45826</v>
      </c>
      <c r="E398" s="1" t="n">
        <v>46248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15.9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29958-2025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45826</v>
      </c>
      <c r="E399" s="1" t="n">
        <v>46248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6.8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40835-2023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45172</v>
      </c>
      <c r="E400" s="1" t="n">
        <v>46248</v>
      </c>
      <c r="F400" t="inlineStr">
        <is>
          <t>VÄRMLANDS LÄN</t>
        </is>
      </c>
      <c r="G400" t="inlineStr">
        <is>
          <t>HAGFORS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30778-2025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46248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47028-2023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45201</v>
      </c>
      <c r="E402" s="1" t="n">
        <v>46248</v>
      </c>
      <c r="F402" t="inlineStr">
        <is>
          <t>VÄRMLANDS LÄN</t>
        </is>
      </c>
      <c r="G402" t="inlineStr">
        <is>
          <t>HAGFORS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30520-2024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46248</v>
      </c>
      <c r="F403" t="inlineStr">
        <is>
          <t>VÄRMLANDS LÄN</t>
        </is>
      </c>
      <c r="G403" t="inlineStr">
        <is>
          <t>HAGFORS</t>
        </is>
      </c>
      <c r="H403" t="inlineStr">
        <is>
          <t>Kyrkan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33399-2024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46248</v>
      </c>
      <c r="F404" t="inlineStr">
        <is>
          <t>VÄRMLANDS LÄN</t>
        </is>
      </c>
      <c r="G404" t="inlineStr">
        <is>
          <t>HAGFORS</t>
        </is>
      </c>
      <c r="I404" t="n">
        <v>8.4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39904-2025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45891</v>
      </c>
      <c r="E405" s="1" t="n">
        <v>46248</v>
      </c>
      <c r="F405" t="inlineStr">
        <is>
          <t>VÄRMLANDS LÄN</t>
        </is>
      </c>
      <c r="G405" t="inlineStr">
        <is>
          <t>HAGFORS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44622</v>
      </c>
      <c r="E406" s="1" t="n">
        <v>46248</v>
      </c>
      <c r="F406" t="inlineStr">
        <is>
          <t>VÄRMLANDS LÄN</t>
        </is>
      </c>
      <c r="G406" t="inlineStr">
        <is>
          <t>HAGFORS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46248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40300-2025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45895</v>
      </c>
      <c r="E408" s="1" t="n">
        <v>46248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6.2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46792-2022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44851</v>
      </c>
      <c r="E409" s="1" t="n">
        <v>46248</v>
      </c>
      <c r="F409" t="inlineStr">
        <is>
          <t>VÄRMLANDS LÄN</t>
        </is>
      </c>
      <c r="G409" t="inlineStr">
        <is>
          <t>HAGFORS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45510</v>
      </c>
      <c r="E410" s="1" t="n">
        <v>46248</v>
      </c>
      <c r="F410" t="inlineStr">
        <is>
          <t>VÄRMLANDS LÄN</t>
        </is>
      </c>
      <c r="G410" t="inlineStr">
        <is>
          <t>HAGFORS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54744-2024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45618</v>
      </c>
      <c r="E411" s="1" t="n">
        <v>46248</v>
      </c>
      <c r="F411" t="inlineStr">
        <is>
          <t>VÄRMLANDS LÄN</t>
        </is>
      </c>
      <c r="G411" t="inlineStr">
        <is>
          <t>HAGFORS</t>
        </is>
      </c>
      <c r="H411" t="inlineStr">
        <is>
          <t>Kyrkan</t>
        </is>
      </c>
      <c r="I411" t="n">
        <v>8.800000000000001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13990-2025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45739</v>
      </c>
      <c r="E412" s="1" t="n">
        <v>46248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4.9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34572-2025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45847</v>
      </c>
      <c r="E413" s="1" t="n">
        <v>46248</v>
      </c>
      <c r="F413" t="inlineStr">
        <is>
          <t>VÄRMLANDS LÄN</t>
        </is>
      </c>
      <c r="G413" t="inlineStr">
        <is>
          <t>HAGFORS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12291-2025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46248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33364-2025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45841</v>
      </c>
      <c r="E415" s="1" t="n">
        <v>46248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46248</v>
      </c>
      <c r="F416" t="inlineStr">
        <is>
          <t>VÄRMLANDS LÄN</t>
        </is>
      </c>
      <c r="G416" t="inlineStr">
        <is>
          <t>HAGFORS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33440-2025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45841</v>
      </c>
      <c r="E417" s="1" t="n">
        <v>46248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68252-2021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44526</v>
      </c>
      <c r="E418" s="1" t="n">
        <v>46248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41117-2025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45898</v>
      </c>
      <c r="E419" s="1" t="n">
        <v>46248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41153-2025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45898</v>
      </c>
      <c r="E420" s="1" t="n">
        <v>46248</v>
      </c>
      <c r="F420" t="inlineStr">
        <is>
          <t>VÄRMLANDS LÄN</t>
        </is>
      </c>
      <c r="G420" t="inlineStr">
        <is>
          <t>HAGFORS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41154-2025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45898</v>
      </c>
      <c r="E421" s="1" t="n">
        <v>46248</v>
      </c>
      <c r="F421" t="inlineStr">
        <is>
          <t>VÄRMLANDS LÄN</t>
        </is>
      </c>
      <c r="G421" t="inlineStr">
        <is>
          <t>HAGFORS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33454-2025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46248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27410-2023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45097</v>
      </c>
      <c r="E423" s="1" t="n">
        <v>46248</v>
      </c>
      <c r="F423" t="inlineStr">
        <is>
          <t>VÄRMLANDS LÄN</t>
        </is>
      </c>
      <c r="G423" t="inlineStr">
        <is>
          <t>HAGFORS</t>
        </is>
      </c>
      <c r="H423" t="inlineStr">
        <is>
          <t>Kyrkan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19391-2025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45769</v>
      </c>
      <c r="E424" s="1" t="n">
        <v>46248</v>
      </c>
      <c r="F424" t="inlineStr">
        <is>
          <t>VÄRMLANDS LÄN</t>
        </is>
      </c>
      <c r="G424" t="inlineStr">
        <is>
          <t>HAGFORS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45845</v>
      </c>
      <c r="E425" s="1" t="n">
        <v>46248</v>
      </c>
      <c r="F425" t="inlineStr">
        <is>
          <t>VÄRMLANDS LÄN</t>
        </is>
      </c>
      <c r="G425" t="inlineStr">
        <is>
          <t>HAGFORS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34133-2025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45845</v>
      </c>
      <c r="E426" s="1" t="n">
        <v>46248</v>
      </c>
      <c r="F426" t="inlineStr">
        <is>
          <t>VÄRMLANDS LÄN</t>
        </is>
      </c>
      <c r="G426" t="inlineStr">
        <is>
          <t>HAGFORS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34149-2025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45845</v>
      </c>
      <c r="E427" s="1" t="n">
        <v>46248</v>
      </c>
      <c r="F427" t="inlineStr">
        <is>
          <t>VÄRMLANDS LÄN</t>
        </is>
      </c>
      <c r="G427" t="inlineStr">
        <is>
          <t>HAGFORS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20756-2026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46141</v>
      </c>
      <c r="E428" s="1" t="n">
        <v>46248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39640-2022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44817</v>
      </c>
      <c r="E429" s="1" t="n">
        <v>46248</v>
      </c>
      <c r="F429" t="inlineStr">
        <is>
          <t>VÄRMLANDS LÄN</t>
        </is>
      </c>
      <c r="G429" t="inlineStr">
        <is>
          <t>HAGFORS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46248</v>
      </c>
      <c r="F430" t="inlineStr">
        <is>
          <t>VÄRMLANDS LÄN</t>
        </is>
      </c>
      <c r="G430" t="inlineStr">
        <is>
          <t>HAGFORS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1931-2024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46248</v>
      </c>
      <c r="F431" t="inlineStr">
        <is>
          <t>VÄRMLANDS LÄN</t>
        </is>
      </c>
      <c r="G431" t="inlineStr">
        <is>
          <t>HAGFORS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57159-2024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45629</v>
      </c>
      <c r="E432" s="1" t="n">
        <v>46248</v>
      </c>
      <c r="F432" t="inlineStr">
        <is>
          <t>VÄRMLANDS LÄN</t>
        </is>
      </c>
      <c r="G432" t="inlineStr">
        <is>
          <t>HAGFORS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20706-2026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46141</v>
      </c>
      <c r="E433" s="1" t="n">
        <v>46248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4.6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19515-2025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45770</v>
      </c>
      <c r="E434" s="1" t="n">
        <v>46248</v>
      </c>
      <c r="F434" t="inlineStr">
        <is>
          <t>VÄRMLANDS LÄN</t>
        </is>
      </c>
      <c r="G434" t="inlineStr">
        <is>
          <t>HAGFORS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46248</v>
      </c>
      <c r="F435" t="inlineStr">
        <is>
          <t>VÄRMLANDS LÄN</t>
        </is>
      </c>
      <c r="G435" t="inlineStr">
        <is>
          <t>HAGFORS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21954-2025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45784</v>
      </c>
      <c r="E436" s="1" t="n">
        <v>46248</v>
      </c>
      <c r="F436" t="inlineStr">
        <is>
          <t>VÄRMLANDS LÄN</t>
        </is>
      </c>
      <c r="G436" t="inlineStr">
        <is>
          <t>HAGFORS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34404-2023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45132</v>
      </c>
      <c r="E437" s="1" t="n">
        <v>46248</v>
      </c>
      <c r="F437" t="inlineStr">
        <is>
          <t>VÄRMLANDS LÄN</t>
        </is>
      </c>
      <c r="G437" t="inlineStr">
        <is>
          <t>HAGFORS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11160-2025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45723</v>
      </c>
      <c r="E438" s="1" t="n">
        <v>46248</v>
      </c>
      <c r="F438" t="inlineStr">
        <is>
          <t>VÄRMLANDS LÄN</t>
        </is>
      </c>
      <c r="G438" t="inlineStr">
        <is>
          <t>HAGFORS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43998-2024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46248</v>
      </c>
      <c r="F439" t="inlineStr">
        <is>
          <t>VÄRMLANDS LÄN</t>
        </is>
      </c>
      <c r="G439" t="inlineStr">
        <is>
          <t>HAGFORS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20759-2026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46141</v>
      </c>
      <c r="E440" s="1" t="n">
        <v>46248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61265-2022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44915</v>
      </c>
      <c r="E441" s="1" t="n">
        <v>46248</v>
      </c>
      <c r="F441" t="inlineStr">
        <is>
          <t>VÄRMLANDS LÄN</t>
        </is>
      </c>
      <c r="G441" t="inlineStr">
        <is>
          <t>HAGFORS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46248</v>
      </c>
      <c r="F442" t="inlineStr">
        <is>
          <t>VÄRMLANDS LÄN</t>
        </is>
      </c>
      <c r="G442" t="inlineStr">
        <is>
          <t>HAGFORS</t>
        </is>
      </c>
      <c r="H442" t="inlineStr">
        <is>
          <t>Kommuner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35312-2025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45854</v>
      </c>
      <c r="E443" s="1" t="n">
        <v>46248</v>
      </c>
      <c r="F443" t="inlineStr">
        <is>
          <t>VÄRMLANDS LÄN</t>
        </is>
      </c>
      <c r="G443" t="inlineStr">
        <is>
          <t>HAGFORS</t>
        </is>
      </c>
      <c r="H443" t="inlineStr">
        <is>
          <t>Kyrkan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20564-2026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46140</v>
      </c>
      <c r="E444" s="1" t="n">
        <v>46248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35289-2025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45854</v>
      </c>
      <c r="E445" s="1" t="n">
        <v>46248</v>
      </c>
      <c r="F445" t="inlineStr">
        <is>
          <t>VÄRMLANDS LÄN</t>
        </is>
      </c>
      <c r="G445" t="inlineStr">
        <is>
          <t>HAGFORS</t>
        </is>
      </c>
      <c r="H445" t="inlineStr">
        <is>
          <t>Kyrkan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23813-2025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45793</v>
      </c>
      <c r="E446" s="1" t="n">
        <v>46248</v>
      </c>
      <c r="F446" t="inlineStr">
        <is>
          <t>VÄRMLANDS LÄN</t>
        </is>
      </c>
      <c r="G446" t="inlineStr">
        <is>
          <t>HAGFORS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31618-2025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45833</v>
      </c>
      <c r="E447" s="1" t="n">
        <v>46248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45190</v>
      </c>
      <c r="E448" s="1" t="n">
        <v>46248</v>
      </c>
      <c r="F448" t="inlineStr">
        <is>
          <t>VÄRMLANDS LÄN</t>
        </is>
      </c>
      <c r="G448" t="inlineStr">
        <is>
          <t>HAGFORS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20798-2026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46141</v>
      </c>
      <c r="E449" s="1" t="n">
        <v>46248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42168-2024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45562</v>
      </c>
      <c r="E450" s="1" t="n">
        <v>46248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42170-2024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45562</v>
      </c>
      <c r="E451" s="1" t="n">
        <v>46248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42171-2024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45562</v>
      </c>
      <c r="E452" s="1" t="n">
        <v>46248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42243-2024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45562</v>
      </c>
      <c r="E453" s="1" t="n">
        <v>46248</v>
      </c>
      <c r="F453" t="inlineStr">
        <is>
          <t>VÄRMLANDS LÄN</t>
        </is>
      </c>
      <c r="G453" t="inlineStr">
        <is>
          <t>HAGFORS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6980-2022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44603</v>
      </c>
      <c r="E454" s="1" t="n">
        <v>46248</v>
      </c>
      <c r="F454" t="inlineStr">
        <is>
          <t>VÄRMLANDS LÄN</t>
        </is>
      </c>
      <c r="G454" t="inlineStr">
        <is>
          <t>HAGFORS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20752-2026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46141</v>
      </c>
      <c r="E455" s="1" t="n">
        <v>46248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41739-2025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45902</v>
      </c>
      <c r="E456" s="1" t="n">
        <v>46248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4028-2025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45684</v>
      </c>
      <c r="E457" s="1" t="n">
        <v>46248</v>
      </c>
      <c r="F457" t="inlineStr">
        <is>
          <t>VÄRMLANDS LÄN</t>
        </is>
      </c>
      <c r="G457" t="inlineStr">
        <is>
          <t>HAGFORS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7087-2026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46058</v>
      </c>
      <c r="E458" s="1" t="n">
        <v>46248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12.6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36013-2023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45149</v>
      </c>
      <c r="E459" s="1" t="n">
        <v>46248</v>
      </c>
      <c r="F459" t="inlineStr">
        <is>
          <t>VÄRMLANDS LÄN</t>
        </is>
      </c>
      <c r="G459" t="inlineStr">
        <is>
          <t>HAGFORS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20494-2026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46248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46248</v>
      </c>
      <c r="F461" t="inlineStr">
        <is>
          <t>VÄRMLANDS LÄN</t>
        </is>
      </c>
      <c r="G461" t="inlineStr">
        <is>
          <t>HAGFORS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61311-2023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45264</v>
      </c>
      <c r="E462" s="1" t="n">
        <v>46248</v>
      </c>
      <c r="F462" t="inlineStr">
        <is>
          <t>VÄRMLANDS LÄN</t>
        </is>
      </c>
      <c r="G462" t="inlineStr">
        <is>
          <t>HAGFORS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46248</v>
      </c>
      <c r="F463" t="inlineStr">
        <is>
          <t>VÄRMLANDS LÄN</t>
        </is>
      </c>
      <c r="G463" t="inlineStr">
        <is>
          <t>HAGFORS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45838</v>
      </c>
      <c r="E464" s="1" t="n">
        <v>46248</v>
      </c>
      <c r="F464" t="inlineStr">
        <is>
          <t>VÄRMLANDS LÄN</t>
        </is>
      </c>
      <c r="G464" t="inlineStr">
        <is>
          <t>HAGFORS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18907-2025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46248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20880-2026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46142</v>
      </c>
      <c r="E466" s="1" t="n">
        <v>46248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45902</v>
      </c>
      <c r="E467" s="1" t="n">
        <v>46248</v>
      </c>
      <c r="F467" t="inlineStr">
        <is>
          <t>VÄRMLANDS LÄN</t>
        </is>
      </c>
      <c r="G467" t="inlineStr">
        <is>
          <t>HAGFORS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41809-2025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45902</v>
      </c>
      <c r="E468" s="1" t="n">
        <v>46248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46248</v>
      </c>
      <c r="F469" t="inlineStr">
        <is>
          <t>VÄRMLANDS LÄN</t>
        </is>
      </c>
      <c r="G469" t="inlineStr">
        <is>
          <t>HAGFORS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20911-2026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46142</v>
      </c>
      <c r="E470" s="1" t="n">
        <v>46248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29269-2025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45824</v>
      </c>
      <c r="E471" s="1" t="n">
        <v>46248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26.5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17305-2023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45035</v>
      </c>
      <c r="E472" s="1" t="n">
        <v>46248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37027-2025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45874</v>
      </c>
      <c r="E473" s="1" t="n">
        <v>46248</v>
      </c>
      <c r="F473" t="inlineStr">
        <is>
          <t>VÄRMLANDS LÄN</t>
        </is>
      </c>
      <c r="G473" t="inlineStr">
        <is>
          <t>HAGFORS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21203-2026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46248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6.7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31178-2022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44770</v>
      </c>
      <c r="E475" s="1" t="n">
        <v>46248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59552-2024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45638</v>
      </c>
      <c r="E476" s="1" t="n">
        <v>46248</v>
      </c>
      <c r="F476" t="inlineStr">
        <is>
          <t>VÄRMLANDS LÄN</t>
        </is>
      </c>
      <c r="G476" t="inlineStr">
        <is>
          <t>HAGFORS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21067-2025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45777</v>
      </c>
      <c r="E477" s="1" t="n">
        <v>46248</v>
      </c>
      <c r="F477" t="inlineStr">
        <is>
          <t>VÄRMLANDS LÄN</t>
        </is>
      </c>
      <c r="G477" t="inlineStr">
        <is>
          <t>HAGFORS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43558-2024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45569</v>
      </c>
      <c r="E478" s="1" t="n">
        <v>46248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8830-2024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45356</v>
      </c>
      <c r="E479" s="1" t="n">
        <v>46248</v>
      </c>
      <c r="F479" t="inlineStr">
        <is>
          <t>VÄRMLANDS LÄN</t>
        </is>
      </c>
      <c r="G479" t="inlineStr">
        <is>
          <t>HAGFORS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42381-2025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45905</v>
      </c>
      <c r="E480" s="1" t="n">
        <v>46248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42385-2025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45905</v>
      </c>
      <c r="E481" s="1" t="n">
        <v>46248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21728-2026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46149</v>
      </c>
      <c r="E482" s="1" t="n">
        <v>46248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16153-2025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45750</v>
      </c>
      <c r="E483" s="1" t="n">
        <v>46248</v>
      </c>
      <c r="F483" t="inlineStr">
        <is>
          <t>VÄRMLANDS LÄN</t>
        </is>
      </c>
      <c r="G483" t="inlineStr">
        <is>
          <t>HAGFORS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42406-2025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45905</v>
      </c>
      <c r="E484" s="1" t="n">
        <v>46248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5.8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42430-2025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45905</v>
      </c>
      <c r="E485" s="1" t="n">
        <v>46248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21879-2026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46150</v>
      </c>
      <c r="E486" s="1" t="n">
        <v>46248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10.8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27185-2025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45812</v>
      </c>
      <c r="E487" s="1" t="n">
        <v>46248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21762-2026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46150</v>
      </c>
      <c r="E488" s="1" t="n">
        <v>46248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21723-2025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45783</v>
      </c>
      <c r="E489" s="1" t="n">
        <v>46248</v>
      </c>
      <c r="F489" t="inlineStr">
        <is>
          <t>VÄRMLANDS LÄN</t>
        </is>
      </c>
      <c r="G489" t="inlineStr">
        <is>
          <t>HAGFORS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24680-2024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45460</v>
      </c>
      <c r="E490" s="1" t="n">
        <v>46248</v>
      </c>
      <c r="F490" t="inlineStr">
        <is>
          <t>VÄRMLANDS LÄN</t>
        </is>
      </c>
      <c r="G490" t="inlineStr">
        <is>
          <t>HAGFORS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46248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17833-2022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44683</v>
      </c>
      <c r="E492" s="1" t="n">
        <v>46248</v>
      </c>
      <c r="F492" t="inlineStr">
        <is>
          <t>VÄRMLANDS LÄN</t>
        </is>
      </c>
      <c r="G492" t="inlineStr">
        <is>
          <t>HAGFORS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8129-2024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45351</v>
      </c>
      <c r="E493" s="1" t="n">
        <v>46248</v>
      </c>
      <c r="F493" t="inlineStr">
        <is>
          <t>VÄRMLANDS LÄN</t>
        </is>
      </c>
      <c r="G493" t="inlineStr">
        <is>
          <t>HAGFORS</t>
        </is>
      </c>
      <c r="H493" t="inlineStr">
        <is>
          <t>Kyrkan</t>
        </is>
      </c>
      <c r="I493" t="n">
        <v>10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47425-2024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45587</v>
      </c>
      <c r="E494" s="1" t="n">
        <v>46248</v>
      </c>
      <c r="F494" t="inlineStr">
        <is>
          <t>VÄRMLANDS LÄN</t>
        </is>
      </c>
      <c r="G494" t="inlineStr">
        <is>
          <t>HAGFORS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22516-2026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46248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46248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6.7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40332-2023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45169</v>
      </c>
      <c r="E497" s="1" t="n">
        <v>46248</v>
      </c>
      <c r="F497" t="inlineStr">
        <is>
          <t>VÄRMLANDS LÄN</t>
        </is>
      </c>
      <c r="G497" t="inlineStr">
        <is>
          <t>HAGFORS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46248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22667-2026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46248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5.9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43084-2025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45909</v>
      </c>
      <c r="E500" s="1" t="n">
        <v>46248</v>
      </c>
      <c r="F500" t="inlineStr">
        <is>
          <t>VÄRMLANDS LÄN</t>
        </is>
      </c>
      <c r="G500" t="inlineStr">
        <is>
          <t>HAGFORS</t>
        </is>
      </c>
      <c r="I500" t="n">
        <v>8.1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29447-2025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45824</v>
      </c>
      <c r="E501" s="1" t="n">
        <v>46248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45789</v>
      </c>
      <c r="E502" s="1" t="n">
        <v>46248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22648-2026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46155</v>
      </c>
      <c r="E503" s="1" t="n">
        <v>46248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22556-2026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46155</v>
      </c>
      <c r="E504" s="1" t="n">
        <v>46248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10.4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22461-2025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45786</v>
      </c>
      <c r="E505" s="1" t="n">
        <v>46248</v>
      </c>
      <c r="F505" t="inlineStr">
        <is>
          <t>VÄRMLANDS LÄN</t>
        </is>
      </c>
      <c r="G505" t="inlineStr">
        <is>
          <t>HAGFORS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23268-2025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45791</v>
      </c>
      <c r="E506" s="1" t="n">
        <v>46248</v>
      </c>
      <c r="F506" t="inlineStr">
        <is>
          <t>VÄRMLANDS LÄN</t>
        </is>
      </c>
      <c r="G506" t="inlineStr">
        <is>
          <t>HAGFORS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22911-2026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46248</v>
      </c>
      <c r="F507" t="inlineStr">
        <is>
          <t>VÄRMLANDS LÄN</t>
        </is>
      </c>
      <c r="G507" t="inlineStr">
        <is>
          <t>HAGFORS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22917-2025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45790</v>
      </c>
      <c r="E508" s="1" t="n">
        <v>46248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46029</v>
      </c>
      <c r="E509" s="1" t="n">
        <v>46248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8.800000000000001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38239-2024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46248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22964-2025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45790</v>
      </c>
      <c r="E511" s="1" t="n">
        <v>46248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23065-2025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46248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8.5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23016-2026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46161</v>
      </c>
      <c r="E513" s="1" t="n">
        <v>46248</v>
      </c>
      <c r="F513" t="inlineStr">
        <is>
          <t>VÄRMLANDS LÄN</t>
        </is>
      </c>
      <c r="G513" t="inlineStr">
        <is>
          <t>HAGFORS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23129-2026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46248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46248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55950-2024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45623</v>
      </c>
      <c r="E516" s="1" t="n">
        <v>46248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23556-2025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45792</v>
      </c>
      <c r="E517" s="1" t="n">
        <v>46248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22917-2026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46160</v>
      </c>
      <c r="E518" s="1" t="n">
        <v>46248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23525-2025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45792</v>
      </c>
      <c r="E519" s="1" t="n">
        <v>46248</v>
      </c>
      <c r="F519" t="inlineStr">
        <is>
          <t>VÄRMLANDS LÄN</t>
        </is>
      </c>
      <c r="G519" t="inlineStr">
        <is>
          <t>HAGFORS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23674-2025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45793</v>
      </c>
      <c r="E520" s="1" t="n">
        <v>46248</v>
      </c>
      <c r="F520" t="inlineStr">
        <is>
          <t>VÄRMLANDS LÄN</t>
        </is>
      </c>
      <c r="G520" t="inlineStr">
        <is>
          <t>HAGFORS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23712-2025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45793</v>
      </c>
      <c r="E521" s="1" t="n">
        <v>46248</v>
      </c>
      <c r="F521" t="inlineStr">
        <is>
          <t>VÄRMLANDS LÄN</t>
        </is>
      </c>
      <c r="G521" t="inlineStr">
        <is>
          <t>HAGFORS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45502</v>
      </c>
      <c r="E522" s="1" t="n">
        <v>46248</v>
      </c>
      <c r="F522" t="inlineStr">
        <is>
          <t>VÄRMLANDS LÄN</t>
        </is>
      </c>
      <c r="G522" t="inlineStr">
        <is>
          <t>HAGFORS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44876-2025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45918</v>
      </c>
      <c r="E523" s="1" t="n">
        <v>46248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46163</v>
      </c>
      <c r="E524" s="1" t="n">
        <v>46248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54008-2024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45615</v>
      </c>
      <c r="E525" s="1" t="n">
        <v>46248</v>
      </c>
      <c r="F525" t="inlineStr">
        <is>
          <t>VÄRMLANDS LÄN</t>
        </is>
      </c>
      <c r="G525" t="inlineStr">
        <is>
          <t>HAGFORS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44804-2025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45918</v>
      </c>
      <c r="E526" s="1" t="n">
        <v>46248</v>
      </c>
      <c r="F526" t="inlineStr">
        <is>
          <t>VÄRMLANDS LÄN</t>
        </is>
      </c>
      <c r="G526" t="inlineStr">
        <is>
          <t>HAGFORS</t>
        </is>
      </c>
      <c r="H526" t="inlineStr">
        <is>
          <t>Bergvik skog väst AB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51015-2025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45947</v>
      </c>
      <c r="E527" s="1" t="n">
        <v>46248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8.9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44877-2025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45918</v>
      </c>
      <c r="E528" s="1" t="n">
        <v>46248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6.3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45361-2025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45922</v>
      </c>
      <c r="E529" s="1" t="n">
        <v>46248</v>
      </c>
      <c r="F529" t="inlineStr">
        <is>
          <t>VÄRMLANDS LÄN</t>
        </is>
      </c>
      <c r="G529" t="inlineStr">
        <is>
          <t>HAGFORS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52016-2025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45952</v>
      </c>
      <c r="E530" s="1" t="n">
        <v>46248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9.800000000000001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52691-2025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45956</v>
      </c>
      <c r="E531" s="1" t="n">
        <v>46248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28.2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16798-2025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45754</v>
      </c>
      <c r="E532" s="1" t="n">
        <v>46248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45641-2025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45922</v>
      </c>
      <c r="E533" s="1" t="n">
        <v>46248</v>
      </c>
      <c r="F533" t="inlineStr">
        <is>
          <t>VÄRMLANDS LÄN</t>
        </is>
      </c>
      <c r="G533" t="inlineStr">
        <is>
          <t>HAGFORS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36494-2025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45869</v>
      </c>
      <c r="E534" s="1" t="n">
        <v>46248</v>
      </c>
      <c r="F534" t="inlineStr">
        <is>
          <t>VÄRMLANDS LÄN</t>
        </is>
      </c>
      <c r="G534" t="inlineStr">
        <is>
          <t>HAGFORS</t>
        </is>
      </c>
      <c r="H534" t="inlineStr">
        <is>
          <t>Kyrkan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45355-2025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45922</v>
      </c>
      <c r="E535" s="1" t="n">
        <v>46248</v>
      </c>
      <c r="F535" t="inlineStr">
        <is>
          <t>VÄRMLANDS LÄN</t>
        </is>
      </c>
      <c r="G535" t="inlineStr">
        <is>
          <t>HAGFORS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46248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23269-2026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46162</v>
      </c>
      <c r="E537" s="1" t="n">
        <v>46248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30153-2026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46248</v>
      </c>
      <c r="F538" t="inlineStr">
        <is>
          <t>VÄRMLANDS LÄN</t>
        </is>
      </c>
      <c r="G538" t="inlineStr">
        <is>
          <t>HAGFORS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46371-2025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45925</v>
      </c>
      <c r="E539" s="1" t="n">
        <v>46248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45925</v>
      </c>
      <c r="E540" s="1" t="n">
        <v>46248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15643-2024</t>
        </is>
      </c>
      <c r="B541" t="inlineStr">
        <is>
          <t>avverkningsanmälan</t>
        </is>
      </c>
      <c r="C541" t="inlineStr">
        <is>
          <t>Avverkning för att bevara och utveckla /försöksver</t>
        </is>
      </c>
      <c r="D541" s="1" t="n">
        <v>45404</v>
      </c>
      <c r="E541" s="1" t="n">
        <v>46248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6.1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24434-2025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45797</v>
      </c>
      <c r="E542" s="1" t="n">
        <v>46248</v>
      </c>
      <c r="F542" t="inlineStr">
        <is>
          <t>VÄRMLANDS LÄN</t>
        </is>
      </c>
      <c r="G542" t="inlineStr">
        <is>
          <t>HAGFORS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46581-2025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45926</v>
      </c>
      <c r="E543" s="1" t="n">
        <v>46248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24435-2025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45797</v>
      </c>
      <c r="E544" s="1" t="n">
        <v>46248</v>
      </c>
      <c r="F544" t="inlineStr">
        <is>
          <t>VÄRMLANDS LÄN</t>
        </is>
      </c>
      <c r="G544" t="inlineStr">
        <is>
          <t>HAGFORS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24438-2025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45797</v>
      </c>
      <c r="E545" s="1" t="n">
        <v>46248</v>
      </c>
      <c r="F545" t="inlineStr">
        <is>
          <t>VÄRMLANDS LÄN</t>
        </is>
      </c>
      <c r="G545" t="inlineStr">
        <is>
          <t>HAGFORS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46838-2025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45928</v>
      </c>
      <c r="E546" s="1" t="n">
        <v>46248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13.8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13524-2025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45736</v>
      </c>
      <c r="E547" s="1" t="n">
        <v>46248</v>
      </c>
      <c r="F547" t="inlineStr">
        <is>
          <t>VÄRMLANDS LÄN</t>
        </is>
      </c>
      <c r="G547" t="inlineStr">
        <is>
          <t>HAGFORS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46831-2025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45927</v>
      </c>
      <c r="E548" s="1" t="n">
        <v>46248</v>
      </c>
      <c r="F548" t="inlineStr">
        <is>
          <t>VÄRMLANDS LÄN</t>
        </is>
      </c>
      <c r="G548" t="inlineStr">
        <is>
          <t>HAGFORS</t>
        </is>
      </c>
      <c r="H548" t="inlineStr">
        <is>
          <t>Bergvik skog väst AB</t>
        </is>
      </c>
      <c r="I548" t="n">
        <v>6.5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46832-2025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45927</v>
      </c>
      <c r="E549" s="1" t="n">
        <v>46248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30436-2026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46209</v>
      </c>
      <c r="E550" s="1" t="n">
        <v>46248</v>
      </c>
      <c r="F550" t="inlineStr">
        <is>
          <t>VÄRMLANDS LÄN</t>
        </is>
      </c>
      <c r="G550" t="inlineStr">
        <is>
          <t>HAGFORS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30437-2026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46209</v>
      </c>
      <c r="E551" s="1" t="n">
        <v>46248</v>
      </c>
      <c r="F551" t="inlineStr">
        <is>
          <t>VÄRMLANDS LÄN</t>
        </is>
      </c>
      <c r="G551" t="inlineStr">
        <is>
          <t>HAGFORS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47333-2025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45930</v>
      </c>
      <c r="E552" s="1" t="n">
        <v>46248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22.1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48150-2025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45933</v>
      </c>
      <c r="E553" s="1" t="n">
        <v>46248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4.9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23728-2026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46164</v>
      </c>
      <c r="E554" s="1" t="n">
        <v>46248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48042-2025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45932</v>
      </c>
      <c r="E555" s="1" t="n">
        <v>46248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48134-2025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45933</v>
      </c>
      <c r="E556" s="1" t="n">
        <v>46248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48138-2025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45933</v>
      </c>
      <c r="E557" s="1" t="n">
        <v>46248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9.699999999999999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48176-2025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45933</v>
      </c>
      <c r="E558" s="1" t="n">
        <v>46248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30167-2026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46248</v>
      </c>
      <c r="F559" t="inlineStr">
        <is>
          <t>VÄRMLANDS LÄN</t>
        </is>
      </c>
      <c r="G559" t="inlineStr">
        <is>
          <t>HAGFORS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48108-2025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45933</v>
      </c>
      <c r="E560" s="1" t="n">
        <v>46248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30433-2026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46248</v>
      </c>
      <c r="F561" t="inlineStr">
        <is>
          <t>VÄRMLANDS LÄN</t>
        </is>
      </c>
      <c r="G561" t="inlineStr">
        <is>
          <t>HAGFORS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23678-2026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46164</v>
      </c>
      <c r="E562" s="1" t="n">
        <v>46248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30635-2025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45831</v>
      </c>
      <c r="E563" s="1" t="n">
        <v>46248</v>
      </c>
      <c r="F563" t="inlineStr">
        <is>
          <t>VÄRMLANDS LÄN</t>
        </is>
      </c>
      <c r="G563" t="inlineStr">
        <is>
          <t>HAGFORS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30642-2025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45831</v>
      </c>
      <c r="E564" s="1" t="n">
        <v>46248</v>
      </c>
      <c r="F564" t="inlineStr">
        <is>
          <t>VÄRMLANDS LÄN</t>
        </is>
      </c>
      <c r="G564" t="inlineStr">
        <is>
          <t>HAGFORS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30141-2026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46206</v>
      </c>
      <c r="E565" s="1" t="n">
        <v>46248</v>
      </c>
      <c r="F565" t="inlineStr">
        <is>
          <t>VÄRMLANDS LÄN</t>
        </is>
      </c>
      <c r="G565" t="inlineStr">
        <is>
          <t>HAGFORS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30629-2026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46211</v>
      </c>
      <c r="E566" s="1" t="n">
        <v>46248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49146-2025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45938</v>
      </c>
      <c r="E567" s="1" t="n">
        <v>46248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48809-2025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45937</v>
      </c>
      <c r="E568" s="1" t="n">
        <v>46248</v>
      </c>
      <c r="F568" t="inlineStr">
        <is>
          <t>VÄRMLANDS LÄN</t>
        </is>
      </c>
      <c r="G568" t="inlineStr">
        <is>
          <t>HAGFORS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24238-2026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46168</v>
      </c>
      <c r="E569" s="1" t="n">
        <v>46248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8.1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49220-2025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45938</v>
      </c>
      <c r="E570" s="1" t="n">
        <v>46248</v>
      </c>
      <c r="F570" t="inlineStr">
        <is>
          <t>VÄRMLANDS LÄN</t>
        </is>
      </c>
      <c r="G570" t="inlineStr">
        <is>
          <t>HAGFORS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24240-2026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46248</v>
      </c>
      <c r="F571" t="inlineStr">
        <is>
          <t>VÄRMLANDS LÄN</t>
        </is>
      </c>
      <c r="G571" t="inlineStr">
        <is>
          <t>HAGFORS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49533-2025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45939</v>
      </c>
      <c r="E572" s="1" t="n">
        <v>46248</v>
      </c>
      <c r="F572" t="inlineStr">
        <is>
          <t>VÄRMLANDS LÄN</t>
        </is>
      </c>
      <c r="G572" t="inlineStr">
        <is>
          <t>HAGFORS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49967-2025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45941</v>
      </c>
      <c r="E573" s="1" t="n">
        <v>46248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30914-2026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46213</v>
      </c>
      <c r="E574" s="1" t="n">
        <v>46248</v>
      </c>
      <c r="F574" t="inlineStr">
        <is>
          <t>VÄRMLANDS LÄN</t>
        </is>
      </c>
      <c r="G574" t="inlineStr">
        <is>
          <t>HAGFORS</t>
        </is>
      </c>
      <c r="I574" t="n">
        <v>3.5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24625-2026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46171</v>
      </c>
      <c r="E575" s="1" t="n">
        <v>46248</v>
      </c>
      <c r="F575" t="inlineStr">
        <is>
          <t>VÄRMLANDS LÄN</t>
        </is>
      </c>
      <c r="G575" t="inlineStr">
        <is>
          <t>HAGFORS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51160-2025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45947</v>
      </c>
      <c r="E576" s="1" t="n">
        <v>46248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24862-2026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46248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50977-2025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45947</v>
      </c>
      <c r="E578" s="1" t="n">
        <v>46248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9.300000000000001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24677-2026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46171</v>
      </c>
      <c r="E579" s="1" t="n">
        <v>46248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24761-2026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46171</v>
      </c>
      <c r="E580" s="1" t="n">
        <v>46248</v>
      </c>
      <c r="F580" t="inlineStr">
        <is>
          <t>VÄRMLANDS LÄN</t>
        </is>
      </c>
      <c r="G580" t="inlineStr">
        <is>
          <t>HAGFORS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50880-2025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45946</v>
      </c>
      <c r="E581" s="1" t="n">
        <v>46248</v>
      </c>
      <c r="F581" t="inlineStr">
        <is>
          <t>VÄRMLANDS LÄN</t>
        </is>
      </c>
      <c r="G581" t="inlineStr">
        <is>
          <t>HAGFORS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50752-2025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45946</v>
      </c>
      <c r="E582" s="1" t="n">
        <v>46248</v>
      </c>
      <c r="F582" t="inlineStr">
        <is>
          <t>VÄRMLANDS LÄN</t>
        </is>
      </c>
      <c r="G582" t="inlineStr">
        <is>
          <t>HAGFORS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51611-2025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45951</v>
      </c>
      <c r="E583" s="1" t="n">
        <v>46248</v>
      </c>
      <c r="F583" t="inlineStr">
        <is>
          <t>VÄRMLANDS LÄN</t>
        </is>
      </c>
      <c r="G583" t="inlineStr">
        <is>
          <t>HAGFORS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24628-2026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46171</v>
      </c>
      <c r="E584" s="1" t="n">
        <v>46248</v>
      </c>
      <c r="F584" t="inlineStr">
        <is>
          <t>VÄRMLANDS LÄN</t>
        </is>
      </c>
      <c r="G584" t="inlineStr">
        <is>
          <t>HAGFORS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51273-2025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45949</v>
      </c>
      <c r="E585" s="1" t="n">
        <v>46248</v>
      </c>
      <c r="F585" t="inlineStr">
        <is>
          <t>VÄRMLANDS LÄN</t>
        </is>
      </c>
      <c r="G585" t="inlineStr">
        <is>
          <t>HAGFORS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24778-2026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46171</v>
      </c>
      <c r="E586" s="1" t="n">
        <v>46248</v>
      </c>
      <c r="F586" t="inlineStr">
        <is>
          <t>VÄRMLANDS LÄN</t>
        </is>
      </c>
      <c r="G586" t="inlineStr">
        <is>
          <t>HAGFORS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24699-2026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46171</v>
      </c>
      <c r="E587" s="1" t="n">
        <v>46248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24626-2026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46171</v>
      </c>
      <c r="E588" s="1" t="n">
        <v>46248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24713-2026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46171</v>
      </c>
      <c r="E589" s="1" t="n">
        <v>46248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52479-2025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45954</v>
      </c>
      <c r="E590" s="1" t="n">
        <v>46248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52524-2025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45954</v>
      </c>
      <c r="E591" s="1" t="n">
        <v>46248</v>
      </c>
      <c r="F591" t="inlineStr">
        <is>
          <t>VÄRMLANDS LÄN</t>
        </is>
      </c>
      <c r="G591" t="inlineStr">
        <is>
          <t>HAGFORS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52450-2025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45954</v>
      </c>
      <c r="E592" s="1" t="n">
        <v>46248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9.800000000000001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52462-2025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45954</v>
      </c>
      <c r="E593" s="1" t="n">
        <v>46248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25276-2026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46176</v>
      </c>
      <c r="E594" s="1" t="n">
        <v>46248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25583-2026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46177</v>
      </c>
      <c r="E595" s="1" t="n">
        <v>46248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25890-2026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46178</v>
      </c>
      <c r="E596" s="1" t="n">
        <v>46248</v>
      </c>
      <c r="F596" t="inlineStr">
        <is>
          <t>VÄRMLANDS LÄN</t>
        </is>
      </c>
      <c r="G596" t="inlineStr">
        <is>
          <t>HAGFORS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54001-2025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45961</v>
      </c>
      <c r="E597" s="1" t="n">
        <v>46248</v>
      </c>
      <c r="F597" t="inlineStr">
        <is>
          <t>VÄRMLANDS LÄN</t>
        </is>
      </c>
      <c r="G597" t="inlineStr">
        <is>
          <t>HAGFORS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53620-2025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45960</v>
      </c>
      <c r="E598" s="1" t="n">
        <v>46248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53811-2025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45960</v>
      </c>
      <c r="E599" s="1" t="n">
        <v>46248</v>
      </c>
      <c r="F599" t="inlineStr">
        <is>
          <t>VÄRMLANDS LÄN</t>
        </is>
      </c>
      <c r="G599" t="inlineStr">
        <is>
          <t>HAGFORS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53574-2025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45960</v>
      </c>
      <c r="E600" s="1" t="n">
        <v>46248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25589-2026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46177</v>
      </c>
      <c r="E601" s="1" t="n">
        <v>46248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25560-2026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46177</v>
      </c>
      <c r="E602" s="1" t="n">
        <v>46248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26342-2026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46182</v>
      </c>
      <c r="E603" s="1" t="n">
        <v>46248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36.8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26012-2026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46181</v>
      </c>
      <c r="E604" s="1" t="n">
        <v>46248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26019-2026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46181</v>
      </c>
      <c r="E605" s="1" t="n">
        <v>46248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54645-2025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45966</v>
      </c>
      <c r="E606" s="1" t="n">
        <v>46248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54684-2025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45966</v>
      </c>
      <c r="E607" s="1" t="n">
        <v>46248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55001-2025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45967</v>
      </c>
      <c r="E608" s="1" t="n">
        <v>46248</v>
      </c>
      <c r="F608" t="inlineStr">
        <is>
          <t>VÄRMLANDS LÄN</t>
        </is>
      </c>
      <c r="G608" t="inlineStr">
        <is>
          <t>HAGFORS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26265-2026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46182</v>
      </c>
      <c r="E609" s="1" t="n">
        <v>46248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55519-2025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45971</v>
      </c>
      <c r="E610" s="1" t="n">
        <v>46248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46248</v>
      </c>
      <c r="F611" t="inlineStr">
        <is>
          <t>VÄRMLANDS LÄN</t>
        </is>
      </c>
      <c r="G611" t="inlineStr">
        <is>
          <t>HAGFORS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55480-2025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45971</v>
      </c>
      <c r="E612" s="1" t="n">
        <v>46248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26357-2026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46248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33.4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55190-2025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45968</v>
      </c>
      <c r="E614" s="1" t="n">
        <v>46248</v>
      </c>
      <c r="F614" t="inlineStr">
        <is>
          <t>VÄRMLANDS LÄN</t>
        </is>
      </c>
      <c r="G614" t="inlineStr">
        <is>
          <t>HAGFORS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31672-2026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46225</v>
      </c>
      <c r="E615" s="1" t="n">
        <v>46248</v>
      </c>
      <c r="F615" t="inlineStr">
        <is>
          <t>VÄRMLANDS LÄN</t>
        </is>
      </c>
      <c r="G615" t="inlineStr">
        <is>
          <t>HAGFORS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26740-2026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46184</v>
      </c>
      <c r="E616" s="1" t="n">
        <v>46248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55895-2025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45973</v>
      </c>
      <c r="E617" s="1" t="n">
        <v>46248</v>
      </c>
      <c r="F617" t="inlineStr">
        <is>
          <t>VÄRMLANDS LÄN</t>
        </is>
      </c>
      <c r="G617" t="inlineStr">
        <is>
          <t>HAGFORS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31690-2026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46226</v>
      </c>
      <c r="E618" s="1" t="n">
        <v>46248</v>
      </c>
      <c r="F618" t="inlineStr">
        <is>
          <t>VÄRMLANDS LÄN</t>
        </is>
      </c>
      <c r="G618" t="inlineStr">
        <is>
          <t>HAGFORS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31691-2026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46226</v>
      </c>
      <c r="E619" s="1" t="n">
        <v>46248</v>
      </c>
      <c r="F619" t="inlineStr">
        <is>
          <t>VÄRMLANDS LÄN</t>
        </is>
      </c>
      <c r="G619" t="inlineStr">
        <is>
          <t>HAGFORS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56477-2025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45975</v>
      </c>
      <c r="E620" s="1" t="n">
        <v>46248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4.8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31671-2026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46225</v>
      </c>
      <c r="E621" s="1" t="n">
        <v>46248</v>
      </c>
      <c r="F621" t="inlineStr">
        <is>
          <t>VÄRMLANDS LÄN</t>
        </is>
      </c>
      <c r="G621" t="inlineStr">
        <is>
          <t>HAGFORS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46184</v>
      </c>
      <c r="E622" s="1" t="n">
        <v>46248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56411-2025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45975</v>
      </c>
      <c r="E623" s="1" t="n">
        <v>46248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26612-2026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46184</v>
      </c>
      <c r="E624" s="1" t="n">
        <v>46248</v>
      </c>
      <c r="F624" t="inlineStr">
        <is>
          <t>VÄRMLANDS LÄN</t>
        </is>
      </c>
      <c r="G624" t="inlineStr">
        <is>
          <t>HAGFORS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56714-2025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45975</v>
      </c>
      <c r="E625" s="1" t="n">
        <v>46248</v>
      </c>
      <c r="F625" t="inlineStr">
        <is>
          <t>VÄRMLANDS LÄN</t>
        </is>
      </c>
      <c r="G625" t="inlineStr">
        <is>
          <t>HAGFORS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27280-2026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46248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56468-2025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45975</v>
      </c>
      <c r="E627" s="1" t="n">
        <v>46248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26859-2026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46248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27210-2026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46188</v>
      </c>
      <c r="E629" s="1" t="n">
        <v>46248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17.2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27306-2026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46188</v>
      </c>
      <c r="E630" s="1" t="n">
        <v>46248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57198-2025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45979</v>
      </c>
      <c r="E631" s="1" t="n">
        <v>46248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27268-2026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46188</v>
      </c>
      <c r="E632" s="1" t="n">
        <v>46248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26864-2026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46248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26846-2026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46185</v>
      </c>
      <c r="E634" s="1" t="n">
        <v>46248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18.2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46248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20.5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57462-2025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45980</v>
      </c>
      <c r="E636" s="1" t="n">
        <v>46248</v>
      </c>
      <c r="F636" t="inlineStr">
        <is>
          <t>VÄRMLANDS LÄN</t>
        </is>
      </c>
      <c r="G636" t="inlineStr">
        <is>
          <t>HAGFORS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57460-2025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45980</v>
      </c>
      <c r="E637" s="1" t="n">
        <v>46248</v>
      </c>
      <c r="F637" t="inlineStr">
        <is>
          <t>VÄRMLANDS LÄN</t>
        </is>
      </c>
      <c r="G637" t="inlineStr">
        <is>
          <t>HAGFORS</t>
        </is>
      </c>
      <c r="H637" t="inlineStr">
        <is>
          <t>Kyrkan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57814-2025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45981</v>
      </c>
      <c r="E638" s="1" t="n">
        <v>46248</v>
      </c>
      <c r="F638" t="inlineStr">
        <is>
          <t>VÄRMLANDS LÄN</t>
        </is>
      </c>
      <c r="G638" t="inlineStr">
        <is>
          <t>HAGFORS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32043-2026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46248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27472-2026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46189</v>
      </c>
      <c r="E640" s="1" t="n">
        <v>46248</v>
      </c>
      <c r="F640" t="inlineStr">
        <is>
          <t>VÄRMLANDS LÄN</t>
        </is>
      </c>
      <c r="G640" t="inlineStr">
        <is>
          <t>HAGFORS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32036-2026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46233</v>
      </c>
      <c r="E641" s="1" t="n">
        <v>46248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8.300000000000001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58278-2025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45985</v>
      </c>
      <c r="E642" s="1" t="n">
        <v>46248</v>
      </c>
      <c r="F642" t="inlineStr">
        <is>
          <t>VÄRMLANDS LÄN</t>
        </is>
      </c>
      <c r="G642" t="inlineStr">
        <is>
          <t>HAGFORS</t>
        </is>
      </c>
      <c r="H642" t="inlineStr">
        <is>
          <t>Kyrkan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27394-2026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46189</v>
      </c>
      <c r="E643" s="1" t="n">
        <v>46248</v>
      </c>
      <c r="F643" t="inlineStr">
        <is>
          <t>VÄRMLANDS LÄN</t>
        </is>
      </c>
      <c r="G643" t="inlineStr">
        <is>
          <t>HAGFORS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27929-2026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46248</v>
      </c>
      <c r="F644" t="inlineStr">
        <is>
          <t>VÄRMLANDS LÄN</t>
        </is>
      </c>
      <c r="G644" t="inlineStr">
        <is>
          <t>HAGFORS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59047-2025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45988</v>
      </c>
      <c r="E645" s="1" t="n">
        <v>46248</v>
      </c>
      <c r="F645" t="inlineStr">
        <is>
          <t>VÄRMLANDS LÄN</t>
        </is>
      </c>
      <c r="G645" t="inlineStr">
        <is>
          <t>HAGFORS</t>
        </is>
      </c>
      <c r="I645" t="n">
        <v>0.3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46191</v>
      </c>
      <c r="E646" s="1" t="n">
        <v>46248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32483-2026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46239</v>
      </c>
      <c r="E647" s="1" t="n">
        <v>46248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32490-2026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46239</v>
      </c>
      <c r="E648" s="1" t="n">
        <v>46248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19.3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32507-2026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46239</v>
      </c>
      <c r="E649" s="1" t="n">
        <v>46248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59642-2025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45992</v>
      </c>
      <c r="E650" s="1" t="n">
        <v>46248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18.8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32535-2026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46239</v>
      </c>
      <c r="E651" s="1" t="n">
        <v>46248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46248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9.6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60606-2025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45996</v>
      </c>
      <c r="E653" s="1" t="n">
        <v>46248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60841-2025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45999</v>
      </c>
      <c r="E654" s="1" t="n">
        <v>46248</v>
      </c>
      <c r="F654" t="inlineStr">
        <is>
          <t>VÄRMLANDS LÄN</t>
        </is>
      </c>
      <c r="G654" t="inlineStr">
        <is>
          <t>HAGFORS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60648-2025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45996</v>
      </c>
      <c r="E655" s="1" t="n">
        <v>46248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32712-2026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46241</v>
      </c>
      <c r="E656" s="1" t="n">
        <v>46248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32721-2026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46241</v>
      </c>
      <c r="E657" s="1" t="n">
        <v>46248</v>
      </c>
      <c r="F657" t="inlineStr">
        <is>
          <t>VÄRMLANDS LÄN</t>
        </is>
      </c>
      <c r="G657" t="inlineStr">
        <is>
          <t>HAGFORS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28788-2026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46198</v>
      </c>
      <c r="E658" s="1" t="n">
        <v>46248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9.699999999999999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28720-2026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46198</v>
      </c>
      <c r="E659" s="1" t="n">
        <v>46248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28748-2026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46198</v>
      </c>
      <c r="E660" s="1" t="n">
        <v>46248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61843-2025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46003</v>
      </c>
      <c r="E661" s="1" t="n">
        <v>46248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46248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61850-2025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46003</v>
      </c>
      <c r="E663" s="1" t="n">
        <v>46248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61718-2025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46002</v>
      </c>
      <c r="E664" s="1" t="n">
        <v>46248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32713-2026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46241</v>
      </c>
      <c r="E665" s="1" t="n">
        <v>46248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7.5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29102-2026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46200</v>
      </c>
      <c r="E666" s="1" t="n">
        <v>46248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6.3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29103-2026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46200</v>
      </c>
      <c r="E667" s="1" t="n">
        <v>46248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27855-2026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46191</v>
      </c>
      <c r="E668" s="1" t="n">
        <v>46248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61787-2025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46002</v>
      </c>
      <c r="E669" s="1" t="n">
        <v>46248</v>
      </c>
      <c r="F669" t="inlineStr">
        <is>
          <t>VÄRMLANDS LÄN</t>
        </is>
      </c>
      <c r="G669" t="inlineStr">
        <is>
          <t>HAGFORS</t>
        </is>
      </c>
      <c r="H669" t="inlineStr">
        <is>
          <t>Bergvik skog väst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61998-2025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46003</v>
      </c>
      <c r="E670" s="1" t="n">
        <v>46248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17.4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61910-2025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46003</v>
      </c>
      <c r="E671" s="1" t="n">
        <v>46248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62542-2025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46007</v>
      </c>
      <c r="E672" s="1" t="n">
        <v>46248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62240-2025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46006</v>
      </c>
      <c r="E673" s="1" t="n">
        <v>46248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62168-2025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46006</v>
      </c>
      <c r="E674" s="1" t="n">
        <v>46248</v>
      </c>
      <c r="F674" t="inlineStr">
        <is>
          <t>VÄRMLANDS LÄN</t>
        </is>
      </c>
      <c r="G674" t="inlineStr">
        <is>
          <t>HAGFORS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62099-2025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46006</v>
      </c>
      <c r="E675" s="1" t="n">
        <v>46248</v>
      </c>
      <c r="F675" t="inlineStr">
        <is>
          <t>VÄRMLANDS LÄN</t>
        </is>
      </c>
      <c r="G675" t="inlineStr">
        <is>
          <t>HAGFORS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62125-2025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46006</v>
      </c>
      <c r="E676" s="1" t="n">
        <v>46248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62632-2025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46008</v>
      </c>
      <c r="E677" s="1" t="n">
        <v>46248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33073-2026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46245</v>
      </c>
      <c r="E678" s="1" t="n">
        <v>46248</v>
      </c>
      <c r="F678" t="inlineStr">
        <is>
          <t>VÄRMLANDS LÄN</t>
        </is>
      </c>
      <c r="G678" t="inlineStr">
        <is>
          <t>HAGFORS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62749-2025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46008</v>
      </c>
      <c r="E679" s="1" t="n">
        <v>46248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4745-2024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45328</v>
      </c>
      <c r="E680" s="1" t="n">
        <v>46248</v>
      </c>
      <c r="F680" t="inlineStr">
        <is>
          <t>VÄRMLANDS LÄN</t>
        </is>
      </c>
      <c r="G680" t="inlineStr">
        <is>
          <t>HAGFORS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63301-2025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46010</v>
      </c>
      <c r="E681" s="1" t="n">
        <v>46248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63361-2025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46010</v>
      </c>
      <c r="E682" s="1" t="n">
        <v>46248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29580-2026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46248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2.8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63285-2025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46010</v>
      </c>
      <c r="E684" s="1" t="n">
        <v>46248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59449-2024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45638</v>
      </c>
      <c r="E685" s="1" t="n">
        <v>46248</v>
      </c>
      <c r="F685" t="inlineStr">
        <is>
          <t>VÄRMLANDS LÄN</t>
        </is>
      </c>
      <c r="G685" t="inlineStr">
        <is>
          <t>HAGFORS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29422-2026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46248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29430-2026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46203</v>
      </c>
      <c r="E687" s="1" t="n">
        <v>46248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29428-2026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46203</v>
      </c>
      <c r="E688" s="1" t="n">
        <v>46248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12.4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63834-2025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46020</v>
      </c>
      <c r="E689" s="1" t="n">
        <v>46248</v>
      </c>
      <c r="F689" t="inlineStr">
        <is>
          <t>VÄRMLANDS LÄN</t>
        </is>
      </c>
      <c r="G689" t="inlineStr">
        <is>
          <t>HAGFORS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63831-2025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46020</v>
      </c>
      <c r="E690" s="1" t="n">
        <v>46248</v>
      </c>
      <c r="F690" t="inlineStr">
        <is>
          <t>VÄRMLANDS LÄN</t>
        </is>
      </c>
      <c r="G690" t="inlineStr">
        <is>
          <t>HAGFORS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29427-2026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46203</v>
      </c>
      <c r="E691" s="1" t="n">
        <v>46248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9.6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63764-2025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46018</v>
      </c>
      <c r="E692" s="1" t="n">
        <v>46248</v>
      </c>
      <c r="F692" t="inlineStr">
        <is>
          <t>VÄRMLANDS LÄN</t>
        </is>
      </c>
      <c r="G692" t="inlineStr">
        <is>
          <t>HAGFORS</t>
        </is>
      </c>
      <c r="I692" t="n">
        <v>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63765-2025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46018</v>
      </c>
      <c r="E693" s="1" t="n">
        <v>46248</v>
      </c>
      <c r="F693" t="inlineStr">
        <is>
          <t>VÄRMLANDS LÄN</t>
        </is>
      </c>
      <c r="G693" t="inlineStr">
        <is>
          <t>HAGFORS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29950-2026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46205</v>
      </c>
      <c r="E694" s="1" t="n">
        <v>46248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63875-2025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46020</v>
      </c>
      <c r="E695" s="1" t="n">
        <v>46248</v>
      </c>
      <c r="F695" t="inlineStr">
        <is>
          <t>VÄRMLANDS LÄN</t>
        </is>
      </c>
      <c r="G695" t="inlineStr">
        <is>
          <t>HAGFORS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29438-2026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46203</v>
      </c>
      <c r="E696" s="1" t="n">
        <v>46248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29400-2026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46248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60390-2025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45995</v>
      </c>
      <c r="E698" s="1" t="n">
        <v>46248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16.6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48807-2025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45937</v>
      </c>
      <c r="E699" s="1" t="n">
        <v>46248</v>
      </c>
      <c r="F699" t="inlineStr">
        <is>
          <t>VÄRMLANDS LÄN</t>
        </is>
      </c>
      <c r="G699" t="inlineStr">
        <is>
          <t>HAGFORS</t>
        </is>
      </c>
      <c r="I699" t="n">
        <v>2.6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46029</v>
      </c>
      <c r="E700" s="1" t="n">
        <v>46248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46029</v>
      </c>
      <c r="E701" s="1" t="n">
        <v>46248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975-2026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46030</v>
      </c>
      <c r="E702" s="1" t="n">
        <v>46248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1745-2026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46030</v>
      </c>
      <c r="E703" s="1" t="n">
        <v>46248</v>
      </c>
      <c r="F703" t="inlineStr">
        <is>
          <t>VÄRMLANDS LÄN</t>
        </is>
      </c>
      <c r="G703" t="inlineStr">
        <is>
          <t>HAGFORS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46034</v>
      </c>
      <c r="E704" s="1" t="n">
        <v>46248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16.8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44906-2024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45575</v>
      </c>
      <c r="E705" s="1" t="n">
        <v>46248</v>
      </c>
      <c r="F705" t="inlineStr">
        <is>
          <t>VÄRMLANDS LÄN</t>
        </is>
      </c>
      <c r="G705" t="inlineStr">
        <is>
          <t>HAGFORS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4625-2026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46048</v>
      </c>
      <c r="E706" s="1" t="n">
        <v>46248</v>
      </c>
      <c r="F706" t="inlineStr">
        <is>
          <t>VÄRMLANDS LÄN</t>
        </is>
      </c>
      <c r="G706" t="inlineStr">
        <is>
          <t>HAGFORS</t>
        </is>
      </c>
      <c r="I706" t="n">
        <v>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4618-2026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46048</v>
      </c>
      <c r="E707" s="1" t="n">
        <v>46248</v>
      </c>
      <c r="F707" t="inlineStr">
        <is>
          <t>VÄRMLANDS LÄN</t>
        </is>
      </c>
      <c r="G707" t="inlineStr">
        <is>
          <t>HAGFORS</t>
        </is>
      </c>
      <c r="I707" t="n">
        <v>13.1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46049</v>
      </c>
      <c r="E708" s="1" t="n">
        <v>46248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6.8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5383-2026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46050</v>
      </c>
      <c r="E709" s="1" t="n">
        <v>46248</v>
      </c>
      <c r="F709" t="inlineStr">
        <is>
          <t>VÄRMLANDS LÄN</t>
        </is>
      </c>
      <c r="G709" t="inlineStr">
        <is>
          <t>HAGFORS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5371-2026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46050</v>
      </c>
      <c r="E710" s="1" t="n">
        <v>46248</v>
      </c>
      <c r="F710" t="inlineStr">
        <is>
          <t>VÄRMLANDS LÄN</t>
        </is>
      </c>
      <c r="G710" t="inlineStr">
        <is>
          <t>HAGFORS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46050</v>
      </c>
      <c r="E711" s="1" t="n">
        <v>46248</v>
      </c>
      <c r="F711" t="inlineStr">
        <is>
          <t>VÄRMLANDS LÄN</t>
        </is>
      </c>
      <c r="G711" t="inlineStr">
        <is>
          <t>HAGFORS</t>
        </is>
      </c>
      <c r="I711" t="n">
        <v>3.9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46050</v>
      </c>
      <c r="E712" s="1" t="n">
        <v>46248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4.3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5468-2026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46050</v>
      </c>
      <c r="E713" s="1" t="n">
        <v>46248</v>
      </c>
      <c r="F713" t="inlineStr">
        <is>
          <t>VÄRMLANDS LÄN</t>
        </is>
      </c>
      <c r="G713" t="inlineStr">
        <is>
          <t>HAGFORS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5298-2026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46050</v>
      </c>
      <c r="E714" s="1" t="n">
        <v>46248</v>
      </c>
      <c r="F714" t="inlineStr">
        <is>
          <t>VÄRMLANDS LÄN</t>
        </is>
      </c>
      <c r="G714" t="inlineStr">
        <is>
          <t>HAGFORS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46052</v>
      </c>
      <c r="E715" s="1" t="n">
        <v>46248</v>
      </c>
      <c r="F715" t="inlineStr">
        <is>
          <t>VÄRMLANDS LÄN</t>
        </is>
      </c>
      <c r="G715" t="inlineStr">
        <is>
          <t>HAGFORS</t>
        </is>
      </c>
      <c r="I715" t="n">
        <v>5.5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7000-2026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46057</v>
      </c>
      <c r="E716" s="1" t="n">
        <v>46248</v>
      </c>
      <c r="F716" t="inlineStr">
        <is>
          <t>VÄRMLANDS LÄN</t>
        </is>
      </c>
      <c r="G716" t="inlineStr">
        <is>
          <t>HAGFORS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8555-2026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46065</v>
      </c>
      <c r="E717" s="1" t="n">
        <v>46248</v>
      </c>
      <c r="F717" t="inlineStr">
        <is>
          <t>VÄRMLANDS LÄN</t>
        </is>
      </c>
      <c r="G717" t="inlineStr">
        <is>
          <t>HAGFORS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9769-2026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46072</v>
      </c>
      <c r="E718" s="1" t="n">
        <v>46248</v>
      </c>
      <c r="F718" t="inlineStr">
        <is>
          <t>VÄRMLANDS LÄN</t>
        </is>
      </c>
      <c r="G718" t="inlineStr">
        <is>
          <t>HAGFORS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9670-2026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46072</v>
      </c>
      <c r="E719" s="1" t="n">
        <v>46248</v>
      </c>
      <c r="F719" t="inlineStr">
        <is>
          <t>VÄRMLANDS LÄN</t>
        </is>
      </c>
      <c r="G719" t="inlineStr">
        <is>
          <t>HAGFORS</t>
        </is>
      </c>
      <c r="I719" t="n">
        <v>5.7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10271-2026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46076</v>
      </c>
      <c r="E720" s="1" t="n">
        <v>46248</v>
      </c>
      <c r="F720" t="inlineStr">
        <is>
          <t>VÄRMLANDS LÄN</t>
        </is>
      </c>
      <c r="G720" t="inlineStr">
        <is>
          <t>HAGFORS</t>
        </is>
      </c>
      <c r="I720" t="n">
        <v>4.4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12534-2026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46090</v>
      </c>
      <c r="E721" s="1" t="n">
        <v>46248</v>
      </c>
      <c r="F721" t="inlineStr">
        <is>
          <t>VÄRMLANDS LÄN</t>
        </is>
      </c>
      <c r="G721" t="inlineStr">
        <is>
          <t>HAGFORS</t>
        </is>
      </c>
      <c r="I721" t="n">
        <v>3.5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12295-2026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46087</v>
      </c>
      <c r="E722" s="1" t="n">
        <v>46248</v>
      </c>
      <c r="F722" t="inlineStr">
        <is>
          <t>VÄRMLANDS LÄN</t>
        </is>
      </c>
      <c r="G722" t="inlineStr">
        <is>
          <t>HAGFORS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12611-2026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46091</v>
      </c>
      <c r="E723" s="1" t="n">
        <v>46248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7.2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13338-2026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46094</v>
      </c>
      <c r="E724" s="1" t="n">
        <v>46248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4.2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13360-2026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46094</v>
      </c>
      <c r="E725" s="1" t="n">
        <v>46248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13419-2026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46248</v>
      </c>
      <c r="F726" t="inlineStr">
        <is>
          <t>VÄRMLANDS LÄN</t>
        </is>
      </c>
      <c r="G726" t="inlineStr">
        <is>
          <t>HAGFORS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13411-2026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46248</v>
      </c>
      <c r="F727" t="inlineStr">
        <is>
          <t>VÄRMLANDS LÄN</t>
        </is>
      </c>
      <c r="G727" t="inlineStr">
        <is>
          <t>HAGFORS</t>
        </is>
      </c>
      <c r="I727" t="n">
        <v>0.8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13466-2026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46094</v>
      </c>
      <c r="E728" s="1" t="n">
        <v>46248</v>
      </c>
      <c r="F728" t="inlineStr">
        <is>
          <t>VÄRMLANDS LÄN</t>
        </is>
      </c>
      <c r="G728" t="inlineStr">
        <is>
          <t>HAGFORS</t>
        </is>
      </c>
      <c r="I728" t="n">
        <v>1.9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46248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4.4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13809-2026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46098</v>
      </c>
      <c r="E730" s="1" t="n">
        <v>46248</v>
      </c>
      <c r="F730" t="inlineStr">
        <is>
          <t>VÄRMLANDS LÄN</t>
        </is>
      </c>
      <c r="G730" t="inlineStr">
        <is>
          <t>HAGFORS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13987-2026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46098</v>
      </c>
      <c r="E731" s="1" t="n">
        <v>46248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4.2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14284-2026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46099</v>
      </c>
      <c r="E732" s="1" t="n">
        <v>46248</v>
      </c>
      <c r="F732" t="inlineStr">
        <is>
          <t>VÄRMLANDS LÄN</t>
        </is>
      </c>
      <c r="G732" t="inlineStr">
        <is>
          <t>HAGFORS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14288-2026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46099</v>
      </c>
      <c r="E733" s="1" t="n">
        <v>46248</v>
      </c>
      <c r="F733" t="inlineStr">
        <is>
          <t>VÄRMLANDS LÄN</t>
        </is>
      </c>
      <c r="G733" t="inlineStr">
        <is>
          <t>HAGFORS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14832-2026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46104</v>
      </c>
      <c r="E734" s="1" t="n">
        <v>46248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17.2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14667-2026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46101</v>
      </c>
      <c r="E735" s="1" t="n">
        <v>46248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15031-2026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46248</v>
      </c>
      <c r="F736" t="inlineStr">
        <is>
          <t>VÄRMLANDS LÄN</t>
        </is>
      </c>
      <c r="G736" t="inlineStr">
        <is>
          <t>HAGFORS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14574-2026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46101</v>
      </c>
      <c r="E737" s="1" t="n">
        <v>46248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15656-2026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46248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5.1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15504-2026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46106</v>
      </c>
      <c r="E739" s="1" t="n">
        <v>46248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15639-2026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46248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15491-2026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46106</v>
      </c>
      <c r="E741" s="1" t="n">
        <v>46248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15666-2026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46106</v>
      </c>
      <c r="E742" s="1" t="n">
        <v>46248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3.9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15213-2026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46248</v>
      </c>
      <c r="F743" t="inlineStr">
        <is>
          <t>VÄRMLANDS LÄN</t>
        </is>
      </c>
      <c r="G743" t="inlineStr">
        <is>
          <t>HAGFORS</t>
        </is>
      </c>
      <c r="H743" t="inlineStr">
        <is>
          <t>Kyrkan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15554-2026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46106</v>
      </c>
      <c r="E744" s="1" t="n">
        <v>46248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10.4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15577-2026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46106</v>
      </c>
      <c r="E745" s="1" t="n">
        <v>46248</v>
      </c>
      <c r="F745" t="inlineStr">
        <is>
          <t>VÄRMLANDS LÄN</t>
        </is>
      </c>
      <c r="G745" t="inlineStr">
        <is>
          <t>HAGFORS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16146-2026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46108</v>
      </c>
      <c r="E746" s="1" t="n">
        <v>46248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16157-2026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46108</v>
      </c>
      <c r="E747" s="1" t="n">
        <v>46248</v>
      </c>
      <c r="F747" t="inlineStr">
        <is>
          <t>VÄRMLANDS LÄN</t>
        </is>
      </c>
      <c r="G747" t="inlineStr">
        <is>
          <t>HAGFORS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16284-2026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46248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9.4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15587-2026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46106</v>
      </c>
      <c r="E749" s="1" t="n">
        <v>46248</v>
      </c>
      <c r="F749" t="inlineStr">
        <is>
          <t>VÄRMLANDS LÄN</t>
        </is>
      </c>
      <c r="G749" t="inlineStr">
        <is>
          <t>HAGFORS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17815-2026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46248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17843-2026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46122</v>
      </c>
      <c r="E751" s="1" t="n">
        <v>46248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5.4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17778-2026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46122</v>
      </c>
      <c r="E752" s="1" t="n">
        <v>46248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18217-2026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46126</v>
      </c>
      <c r="E753" s="1" t="n">
        <v>46248</v>
      </c>
      <c r="F753" t="inlineStr">
        <is>
          <t>VÄRMLANDS LÄN</t>
        </is>
      </c>
      <c r="G753" t="inlineStr">
        <is>
          <t>HAGFORS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18895-2026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46129</v>
      </c>
      <c r="E754" s="1" t="n">
        <v>46248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4.5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18528-2026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46127</v>
      </c>
      <c r="E755" s="1" t="n">
        <v>46248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14.1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18901-2026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46129</v>
      </c>
      <c r="E756" s="1" t="n">
        <v>46248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18797-2026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46128</v>
      </c>
      <c r="E757" s="1" t="n">
        <v>46248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19363-2026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46133</v>
      </c>
      <c r="E758" s="1" t="n">
        <v>46248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19339-2026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46248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19307-2026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46248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19350-2026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46133</v>
      </c>
      <c r="E761" s="1" t="n">
        <v>46248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19056-2026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46248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6.5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19421-2026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46133</v>
      </c>
      <c r="E763" s="1" t="n">
        <v>46248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19548-2026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46134</v>
      </c>
      <c r="E764" s="1" t="n">
        <v>46248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46248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19459-2026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46248</v>
      </c>
      <c r="F766" t="inlineStr">
        <is>
          <t>VÄRMLANDS LÄN</t>
        </is>
      </c>
      <c r="G766" t="inlineStr">
        <is>
          <t>HAGFORS</t>
        </is>
      </c>
      <c r="H766" t="inlineStr">
        <is>
          <t>Bergvik skog väst AB</t>
        </is>
      </c>
      <c r="I766" t="n">
        <v>2.9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20260-2026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46139</v>
      </c>
      <c r="E767" s="1" t="n">
        <v>46248</v>
      </c>
      <c r="F767" t="inlineStr">
        <is>
          <t>VÄRMLANDS LÄN</t>
        </is>
      </c>
      <c r="G767" t="inlineStr">
        <is>
          <t>HAGFORS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63868-2025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46020</v>
      </c>
      <c r="E768" s="1" t="n">
        <v>46248</v>
      </c>
      <c r="F768" t="inlineStr">
        <is>
          <t>VÄRMLANDS LÄN</t>
        </is>
      </c>
      <c r="G768" t="inlineStr">
        <is>
          <t>HAGFORS</t>
        </is>
      </c>
      <c r="I768" t="n">
        <v>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12778-2025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45733</v>
      </c>
      <c r="E769" s="1" t="n">
        <v>46248</v>
      </c>
      <c r="F769" t="inlineStr">
        <is>
          <t>VÄRMLANDS LÄN</t>
        </is>
      </c>
      <c r="G769" t="inlineStr">
        <is>
          <t>HAGFORS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33187-2025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45840</v>
      </c>
      <c r="E770" s="1" t="n">
        <v>46248</v>
      </c>
      <c r="F770" t="inlineStr">
        <is>
          <t>VÄRMLANDS LÄN</t>
        </is>
      </c>
      <c r="G770" t="inlineStr">
        <is>
          <t>HAGFORS</t>
        </is>
      </c>
      <c r="I770" t="n">
        <v>18.2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26628-2024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45469</v>
      </c>
      <c r="E771" s="1" t="n">
        <v>46248</v>
      </c>
      <c r="F771" t="inlineStr">
        <is>
          <t>VÄRMLANDS LÄN</t>
        </is>
      </c>
      <c r="G771" t="inlineStr">
        <is>
          <t>HAGFORS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29492-2024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45484</v>
      </c>
      <c r="E772" s="1" t="n">
        <v>46248</v>
      </c>
      <c r="F772" t="inlineStr">
        <is>
          <t>VÄRMLANDS LÄN</t>
        </is>
      </c>
      <c r="G772" t="inlineStr">
        <is>
          <t>HAGFORS</t>
        </is>
      </c>
      <c r="I772" t="n">
        <v>5.4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19993-2026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46136</v>
      </c>
      <c r="E773" s="1" t="n">
        <v>46248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8.4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22346-2025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46248</v>
      </c>
      <c r="F774" t="inlineStr">
        <is>
          <t>VÄRMLANDS LÄN</t>
        </is>
      </c>
      <c r="G774" t="inlineStr">
        <is>
          <t>HAGFORS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23179-2025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45791</v>
      </c>
      <c r="E775" s="1" t="n">
        <v>46248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32688-2025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45838</v>
      </c>
      <c r="E776" s="1" t="n">
        <v>46248</v>
      </c>
      <c r="F776" t="inlineStr">
        <is>
          <t>VÄRMLANDS LÄN</t>
        </is>
      </c>
      <c r="G776" t="inlineStr">
        <is>
          <t>HAGFORS</t>
        </is>
      </c>
      <c r="H776" t="inlineStr">
        <is>
          <t>Kyrkan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28571-2025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45819</v>
      </c>
      <c r="E777" s="1" t="n">
        <v>46248</v>
      </c>
      <c r="F777" t="inlineStr">
        <is>
          <t>VÄRMLANDS LÄN</t>
        </is>
      </c>
      <c r="G777" t="inlineStr">
        <is>
          <t>HAGFORS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24000-2025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45796</v>
      </c>
      <c r="E778" s="1" t="n">
        <v>46248</v>
      </c>
      <c r="F778" t="inlineStr">
        <is>
          <t>VÄRMLANDS LÄN</t>
        </is>
      </c>
      <c r="G778" t="inlineStr">
        <is>
          <t>HAGFORS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23047-2024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45450</v>
      </c>
      <c r="E779" s="1" t="n">
        <v>46248</v>
      </c>
      <c r="F779" t="inlineStr">
        <is>
          <t>VÄRMLANDS LÄN</t>
        </is>
      </c>
      <c r="G779" t="inlineStr">
        <is>
          <t>HAGFORS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21724-2025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45783</v>
      </c>
      <c r="E780" s="1" t="n">
        <v>46248</v>
      </c>
      <c r="F780" t="inlineStr">
        <is>
          <t>VÄRMLANDS LÄN</t>
        </is>
      </c>
      <c r="G780" t="inlineStr">
        <is>
          <t>HAGFORS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2225-2020</t>
        </is>
      </c>
      <c r="B781" t="inlineStr">
        <is>
          <t>samrådsanmälan</t>
        </is>
      </c>
      <c r="C781" t="inlineStr">
        <is>
          <t>Åtgärd i nyckelbiotop</t>
        </is>
      </c>
      <c r="D781" s="1" t="n">
        <v>44127</v>
      </c>
      <c r="E781" s="1" t="n">
        <v>46248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2050-2022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44671</v>
      </c>
      <c r="E782" s="1" t="n">
        <v>46248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4419-2023</t>
        </is>
      </c>
      <c r="B783" t="inlineStr">
        <is>
          <t>samrådsanmälan</t>
        </is>
      </c>
      <c r="C783" t="inlineStr">
        <is>
          <t>Skogsgödsling</t>
        </is>
      </c>
      <c r="D783" s="1" t="n">
        <v>45266</v>
      </c>
      <c r="E783" s="1" t="n">
        <v>46248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35.6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4420-2023</t>
        </is>
      </c>
      <c r="B784" t="inlineStr">
        <is>
          <t>samrådsanmälan</t>
        </is>
      </c>
      <c r="C784" t="inlineStr">
        <is>
          <t>Skogsgödsling</t>
        </is>
      </c>
      <c r="D784" s="1" t="n">
        <v>45266</v>
      </c>
      <c r="E784" s="1" t="n">
        <v>46248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44.2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937-2022</t>
        </is>
      </c>
      <c r="B785" t="inlineStr">
        <is>
          <t>samrådsanmälan</t>
        </is>
      </c>
      <c r="C785" t="inlineStr">
        <is>
          <t>Skogsgödsling</t>
        </is>
      </c>
      <c r="D785" s="1" t="n">
        <v>44606</v>
      </c>
      <c r="E785" s="1" t="n">
        <v>46248</v>
      </c>
      <c r="F785" t="inlineStr">
        <is>
          <t>VÄRMLANDS LÄN</t>
        </is>
      </c>
      <c r="G785" t="inlineStr">
        <is>
          <t>HAGFORS</t>
        </is>
      </c>
      <c r="H785" t="inlineStr">
        <is>
          <t>Bergvik skog väst AB</t>
        </is>
      </c>
      <c r="I785" t="n">
        <v>59.4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4426-2023</t>
        </is>
      </c>
      <c r="B786" t="inlineStr">
        <is>
          <t>samrådsanmälan</t>
        </is>
      </c>
      <c r="C786" t="inlineStr">
        <is>
          <t>Skogsgödsling</t>
        </is>
      </c>
      <c r="D786" s="1" t="n">
        <v>45266</v>
      </c>
      <c r="E786" s="1" t="n">
        <v>46248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9.699999999999999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5512-2022</t>
        </is>
      </c>
      <c r="B787" t="inlineStr">
        <is>
          <t>samrådsanmälan</t>
        </is>
      </c>
      <c r="C787" t="inlineStr">
        <is>
          <t>Skogsgödsling</t>
        </is>
      </c>
      <c r="D787" s="1" t="n">
        <v>44834</v>
      </c>
      <c r="E787" s="1" t="n">
        <v>46248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29.9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931-2022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44606</v>
      </c>
      <c r="E788" s="1" t="n">
        <v>46248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49.5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4415-2023</t>
        </is>
      </c>
      <c r="B789" t="inlineStr">
        <is>
          <t>samrådsanmälan</t>
        </is>
      </c>
      <c r="C789" t="inlineStr">
        <is>
          <t>Skogsgödsling</t>
        </is>
      </c>
      <c r="D789" s="1" t="n">
        <v>45266</v>
      </c>
      <c r="E789" s="1" t="n">
        <v>46248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262-2022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44578</v>
      </c>
      <c r="E790" s="1" t="n">
        <v>46248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78.90000000000001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6970-2022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44901</v>
      </c>
      <c r="E791" s="1" t="n">
        <v>46248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29.3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4408-2023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45266</v>
      </c>
      <c r="E792" s="1" t="n">
        <v>46248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6968-2022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44901</v>
      </c>
      <c r="E793" s="1" t="n">
        <v>46248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19.3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4423-2023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45266</v>
      </c>
      <c r="E794" s="1" t="n">
        <v>46248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4418-2023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45266</v>
      </c>
      <c r="E795" s="1" t="n">
        <v>46248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19.1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907-2022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44606</v>
      </c>
      <c r="E796" s="1" t="n">
        <v>46248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43.5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651-2024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45356</v>
      </c>
      <c r="E797" s="1" t="n">
        <v>46248</v>
      </c>
      <c r="F797" t="inlineStr">
        <is>
          <t>VÄRMLANDS LÄN</t>
        </is>
      </c>
      <c r="G797" t="inlineStr">
        <is>
          <t>HAGFORS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913-2022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46248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22.4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4145-2023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45247</v>
      </c>
      <c r="E799" s="1" t="n">
        <v>46248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26.1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46248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27.1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89-2025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45316</v>
      </c>
      <c r="E801" s="1" t="n">
        <v>46248</v>
      </c>
      <c r="F801" t="inlineStr">
        <is>
          <t>VÄRMLANDS LÄN</t>
        </is>
      </c>
      <c r="G801" t="inlineStr">
        <is>
          <t>HAGFORS</t>
        </is>
      </c>
      <c r="I801" t="n">
        <v>6.3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6969-2022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44901</v>
      </c>
      <c r="E802" s="1" t="n">
        <v>46248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220-2025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45680</v>
      </c>
      <c r="E803" s="1" t="n">
        <v>46248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898-2022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46248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4150-2023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45247</v>
      </c>
      <c r="E805" s="1" t="n">
        <v>46248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4410-2023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46248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39.3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900-2022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44606</v>
      </c>
      <c r="E807" s="1" t="n">
        <v>46248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914-2022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46248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19.3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4409-2023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46248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4155-2023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45247</v>
      </c>
      <c r="E810" s="1" t="n">
        <v>46248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4140-2023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45247</v>
      </c>
      <c r="E811" s="1" t="n">
        <v>46248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36.5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6977-2022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46248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25.2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6973-2022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46248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30.1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4143-2023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45247</v>
      </c>
      <c r="E814" s="1" t="n">
        <v>46248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4407-2023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46248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6965-2022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44901</v>
      </c>
      <c r="E816" s="1" t="n">
        <v>46248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662-2025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45716</v>
      </c>
      <c r="E817" s="1" t="n">
        <v>46248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52.4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108-2026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46037</v>
      </c>
      <c r="E818" s="1" t="n">
        <v>46248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204.4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102-2026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46036</v>
      </c>
      <c r="E819" s="1" t="n">
        <v>46248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57.9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46013</v>
      </c>
      <c r="E820" s="1" t="n">
        <v>46248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10.6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>
      <c r="A821" t="inlineStr">
        <is>
          <t>S 382-2025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45691</v>
      </c>
      <c r="E821" s="1" t="n">
        <v>46248</v>
      </c>
      <c r="F821" t="inlineStr">
        <is>
          <t>VÄRMLANDS LÄN</t>
        </is>
      </c>
      <c r="G821" t="inlineStr">
        <is>
          <t>HAGFORS</t>
        </is>
      </c>
      <c r="I821" t="n">
        <v>5.8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2026-08-14T01:56:16Z</dcterms:created>
  <dcterms:modified xmlns:dcterms="http://purl.org/dc/terms/" xmlns:xsi="http://www.w3.org/2001/XMLSchema-instance" xsi:type="dcterms:W3CDTF">2026-08-14T01:56:17Z</dcterms:modified>
</cp:coreProperties>
</file>