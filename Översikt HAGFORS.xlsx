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46268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46268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46268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46268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46268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46268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46268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46268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46268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46268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46268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46268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46268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46268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46268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46268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46268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46268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46268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46268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46268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46268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46268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46268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46268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62954-2025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46268</v>
      </c>
      <c r="F36" t="inlineStr">
        <is>
          <t>VÄRMLANDS LÄN</t>
        </is>
      </c>
      <c r="G36" t="inlineStr">
        <is>
          <t>HAGFORS</t>
        </is>
      </c>
      <c r="I36" t="n">
        <v>9.1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Kråka</t>
        </is>
      </c>
      <c r="W36">
        <f>HYPERLINK("https://klasma.github.io/Logging_1783/artfynd/A 62954-2025 artfynd.xlsx", "A 62954-2025")</f>
        <v/>
      </c>
      <c r="X36">
        <f>HYPERLINK("https://klasma.github.io/Logging_1783/kartor/A 62954-2025 karta.png", "A 62954-2025")</f>
        <v/>
      </c>
      <c r="Y36">
        <f>HYPERLINK("https://klasma.github.io/Logging_1783/kartor_geotiff/A 62954-2025 georefererad karta.tif", "A 62954-2025")</f>
        <v/>
      </c>
      <c r="AA36">
        <f>HYPERLINK("https://klasma.github.io/Logging_1783/klagomål/A 62954-2025 FSC-klagomål.docx", "A 62954-2025")</f>
        <v/>
      </c>
      <c r="AB36">
        <f>HYPERLINK("https://klasma.github.io/Logging_1783/klagomålsmail/A 62954-2025 FSC-klagomål mail.docx", "A 62954-2025")</f>
        <v/>
      </c>
      <c r="AC36">
        <f>HYPERLINK("https://klasma.github.io/Logging_1783/tillsyn/A 62954-2025 tillsynsbegäran.docx", "A 62954-2025")</f>
        <v/>
      </c>
      <c r="AD36">
        <f>HYPERLINK("https://klasma.github.io/Logging_1783/tillsynsmail/A 62954-2025 tillsynsbegäran mail.docx", "A 62954-2025")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46268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46268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46268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46268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51194-2022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46268</v>
      </c>
      <c r="F41" t="inlineStr">
        <is>
          <t>VÄRMLANDS LÄN</t>
        </is>
      </c>
      <c r="G41" t="inlineStr">
        <is>
          <t>HAGFORS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HYPERLINK("https://klasma.github.io/Logging_1783/artfynd/A 51194-2022 artfynd.xlsx", "A 51194-2022")</f>
        <v/>
      </c>
      <c r="X41">
        <f>HYPERLINK("https://klasma.github.io/Logging_1783/kartor/A 51194-2022 karta.png", "A 51194-2022")</f>
        <v/>
      </c>
      <c r="Y41">
        <f>HYPERLINK("https://klasma.github.io/Logging_1783/kartor_geotiff/A 51194-2022 georefererad karta.tif", "A 51194-2022")</f>
        <v/>
      </c>
      <c r="AA41">
        <f>HYPERLINK("https://klasma.github.io/Logging_1783/klagomål/A 51194-2022 FSC-klagomål.docx", "A 51194-2022")</f>
        <v/>
      </c>
      <c r="AB41">
        <f>HYPERLINK("https://klasma.github.io/Logging_1783/klagomålsmail/A 51194-2022 FSC-klagomål mail.docx", "A 51194-2022")</f>
        <v/>
      </c>
      <c r="AC41">
        <f>HYPERLINK("https://klasma.github.io/Logging_1783/tillsyn/A 51194-2022 tillsynsbegäran.docx", "A 51194-2022")</f>
        <v/>
      </c>
      <c r="AD41">
        <f>HYPERLINK("https://klasma.github.io/Logging_1783/tillsynsmail/A 51194-2022 tillsynsbegäran mail.docx", "A 51194-2022")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46268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46268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46268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46268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46268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46268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46268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46268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46268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46268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46268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38267-2024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46268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HYPERLINK("https://klasma.github.io/Logging_1783/artfynd/A 38267-2024 artfynd.xlsx", "A 38267-2024")</f>
        <v/>
      </c>
      <c r="X53">
        <f>HYPERLINK("https://klasma.github.io/Logging_1783/kartor/A 38267-2024 karta.png", "A 38267-2024")</f>
        <v/>
      </c>
      <c r="Y53">
        <f>HYPERLINK("https://klasma.github.io/Logging_1783/kartor_geotiff/A 38267-2024 georefererad karta.tif", "A 38267-2024")</f>
        <v/>
      </c>
      <c r="AA53">
        <f>HYPERLINK("https://klasma.github.io/Logging_1783/klagomål/A 38267-2024 FSC-klagomål.docx", "A 38267-2024")</f>
        <v/>
      </c>
      <c r="AB53">
        <f>HYPERLINK("https://klasma.github.io/Logging_1783/klagomålsmail/A 38267-2024 FSC-klagomål mail.docx", "A 38267-2024")</f>
        <v/>
      </c>
      <c r="AC53">
        <f>HYPERLINK("https://klasma.github.io/Logging_1783/tillsyn/A 38267-2024 tillsynsbegäran.docx", "A 38267-2024")</f>
        <v/>
      </c>
      <c r="AD53">
        <f>HYPERLINK("https://klasma.github.io/Logging_1783/tillsynsmail/A 38267-2024 tillsynsbegäran mail.docx", "A 38267-2024")</f>
        <v/>
      </c>
    </row>
    <row r="54" ht="15" customHeight="1">
      <c r="A54" t="inlineStr">
        <is>
          <t>A 56083-2022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46268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HYPERLINK("https://klasma.github.io/Logging_1783/artfynd/A 56083-2022 artfynd.xlsx", "A 56083-2022")</f>
        <v/>
      </c>
      <c r="X54">
        <f>HYPERLINK("https://klasma.github.io/Logging_1783/kartor/A 56083-2022 karta.png", "A 56083-2022")</f>
        <v/>
      </c>
      <c r="Y54">
        <f>HYPERLINK("https://klasma.github.io/Logging_1783/kartor_geotiff/A 56083-2022 georefererad karta.tif", "A 56083-2022")</f>
        <v/>
      </c>
      <c r="AA54">
        <f>HYPERLINK("https://klasma.github.io/Logging_1783/klagomål/A 56083-2022 FSC-klagomål.docx", "A 56083-2022")</f>
        <v/>
      </c>
      <c r="AB54">
        <f>HYPERLINK("https://klasma.github.io/Logging_1783/klagomålsmail/A 56083-2022 FSC-klagomål mail.docx", "A 56083-2022")</f>
        <v/>
      </c>
      <c r="AC54">
        <f>HYPERLINK("https://klasma.github.io/Logging_1783/tillsyn/A 56083-2022 tillsynsbegäran.docx", "A 56083-2022")</f>
        <v/>
      </c>
      <c r="AD54">
        <f>HYPERLINK("https://klasma.github.io/Logging_1783/tillsynsmail/A 56083-2022 tillsynsbegäran mail.docx", "A 56083-2022")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46268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46268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46268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46268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46268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46268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46268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46268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46268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46268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46268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46268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46268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46268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46268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46268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46268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46268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46268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46268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46268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46268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46268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46268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46268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46268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46268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46268</v>
      </c>
      <c r="F86" t="inlineStr">
        <is>
          <t>VÄRMLANDS LÄN</t>
        </is>
      </c>
      <c r="G86" t="inlineStr">
        <is>
          <t>HAGFORS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46268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46268</v>
      </c>
      <c r="F88" t="inlineStr">
        <is>
          <t>VÄRMLANDS LÄN</t>
        </is>
      </c>
      <c r="G88" t="inlineStr">
        <is>
          <t>HAGFORS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44763</v>
      </c>
      <c r="E89" s="1" t="n">
        <v>46268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46268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46268</v>
      </c>
      <c r="F91" t="inlineStr">
        <is>
          <t>VÄRMLANDS LÄN</t>
        </is>
      </c>
      <c r="G91" t="inlineStr">
        <is>
          <t>HAGFORS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46268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46268</v>
      </c>
      <c r="F93" t="inlineStr">
        <is>
          <t>VÄRMLANDS LÄN</t>
        </is>
      </c>
      <c r="G93" t="inlineStr">
        <is>
          <t>HAGFORS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46268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46268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46268</v>
      </c>
      <c r="F96" t="inlineStr">
        <is>
          <t>VÄRMLANDS LÄN</t>
        </is>
      </c>
      <c r="G96" t="inlineStr">
        <is>
          <t>HAGFORS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46268</v>
      </c>
      <c r="F97" t="inlineStr">
        <is>
          <t>VÄRMLANDS LÄN</t>
        </is>
      </c>
      <c r="G97" t="inlineStr">
        <is>
          <t>HAGFORS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44836</v>
      </c>
      <c r="E98" s="1" t="n">
        <v>46268</v>
      </c>
      <c r="F98" t="inlineStr">
        <is>
          <t>VÄRMLANDS LÄN</t>
        </is>
      </c>
      <c r="G98" t="inlineStr">
        <is>
          <t>HAGFORS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46268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46268</v>
      </c>
      <c r="F100" t="inlineStr">
        <is>
          <t>VÄRMLANDS LÄN</t>
        </is>
      </c>
      <c r="G100" t="inlineStr">
        <is>
          <t>HAGFORS</t>
        </is>
      </c>
      <c r="H100" t="inlineStr">
        <is>
          <t>Kommuner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44741</v>
      </c>
      <c r="E101" s="1" t="n">
        <v>46268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46268</v>
      </c>
      <c r="F102" t="inlineStr">
        <is>
          <t>VÄRMLANDS LÄN</t>
        </is>
      </c>
      <c r="G102" t="inlineStr">
        <is>
          <t>HAGFORS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46268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46268</v>
      </c>
      <c r="F104" t="inlineStr">
        <is>
          <t>VÄRMLANDS LÄN</t>
        </is>
      </c>
      <c r="G104" t="inlineStr">
        <is>
          <t>HAGFORS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46268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65565-2021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46268</v>
      </c>
      <c r="F106" t="inlineStr">
        <is>
          <t>VÄRMLANDS LÄN</t>
        </is>
      </c>
      <c r="G106" t="inlineStr">
        <is>
          <t>HAGFORS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46268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46268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46268</v>
      </c>
      <c r="F109" t="inlineStr">
        <is>
          <t>VÄRMLANDS LÄN</t>
        </is>
      </c>
      <c r="G109" t="inlineStr">
        <is>
          <t>HAGFORS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46268</v>
      </c>
      <c r="F110" t="inlineStr">
        <is>
          <t>VÄRMLANDS LÄN</t>
        </is>
      </c>
      <c r="G110" t="inlineStr">
        <is>
          <t>HAGFORS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46268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46268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46268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46268</v>
      </c>
      <c r="F114" t="inlineStr">
        <is>
          <t>VÄRMLANDS LÄN</t>
        </is>
      </c>
      <c r="G114" t="inlineStr">
        <is>
          <t>HAGFORS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46268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46268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46268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46268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46268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46268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46268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46268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46268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46268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46268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46268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46268</v>
      </c>
      <c r="F127" t="inlineStr">
        <is>
          <t>VÄRMLANDS LÄN</t>
        </is>
      </c>
      <c r="G127" t="inlineStr">
        <is>
          <t>HAGFORS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46268</v>
      </c>
      <c r="F128" t="inlineStr">
        <is>
          <t>VÄRMLANDS LÄN</t>
        </is>
      </c>
      <c r="G128" t="inlineStr">
        <is>
          <t>HAGFORS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46268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46268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58210-2022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44901</v>
      </c>
      <c r="E131" s="1" t="n">
        <v>46268</v>
      </c>
      <c r="F131" t="inlineStr">
        <is>
          <t>VÄRMLANDS LÄN</t>
        </is>
      </c>
      <c r="G131" t="inlineStr">
        <is>
          <t>HAGFORS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46268</v>
      </c>
      <c r="F132" t="inlineStr">
        <is>
          <t>VÄRMLANDS LÄN</t>
        </is>
      </c>
      <c r="G132" t="inlineStr">
        <is>
          <t>HAGFORS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45419</v>
      </c>
      <c r="E133" s="1" t="n">
        <v>46268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46268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46268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46268</v>
      </c>
      <c r="F136" t="inlineStr">
        <is>
          <t>VÄRMLANDS LÄN</t>
        </is>
      </c>
      <c r="G136" t="inlineStr">
        <is>
          <t>HAGFORS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46268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46268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46268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46268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45435</v>
      </c>
      <c r="E141" s="1" t="n">
        <v>46268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46268</v>
      </c>
      <c r="F142" t="inlineStr">
        <is>
          <t>VÄRMLANDS LÄN</t>
        </is>
      </c>
      <c r="G142" t="inlineStr">
        <is>
          <t>HAGFORS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46268</v>
      </c>
      <c r="F143" t="inlineStr">
        <is>
          <t>VÄRMLANDS LÄN</t>
        </is>
      </c>
      <c r="G143" t="inlineStr">
        <is>
          <t>HAGFORS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45644</v>
      </c>
      <c r="E144" s="1" t="n">
        <v>46268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46268</v>
      </c>
      <c r="F145" t="inlineStr">
        <is>
          <t>VÄRMLANDS LÄN</t>
        </is>
      </c>
      <c r="G145" t="inlineStr">
        <is>
          <t>HAGFORS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46268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46268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46268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46268</v>
      </c>
      <c r="F149" t="inlineStr">
        <is>
          <t>VÄRMLANDS LÄN</t>
        </is>
      </c>
      <c r="G149" t="inlineStr">
        <is>
          <t>HAGFORS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46268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46268</v>
      </c>
      <c r="F151" t="inlineStr">
        <is>
          <t>VÄRMLANDS LÄN</t>
        </is>
      </c>
      <c r="G151" t="inlineStr">
        <is>
          <t>HAGFORS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46268</v>
      </c>
      <c r="F152" t="inlineStr">
        <is>
          <t>VÄRMLANDS LÄN</t>
        </is>
      </c>
      <c r="G152" t="inlineStr">
        <is>
          <t>HAGFORS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46268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44770</v>
      </c>
      <c r="E154" s="1" t="n">
        <v>46268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48807-2025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45937</v>
      </c>
      <c r="E155" s="1" t="n">
        <v>46268</v>
      </c>
      <c r="F155" t="inlineStr">
        <is>
          <t>VÄRMLANDS LÄN</t>
        </is>
      </c>
      <c r="G155" t="inlineStr">
        <is>
          <t>HAGFORS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46268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22.7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46268</v>
      </c>
      <c r="F157" t="inlineStr">
        <is>
          <t>VÄRMLANDS LÄN</t>
        </is>
      </c>
      <c r="G157" t="inlineStr">
        <is>
          <t>HAGFORS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46268</v>
      </c>
      <c r="F158" t="inlineStr">
        <is>
          <t>VÄRMLANDS LÄN</t>
        </is>
      </c>
      <c r="G158" t="inlineStr">
        <is>
          <t>HAGFORS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975-2026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46030</v>
      </c>
      <c r="E159" s="1" t="n">
        <v>46268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26463-2025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45807</v>
      </c>
      <c r="E160" s="1" t="n">
        <v>46268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46268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45546</v>
      </c>
      <c r="E162" s="1" t="n">
        <v>46268</v>
      </c>
      <c r="F162" t="inlineStr">
        <is>
          <t>VÄRMLANDS LÄN</t>
        </is>
      </c>
      <c r="G162" t="inlineStr">
        <is>
          <t>HAGFORS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46268</v>
      </c>
      <c r="F163" t="inlineStr">
        <is>
          <t>VÄRMLANDS LÄN</t>
        </is>
      </c>
      <c r="G163" t="inlineStr">
        <is>
          <t>HAGFORS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46268</v>
      </c>
      <c r="F164" t="inlineStr">
        <is>
          <t>VÄRMLANDS LÄN</t>
        </is>
      </c>
      <c r="G164" t="inlineStr">
        <is>
          <t>HAGFORS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46268</v>
      </c>
      <c r="F165" t="inlineStr">
        <is>
          <t>VÄRMLANDS LÄN</t>
        </is>
      </c>
      <c r="G165" t="inlineStr">
        <is>
          <t>HAGFORS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46268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45810</v>
      </c>
      <c r="E167" s="1" t="n">
        <v>46268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46268</v>
      </c>
      <c r="F168" t="inlineStr">
        <is>
          <t>VÄRMLANDS LÄN</t>
        </is>
      </c>
      <c r="G168" t="inlineStr">
        <is>
          <t>HAGFORS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46268</v>
      </c>
      <c r="F169" t="inlineStr">
        <is>
          <t>VÄRMLANDS LÄN</t>
        </is>
      </c>
      <c r="G169" t="inlineStr">
        <is>
          <t>HAGFORS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46268</v>
      </c>
      <c r="F170" t="inlineStr">
        <is>
          <t>VÄRMLANDS LÄN</t>
        </is>
      </c>
      <c r="G170" t="inlineStr">
        <is>
          <t>HAGFORS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45055</v>
      </c>
      <c r="E171" s="1" t="n">
        <v>46268</v>
      </c>
      <c r="F171" t="inlineStr">
        <is>
          <t>VÄRMLANDS LÄN</t>
        </is>
      </c>
      <c r="G171" t="inlineStr">
        <is>
          <t>HAGFORS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46268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46268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46268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61140-2023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45261</v>
      </c>
      <c r="E175" s="1" t="n">
        <v>46268</v>
      </c>
      <c r="F175" t="inlineStr">
        <is>
          <t>VÄRMLANDS LÄN</t>
        </is>
      </c>
      <c r="G175" t="inlineStr">
        <is>
          <t>HAGFORS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46268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46268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46268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46268</v>
      </c>
      <c r="F179" t="inlineStr">
        <is>
          <t>VÄRMLANDS LÄN</t>
        </is>
      </c>
      <c r="G179" t="inlineStr">
        <is>
          <t>HAGFORS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45461</v>
      </c>
      <c r="E180" s="1" t="n">
        <v>46268</v>
      </c>
      <c r="F180" t="inlineStr">
        <is>
          <t>VÄRMLANDS LÄN</t>
        </is>
      </c>
      <c r="G180" t="inlineStr">
        <is>
          <t>HAGFORS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46268</v>
      </c>
      <c r="F181" t="inlineStr">
        <is>
          <t>VÄRMLANDS LÄN</t>
        </is>
      </c>
      <c r="G181" t="inlineStr">
        <is>
          <t>HAGFORS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46268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46268</v>
      </c>
      <c r="F183" t="inlineStr">
        <is>
          <t>VÄRMLANDS LÄN</t>
        </is>
      </c>
      <c r="G183" t="inlineStr">
        <is>
          <t>HAGFORS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46268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46268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46268</v>
      </c>
      <c r="F186" t="inlineStr">
        <is>
          <t>VÄRMLANDS LÄN</t>
        </is>
      </c>
      <c r="G186" t="inlineStr">
        <is>
          <t>HAGFORS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46268</v>
      </c>
      <c r="F187" t="inlineStr">
        <is>
          <t>VÄRMLANDS LÄN</t>
        </is>
      </c>
      <c r="G187" t="inlineStr">
        <is>
          <t>HAGFORS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46268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46268</v>
      </c>
      <c r="F189" t="inlineStr">
        <is>
          <t>VÄRMLANDS LÄN</t>
        </is>
      </c>
      <c r="G189" t="inlineStr">
        <is>
          <t>HAGFORS</t>
        </is>
      </c>
      <c r="H189" t="inlineStr">
        <is>
          <t>Kyrkan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46268</v>
      </c>
      <c r="F190" t="inlineStr">
        <is>
          <t>VÄRMLANDS LÄN</t>
        </is>
      </c>
      <c r="G190" t="inlineStr">
        <is>
          <t>HAGFORS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46268</v>
      </c>
      <c r="F191" t="inlineStr">
        <is>
          <t>VÄRMLANDS LÄN</t>
        </is>
      </c>
      <c r="G191" t="inlineStr">
        <is>
          <t>HAGFORS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46268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46268</v>
      </c>
      <c r="F193" t="inlineStr">
        <is>
          <t>VÄRMLANDS LÄN</t>
        </is>
      </c>
      <c r="G193" t="inlineStr">
        <is>
          <t>HAGFORS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46268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46268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46268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46268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46268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46268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44566</v>
      </c>
      <c r="E200" s="1" t="n">
        <v>46268</v>
      </c>
      <c r="F200" t="inlineStr">
        <is>
          <t>VÄRMLANDS LÄN</t>
        </is>
      </c>
      <c r="G200" t="inlineStr">
        <is>
          <t>HAGFORS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46268</v>
      </c>
      <c r="F201" t="inlineStr">
        <is>
          <t>VÄRMLANDS LÄN</t>
        </is>
      </c>
      <c r="G201" t="inlineStr">
        <is>
          <t>HAGFORS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57379-2022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44896</v>
      </c>
      <c r="E202" s="1" t="n">
        <v>46268</v>
      </c>
      <c r="F202" t="inlineStr">
        <is>
          <t>VÄRMLANDS LÄN</t>
        </is>
      </c>
      <c r="G202" t="inlineStr">
        <is>
          <t>HAGFORS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46268</v>
      </c>
      <c r="F203" t="inlineStr">
        <is>
          <t>VÄRMLANDS LÄN</t>
        </is>
      </c>
      <c r="G203" t="inlineStr">
        <is>
          <t>HAGFORS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46268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46268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46268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46268</v>
      </c>
      <c r="F207" t="inlineStr">
        <is>
          <t>VÄRMLANDS LÄN</t>
        </is>
      </c>
      <c r="G207" t="inlineStr">
        <is>
          <t>HAGFORS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46268</v>
      </c>
      <c r="F208" t="inlineStr">
        <is>
          <t>VÄRMLANDS LÄN</t>
        </is>
      </c>
      <c r="G208" t="inlineStr">
        <is>
          <t>HAGFORS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45250</v>
      </c>
      <c r="E209" s="1" t="n">
        <v>46268</v>
      </c>
      <c r="F209" t="inlineStr">
        <is>
          <t>VÄRMLANDS LÄN</t>
        </is>
      </c>
      <c r="G209" t="inlineStr">
        <is>
          <t>HAGFORS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45902</v>
      </c>
      <c r="E210" s="1" t="n">
        <v>46268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52224-2023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45224</v>
      </c>
      <c r="E211" s="1" t="n">
        <v>46268</v>
      </c>
      <c r="F211" t="inlineStr">
        <is>
          <t>VÄRMLANDS LÄN</t>
        </is>
      </c>
      <c r="G211" t="inlineStr">
        <is>
          <t>HAGFORS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46268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46268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46268</v>
      </c>
      <c r="F214" t="inlineStr">
        <is>
          <t>VÄRMLANDS LÄN</t>
        </is>
      </c>
      <c r="G214" t="inlineStr">
        <is>
          <t>HAGFORS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46268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46268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46268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46268</v>
      </c>
      <c r="F218" t="inlineStr">
        <is>
          <t>VÄRMLANDS LÄN</t>
        </is>
      </c>
      <c r="G218" t="inlineStr">
        <is>
          <t>HAGFORS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46268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46268</v>
      </c>
      <c r="F220" t="inlineStr">
        <is>
          <t>VÄRMLANDS LÄN</t>
        </is>
      </c>
      <c r="G220" t="inlineStr">
        <is>
          <t>HAGFORS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33440-2025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45841</v>
      </c>
      <c r="E221" s="1" t="n">
        <v>46268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46268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46268</v>
      </c>
      <c r="F223" t="inlineStr">
        <is>
          <t>VÄRMLANDS LÄN</t>
        </is>
      </c>
      <c r="G223" t="inlineStr">
        <is>
          <t>HAGFORS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46268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45433</v>
      </c>
      <c r="E225" s="1" t="n">
        <v>46268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46268</v>
      </c>
      <c r="F226" t="inlineStr">
        <is>
          <t>VÄRMLANDS LÄN</t>
        </is>
      </c>
      <c r="G226" t="inlineStr">
        <is>
          <t>HAGFORS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46268</v>
      </c>
      <c r="F227" t="inlineStr">
        <is>
          <t>VÄRMLANDS LÄN</t>
        </is>
      </c>
      <c r="G227" t="inlineStr">
        <is>
          <t>HAGFORS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46268</v>
      </c>
      <c r="F228" t="inlineStr">
        <is>
          <t>VÄRMLANDS LÄN</t>
        </is>
      </c>
      <c r="G228" t="inlineStr">
        <is>
          <t>HAGFORS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46268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46268</v>
      </c>
      <c r="F230" t="inlineStr">
        <is>
          <t>VÄRMLANDS LÄN</t>
        </is>
      </c>
      <c r="G230" t="inlineStr">
        <is>
          <t>HAGFORS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46268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45673</v>
      </c>
      <c r="E232" s="1" t="n">
        <v>46268</v>
      </c>
      <c r="F232" t="inlineStr">
        <is>
          <t>VÄRMLANDS LÄN</t>
        </is>
      </c>
      <c r="G232" t="inlineStr">
        <is>
          <t>HAGFORS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46268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46268</v>
      </c>
      <c r="F234" t="inlineStr">
        <is>
          <t>VÄRMLANDS LÄN</t>
        </is>
      </c>
      <c r="G234" t="inlineStr">
        <is>
          <t>HAGFORS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13300-2023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45005</v>
      </c>
      <c r="E235" s="1" t="n">
        <v>46268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44790</v>
      </c>
      <c r="E236" s="1" t="n">
        <v>46268</v>
      </c>
      <c r="F236" t="inlineStr">
        <is>
          <t>VÄRMLANDS LÄN</t>
        </is>
      </c>
      <c r="G236" t="inlineStr">
        <is>
          <t>HAGFORS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46268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46268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45854</v>
      </c>
      <c r="E239" s="1" t="n">
        <v>46268</v>
      </c>
      <c r="F239" t="inlineStr">
        <is>
          <t>VÄRMLANDS LÄN</t>
        </is>
      </c>
      <c r="G239" t="inlineStr">
        <is>
          <t>HAGFORS</t>
        </is>
      </c>
      <c r="H239" t="inlineStr">
        <is>
          <t>Kyrkan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44776</v>
      </c>
      <c r="E240" s="1" t="n">
        <v>46268</v>
      </c>
      <c r="F240" t="inlineStr">
        <is>
          <t>VÄRMLANDS LÄN</t>
        </is>
      </c>
      <c r="G240" t="inlineStr">
        <is>
          <t>HAGFORS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46268</v>
      </c>
      <c r="F241" t="inlineStr">
        <is>
          <t>VÄRMLANDS LÄN</t>
        </is>
      </c>
      <c r="G241" t="inlineStr">
        <is>
          <t>HAGFORS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46268</v>
      </c>
      <c r="F242" t="inlineStr">
        <is>
          <t>VÄRMLANDS LÄN</t>
        </is>
      </c>
      <c r="G242" t="inlineStr">
        <is>
          <t>HAGFORS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46268</v>
      </c>
      <c r="F243" t="inlineStr">
        <is>
          <t>VÄRMLANDS LÄN</t>
        </is>
      </c>
      <c r="G243" t="inlineStr">
        <is>
          <t>HAGFORS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46268</v>
      </c>
      <c r="F244" t="inlineStr">
        <is>
          <t>VÄRMLANDS LÄN</t>
        </is>
      </c>
      <c r="G244" t="inlineStr">
        <is>
          <t>HAGFORS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46268</v>
      </c>
      <c r="F245" t="inlineStr">
        <is>
          <t>VÄRMLANDS LÄN</t>
        </is>
      </c>
      <c r="G245" t="inlineStr">
        <is>
          <t>HAGFORS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46268</v>
      </c>
      <c r="F246" t="inlineStr">
        <is>
          <t>VÄRMLANDS LÄN</t>
        </is>
      </c>
      <c r="G246" t="inlineStr">
        <is>
          <t>HAGFORS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46268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46268</v>
      </c>
      <c r="F248" t="inlineStr">
        <is>
          <t>VÄRMLANDS LÄN</t>
        </is>
      </c>
      <c r="G248" t="inlineStr">
        <is>
          <t>HAGFORS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46268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46268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46268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45928</v>
      </c>
      <c r="E252" s="1" t="n">
        <v>46268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45927</v>
      </c>
      <c r="E253" s="1" t="n">
        <v>46268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45927</v>
      </c>
      <c r="E254" s="1" t="n">
        <v>46268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46268</v>
      </c>
      <c r="F255" t="inlineStr">
        <is>
          <t>VÄRMLANDS LÄN</t>
        </is>
      </c>
      <c r="G255" t="inlineStr">
        <is>
          <t>HAGFORS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46268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46268</v>
      </c>
      <c r="F257" t="inlineStr">
        <is>
          <t>VÄRMLANDS LÄN</t>
        </is>
      </c>
      <c r="G257" t="inlineStr">
        <is>
          <t>HAGFORS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46268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46268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11104-2022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44628</v>
      </c>
      <c r="E260" s="1" t="n">
        <v>46268</v>
      </c>
      <c r="F260" t="inlineStr">
        <is>
          <t>VÄRMLANDS LÄN</t>
        </is>
      </c>
      <c r="G260" t="inlineStr">
        <is>
          <t>HAGFORS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46268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46268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46268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46268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46268</v>
      </c>
      <c r="F265" t="inlineStr">
        <is>
          <t>VÄRMLANDS LÄN</t>
        </is>
      </c>
      <c r="G265" t="inlineStr">
        <is>
          <t>HAGFORS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16824-2023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45033</v>
      </c>
      <c r="E266" s="1" t="n">
        <v>46268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46268</v>
      </c>
      <c r="F267" t="inlineStr">
        <is>
          <t>VÄRMLANDS LÄN</t>
        </is>
      </c>
      <c r="G267" t="inlineStr">
        <is>
          <t>HAGFORS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46268</v>
      </c>
      <c r="F268" t="inlineStr">
        <is>
          <t>VÄRMLANDS LÄN</t>
        </is>
      </c>
      <c r="G268" t="inlineStr">
        <is>
          <t>HAGFORS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46268</v>
      </c>
      <c r="F269" t="inlineStr">
        <is>
          <t>VÄRMLANDS LÄN</t>
        </is>
      </c>
      <c r="G269" t="inlineStr">
        <is>
          <t>HAGFORS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46268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46268</v>
      </c>
      <c r="F271" t="inlineStr">
        <is>
          <t>VÄRMLANDS LÄN</t>
        </is>
      </c>
      <c r="G271" t="inlineStr">
        <is>
          <t>HAGFORS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46268</v>
      </c>
      <c r="F272" t="inlineStr">
        <is>
          <t>VÄRMLANDS LÄN</t>
        </is>
      </c>
      <c r="G272" t="inlineStr">
        <is>
          <t>HAGFORS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46268</v>
      </c>
      <c r="F273" t="inlineStr">
        <is>
          <t>VÄRMLANDS LÄN</t>
        </is>
      </c>
      <c r="G273" t="inlineStr">
        <is>
          <t>HAGFORS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45310</v>
      </c>
      <c r="E274" s="1" t="n">
        <v>46268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46268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46268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46268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46268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46268</v>
      </c>
      <c r="F279" t="inlineStr">
        <is>
          <t>VÄRMLANDS LÄN</t>
        </is>
      </c>
      <c r="G279" t="inlineStr">
        <is>
          <t>HAGFORS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45750</v>
      </c>
      <c r="E280" s="1" t="n">
        <v>46268</v>
      </c>
      <c r="F280" t="inlineStr">
        <is>
          <t>VÄRMLANDS LÄN</t>
        </is>
      </c>
      <c r="G280" t="inlineStr">
        <is>
          <t>HAGFORS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46268</v>
      </c>
      <c r="F281" t="inlineStr">
        <is>
          <t>VÄRMLANDS LÄN</t>
        </is>
      </c>
      <c r="G281" t="inlineStr">
        <is>
          <t>HAGFORS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46268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46268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49967-2025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45941</v>
      </c>
      <c r="E284" s="1" t="n">
        <v>46268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46268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46049</v>
      </c>
      <c r="E286" s="1" t="n">
        <v>46268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46268</v>
      </c>
      <c r="F287" t="inlineStr">
        <is>
          <t>VÄRMLANDS LÄN</t>
        </is>
      </c>
      <c r="G287" t="inlineStr">
        <is>
          <t>HAGFORS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46268</v>
      </c>
      <c r="F288" t="inlineStr">
        <is>
          <t>VÄRMLANDS LÄN</t>
        </is>
      </c>
      <c r="G288" t="inlineStr">
        <is>
          <t>HAGFORS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46268</v>
      </c>
      <c r="F289" t="inlineStr">
        <is>
          <t>VÄRMLANDS LÄN</t>
        </is>
      </c>
      <c r="G289" t="inlineStr">
        <is>
          <t>HAGFORS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46268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46050</v>
      </c>
      <c r="E291" s="1" t="n">
        <v>46268</v>
      </c>
      <c r="F291" t="inlineStr">
        <is>
          <t>VÄRMLANDS LÄN</t>
        </is>
      </c>
      <c r="G291" t="inlineStr">
        <is>
          <t>HAGFORS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46268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46268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46268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46268</v>
      </c>
      <c r="F295" t="inlineStr">
        <is>
          <t>VÄRMLANDS LÄN</t>
        </is>
      </c>
      <c r="G295" t="inlineStr">
        <is>
          <t>HAGFORS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46268</v>
      </c>
      <c r="F296" t="inlineStr">
        <is>
          <t>VÄRMLANDS LÄN</t>
        </is>
      </c>
      <c r="G296" t="inlineStr">
        <is>
          <t>HAGFORS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46268</v>
      </c>
      <c r="F297" t="inlineStr">
        <is>
          <t>VÄRMLANDS LÄN</t>
        </is>
      </c>
      <c r="G297" t="inlineStr">
        <is>
          <t>HAGFORS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45716</v>
      </c>
      <c r="E298" s="1" t="n">
        <v>46268</v>
      </c>
      <c r="F298" t="inlineStr">
        <is>
          <t>VÄRMLANDS LÄN</t>
        </is>
      </c>
      <c r="G298" t="inlineStr">
        <is>
          <t>HAGFORS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46268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51611-2025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46268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45949</v>
      </c>
      <c r="E301" s="1" t="n">
        <v>46268</v>
      </c>
      <c r="F301" t="inlineStr">
        <is>
          <t>VÄRMLANDS LÄN</t>
        </is>
      </c>
      <c r="G301" t="inlineStr">
        <is>
          <t>HAGFORS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46268</v>
      </c>
      <c r="F302" t="inlineStr">
        <is>
          <t>VÄRMLANDS LÄN</t>
        </is>
      </c>
      <c r="G302" t="inlineStr">
        <is>
          <t>HAGFORS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46268</v>
      </c>
      <c r="F303" t="inlineStr">
        <is>
          <t>VÄRMLANDS LÄN</t>
        </is>
      </c>
      <c r="G303" t="inlineStr">
        <is>
          <t>HAGFORS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30180-2022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44757</v>
      </c>
      <c r="E304" s="1" t="n">
        <v>46268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46268</v>
      </c>
      <c r="F305" t="inlineStr">
        <is>
          <t>VÄRMLANDS LÄN</t>
        </is>
      </c>
      <c r="G305" t="inlineStr">
        <is>
          <t>HAGFORS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46268</v>
      </c>
      <c r="F306" t="inlineStr">
        <is>
          <t>VÄRMLANDS LÄN</t>
        </is>
      </c>
      <c r="G306" t="inlineStr">
        <is>
          <t>HAGFORS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52479-2025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46268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46268</v>
      </c>
      <c r="F308" t="inlineStr">
        <is>
          <t>VÄRMLANDS LÄN</t>
        </is>
      </c>
      <c r="G308" t="inlineStr">
        <is>
          <t>HAGFORS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46268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52462-2025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46268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44687</v>
      </c>
      <c r="E311" s="1" t="n">
        <v>46268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45961</v>
      </c>
      <c r="E312" s="1" t="n">
        <v>46268</v>
      </c>
      <c r="F312" t="inlineStr">
        <is>
          <t>VÄRMLANDS LÄN</t>
        </is>
      </c>
      <c r="G312" t="inlineStr">
        <is>
          <t>HAGFORS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53620-2025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46268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45148</v>
      </c>
      <c r="E314" s="1" t="n">
        <v>46268</v>
      </c>
      <c r="F314" t="inlineStr">
        <is>
          <t>VÄRMLANDS LÄN</t>
        </is>
      </c>
      <c r="G314" t="inlineStr">
        <is>
          <t>HAGFORS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46268</v>
      </c>
      <c r="F315" t="inlineStr">
        <is>
          <t>VÄRMLANDS LÄN</t>
        </is>
      </c>
      <c r="G315" t="inlineStr">
        <is>
          <t>HAGFORS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46268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45390</v>
      </c>
      <c r="E317" s="1" t="n">
        <v>46268</v>
      </c>
      <c r="F317" t="inlineStr">
        <is>
          <t>VÄRMLANDS LÄN</t>
        </is>
      </c>
      <c r="G317" t="inlineStr">
        <is>
          <t>HAGFORS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46268</v>
      </c>
      <c r="F318" t="inlineStr">
        <is>
          <t>VÄRMLANDS LÄN</t>
        </is>
      </c>
      <c r="G318" t="inlineStr">
        <is>
          <t>HAGFORS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45149</v>
      </c>
      <c r="E319" s="1" t="n">
        <v>46268</v>
      </c>
      <c r="F319" t="inlineStr">
        <is>
          <t>VÄRMLANDS LÄN</t>
        </is>
      </c>
      <c r="G319" t="inlineStr">
        <is>
          <t>HAGFORS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46268</v>
      </c>
      <c r="F320" t="inlineStr">
        <is>
          <t>VÄRMLANDS LÄN</t>
        </is>
      </c>
      <c r="G320" t="inlineStr">
        <is>
          <t>HAGFORS</t>
        </is>
      </c>
      <c r="I320" t="n">
        <v>13.5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46268</v>
      </c>
      <c r="F321" t="inlineStr">
        <is>
          <t>VÄRMLANDS LÄN</t>
        </is>
      </c>
      <c r="G321" t="inlineStr">
        <is>
          <t>HAGFORS</t>
        </is>
      </c>
      <c r="H321" t="inlineStr">
        <is>
          <t>Kyrkan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46268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46268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46268</v>
      </c>
      <c r="F324" t="inlineStr">
        <is>
          <t>VÄRMLANDS LÄN</t>
        </is>
      </c>
      <c r="G324" t="inlineStr">
        <is>
          <t>HAGFORS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46268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46268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46268</v>
      </c>
      <c r="F327" t="inlineStr">
        <is>
          <t>VÄRMLANDS LÄN</t>
        </is>
      </c>
      <c r="G327" t="inlineStr">
        <is>
          <t>HAGFORS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46268</v>
      </c>
      <c r="F328" t="inlineStr">
        <is>
          <t>VÄRMLANDS LÄN</t>
        </is>
      </c>
      <c r="G328" t="inlineStr">
        <is>
          <t>HAGFORS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45510</v>
      </c>
      <c r="E329" s="1" t="n">
        <v>46268</v>
      </c>
      <c r="F329" t="inlineStr">
        <is>
          <t>VÄRMLANDS LÄN</t>
        </is>
      </c>
      <c r="G329" t="inlineStr">
        <is>
          <t>HAGFORS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46072</v>
      </c>
      <c r="E330" s="1" t="n">
        <v>46268</v>
      </c>
      <c r="F330" t="inlineStr">
        <is>
          <t>VÄRMLANDS LÄN</t>
        </is>
      </c>
      <c r="G330" t="inlineStr">
        <is>
          <t>HAGFORS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15538-2024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45401</v>
      </c>
      <c r="E331" s="1" t="n">
        <v>46268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46268</v>
      </c>
      <c r="F332" t="inlineStr">
        <is>
          <t>VÄRMLANDS LÄN</t>
        </is>
      </c>
      <c r="G332" t="inlineStr">
        <is>
          <t>HAGFORS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46268</v>
      </c>
      <c r="F333" t="inlineStr">
        <is>
          <t>VÄRMLANDS LÄN</t>
        </is>
      </c>
      <c r="G333" t="inlineStr">
        <is>
          <t>HAGFORS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46268</v>
      </c>
      <c r="F334" t="inlineStr">
        <is>
          <t>VÄRMLANDS LÄN</t>
        </is>
      </c>
      <c r="G334" t="inlineStr">
        <is>
          <t>HAGFORS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46268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46268</v>
      </c>
      <c r="F336" t="inlineStr">
        <is>
          <t>VÄRMLANDS LÄN</t>
        </is>
      </c>
      <c r="G336" t="inlineStr">
        <is>
          <t>HAGFORS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46268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46268</v>
      </c>
      <c r="F338" t="inlineStr">
        <is>
          <t>VÄRMLANDS LÄN</t>
        </is>
      </c>
      <c r="G338" t="inlineStr">
        <is>
          <t>HAGFORS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46268</v>
      </c>
      <c r="F339" t="inlineStr">
        <is>
          <t>VÄRMLANDS LÄN</t>
        </is>
      </c>
      <c r="G339" t="inlineStr">
        <is>
          <t>HAGFORS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46268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44924</v>
      </c>
      <c r="E341" s="1" t="n">
        <v>46268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45699</v>
      </c>
      <c r="E342" s="1" t="n">
        <v>46268</v>
      </c>
      <c r="F342" t="inlineStr">
        <is>
          <t>VÄRMLANDS LÄN</t>
        </is>
      </c>
      <c r="G342" t="inlineStr">
        <is>
          <t>HAGFORS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46268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44951</v>
      </c>
      <c r="E344" s="1" t="n">
        <v>46268</v>
      </c>
      <c r="F344" t="inlineStr">
        <is>
          <t>VÄRMLANDS LÄN</t>
        </is>
      </c>
      <c r="G344" t="inlineStr">
        <is>
          <t>HAGFORS</t>
        </is>
      </c>
      <c r="H344" t="inlineStr">
        <is>
          <t>Kyrkan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46268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46268</v>
      </c>
      <c r="F346" t="inlineStr">
        <is>
          <t>VÄRMLANDS LÄN</t>
        </is>
      </c>
      <c r="G346" t="inlineStr">
        <is>
          <t>HAGFORS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46268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46268</v>
      </c>
      <c r="F348" t="inlineStr">
        <is>
          <t>VÄRMLANDS LÄN</t>
        </is>
      </c>
      <c r="G348" t="inlineStr">
        <is>
          <t>HAGFORS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46268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46268</v>
      </c>
      <c r="F350" t="inlineStr">
        <is>
          <t>VÄRMLANDS LÄN</t>
        </is>
      </c>
      <c r="G350" t="inlineStr">
        <is>
          <t>HAGFORS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45684</v>
      </c>
      <c r="E351" s="1" t="n">
        <v>46268</v>
      </c>
      <c r="F351" t="inlineStr">
        <is>
          <t>VÄRMLANDS LÄN</t>
        </is>
      </c>
      <c r="G351" t="inlineStr">
        <is>
          <t>HAGFORS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46268</v>
      </c>
      <c r="F352" t="inlineStr">
        <is>
          <t>VÄRMLANDS LÄN</t>
        </is>
      </c>
      <c r="G352" t="inlineStr">
        <is>
          <t>HAGFORS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44824</v>
      </c>
      <c r="E353" s="1" t="n">
        <v>46268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46268</v>
      </c>
      <c r="F354" t="inlineStr">
        <is>
          <t>VÄRMLANDS LÄN</t>
        </is>
      </c>
      <c r="G354" t="inlineStr">
        <is>
          <t>HAGFORS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59047-2025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45988</v>
      </c>
      <c r="E355" s="1" t="n">
        <v>46268</v>
      </c>
      <c r="F355" t="inlineStr">
        <is>
          <t>VÄRMLANDS LÄN</t>
        </is>
      </c>
      <c r="G355" t="inlineStr">
        <is>
          <t>HAGFORS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46087</v>
      </c>
      <c r="E356" s="1" t="n">
        <v>46268</v>
      </c>
      <c r="F356" t="inlineStr">
        <is>
          <t>VÄRMLANDS LÄN</t>
        </is>
      </c>
      <c r="G356" t="inlineStr">
        <is>
          <t>HAGFORS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45201</v>
      </c>
      <c r="E357" s="1" t="n">
        <v>46268</v>
      </c>
      <c r="F357" t="inlineStr">
        <is>
          <t>VÄRMLANDS LÄN</t>
        </is>
      </c>
      <c r="G357" t="inlineStr">
        <is>
          <t>HAGFORS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46091</v>
      </c>
      <c r="E358" s="1" t="n">
        <v>46268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71447-2021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44540</v>
      </c>
      <c r="E359" s="1" t="n">
        <v>46268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60606-2025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45996</v>
      </c>
      <c r="E360" s="1" t="n">
        <v>46268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46268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46268</v>
      </c>
      <c r="F362" t="inlineStr">
        <is>
          <t>VÄRMLANDS LÄN</t>
        </is>
      </c>
      <c r="G362" t="inlineStr">
        <is>
          <t>HAGFORS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60648-2025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45996</v>
      </c>
      <c r="E363" s="1" t="n">
        <v>46268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46268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46268</v>
      </c>
      <c r="F365" t="inlineStr">
        <is>
          <t>VÄRMLANDS LÄN</t>
        </is>
      </c>
      <c r="G365" t="inlineStr">
        <is>
          <t>HAGFORS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45720</v>
      </c>
      <c r="E366" s="1" t="n">
        <v>46268</v>
      </c>
      <c r="F366" t="inlineStr">
        <is>
          <t>VÄRMLANDS LÄN</t>
        </is>
      </c>
      <c r="G366" t="inlineStr">
        <is>
          <t>HAGFORS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46268</v>
      </c>
      <c r="F367" t="inlineStr">
        <is>
          <t>VÄRMLANDS LÄN</t>
        </is>
      </c>
      <c r="G367" t="inlineStr">
        <is>
          <t>HAGFORS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46268</v>
      </c>
      <c r="F368" t="inlineStr">
        <is>
          <t>VÄRMLANDS LÄN</t>
        </is>
      </c>
      <c r="G368" t="inlineStr">
        <is>
          <t>HAGFORS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61843-2025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46003</v>
      </c>
      <c r="E369" s="1" t="n">
        <v>46268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46003</v>
      </c>
      <c r="E370" s="1" t="n">
        <v>46268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61718-2025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46002</v>
      </c>
      <c r="E371" s="1" t="n">
        <v>46268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46268</v>
      </c>
      <c r="F372" t="inlineStr">
        <is>
          <t>VÄRMLANDS LÄN</t>
        </is>
      </c>
      <c r="G372" t="inlineStr">
        <is>
          <t>HAGFORS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13926-2026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46268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45684</v>
      </c>
      <c r="E374" s="1" t="n">
        <v>46268</v>
      </c>
      <c r="F374" t="inlineStr">
        <is>
          <t>VÄRMLANDS LÄN</t>
        </is>
      </c>
      <c r="G374" t="inlineStr">
        <is>
          <t>HAGFORS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46002</v>
      </c>
      <c r="E375" s="1" t="n">
        <v>46268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46268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61910-2025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46003</v>
      </c>
      <c r="E377" s="1" t="n">
        <v>46268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46268</v>
      </c>
      <c r="F378" t="inlineStr">
        <is>
          <t>VÄRMLANDS LÄN</t>
        </is>
      </c>
      <c r="G378" t="inlineStr">
        <is>
          <t>HAGFORS</t>
        </is>
      </c>
      <c r="H378" t="inlineStr">
        <is>
          <t>Kommuner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46268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46268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45623</v>
      </c>
      <c r="E381" s="1" t="n">
        <v>46268</v>
      </c>
      <c r="F381" t="inlineStr">
        <is>
          <t>VÄRMLANDS LÄN</t>
        </is>
      </c>
      <c r="G381" t="inlineStr">
        <is>
          <t>HAGFORS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44937</v>
      </c>
      <c r="E382" s="1" t="n">
        <v>46268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46098</v>
      </c>
      <c r="E383" s="1" t="n">
        <v>46268</v>
      </c>
      <c r="F383" t="inlineStr">
        <is>
          <t>VÄRMLANDS LÄN</t>
        </is>
      </c>
      <c r="G383" t="inlineStr">
        <is>
          <t>HAGFORS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62168-2025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46006</v>
      </c>
      <c r="E384" s="1" t="n">
        <v>46268</v>
      </c>
      <c r="F384" t="inlineStr">
        <is>
          <t>VÄRMLANDS LÄN</t>
        </is>
      </c>
      <c r="G384" t="inlineStr">
        <is>
          <t>HAGFORS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25349-2023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45087</v>
      </c>
      <c r="E385" s="1" t="n">
        <v>46268</v>
      </c>
      <c r="F385" t="inlineStr">
        <is>
          <t>VÄRMLANDS LÄN</t>
        </is>
      </c>
      <c r="G385" t="inlineStr">
        <is>
          <t>HAGFORS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46268</v>
      </c>
      <c r="F386" t="inlineStr">
        <is>
          <t>VÄRMLANDS LÄN</t>
        </is>
      </c>
      <c r="G386" t="inlineStr">
        <is>
          <t>HAGFORS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13987-2026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46098</v>
      </c>
      <c r="E387" s="1" t="n">
        <v>46268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46268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45527</v>
      </c>
      <c r="E389" s="1" t="n">
        <v>46268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46268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46268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46268</v>
      </c>
      <c r="F392" t="inlineStr">
        <is>
          <t>VÄRMLANDS LÄN</t>
        </is>
      </c>
      <c r="G392" t="inlineStr">
        <is>
          <t>HAGFORS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63301-2025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46268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63361-2025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46268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46268</v>
      </c>
      <c r="F395" t="inlineStr">
        <is>
          <t>VÄRMLANDS LÄN</t>
        </is>
      </c>
      <c r="G395" t="inlineStr">
        <is>
          <t>HAGFORS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46268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45638</v>
      </c>
      <c r="E397" s="1" t="n">
        <v>46268</v>
      </c>
      <c r="F397" t="inlineStr">
        <is>
          <t>VÄRMLANDS LÄN</t>
        </is>
      </c>
      <c r="G397" t="inlineStr">
        <is>
          <t>HAGFORS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46268</v>
      </c>
      <c r="F398" t="inlineStr">
        <is>
          <t>VÄRMLANDS LÄN</t>
        </is>
      </c>
      <c r="G398" t="inlineStr">
        <is>
          <t>HAGFORS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46268</v>
      </c>
      <c r="F399" t="inlineStr">
        <is>
          <t>VÄRMLANDS LÄN</t>
        </is>
      </c>
      <c r="G399" t="inlineStr">
        <is>
          <t>HAGFORS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63834-2025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46020</v>
      </c>
      <c r="E400" s="1" t="n">
        <v>46268</v>
      </c>
      <c r="F400" t="inlineStr">
        <is>
          <t>VÄRMLANDS LÄN</t>
        </is>
      </c>
      <c r="G400" t="inlineStr">
        <is>
          <t>HAGFORS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46268</v>
      </c>
      <c r="F401" t="inlineStr">
        <is>
          <t>VÄRMLANDS LÄN</t>
        </is>
      </c>
      <c r="G401" t="inlineStr">
        <is>
          <t>HAGFORS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46268</v>
      </c>
      <c r="F402" t="inlineStr">
        <is>
          <t>VÄRMLANDS LÄN</t>
        </is>
      </c>
      <c r="G402" t="inlineStr">
        <is>
          <t>HAGFORS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46018</v>
      </c>
      <c r="E403" s="1" t="n">
        <v>46268</v>
      </c>
      <c r="F403" t="inlineStr">
        <is>
          <t>VÄRMLANDS LÄN</t>
        </is>
      </c>
      <c r="G403" t="inlineStr">
        <is>
          <t>HAGFORS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63765-2025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46018</v>
      </c>
      <c r="E404" s="1" t="n">
        <v>46268</v>
      </c>
      <c r="F404" t="inlineStr">
        <is>
          <t>VÄRMLANDS LÄN</t>
        </is>
      </c>
      <c r="G404" t="inlineStr">
        <is>
          <t>HAGFORS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46268</v>
      </c>
      <c r="F405" t="inlineStr">
        <is>
          <t>VÄRMLANDS LÄN</t>
        </is>
      </c>
      <c r="G405" t="inlineStr">
        <is>
          <t>HAGFORS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46268</v>
      </c>
      <c r="F406" t="inlineStr">
        <is>
          <t>VÄRMLANDS LÄN</t>
        </is>
      </c>
      <c r="G406" t="inlineStr">
        <is>
          <t>HAGFORS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46268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46268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46268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46268</v>
      </c>
      <c r="F410" t="inlineStr">
        <is>
          <t>VÄRMLANDS LÄN</t>
        </is>
      </c>
      <c r="G410" t="inlineStr">
        <is>
          <t>HAGFORS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46268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46268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45084</v>
      </c>
      <c r="E413" s="1" t="n">
        <v>46268</v>
      </c>
      <c r="F413" t="inlineStr">
        <is>
          <t>VÄRMLANDS LÄN</t>
        </is>
      </c>
      <c r="G413" t="inlineStr">
        <is>
          <t>HAGFORS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61902-2021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44502</v>
      </c>
      <c r="E414" s="1" t="n">
        <v>46268</v>
      </c>
      <c r="F414" t="inlineStr">
        <is>
          <t>VÄRMLANDS LÄN</t>
        </is>
      </c>
      <c r="G414" t="inlineStr">
        <is>
          <t>HAGFORS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46268</v>
      </c>
      <c r="F415" t="inlineStr">
        <is>
          <t>VÄRMLANDS LÄN</t>
        </is>
      </c>
      <c r="G415" t="inlineStr">
        <is>
          <t>HAGFORS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46268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46268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46268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46268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46268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46268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46268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46268</v>
      </c>
      <c r="F423" t="inlineStr">
        <is>
          <t>VÄRMLANDS LÄN</t>
        </is>
      </c>
      <c r="G423" t="inlineStr">
        <is>
          <t>HAGFORS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46268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42235-2024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45562</v>
      </c>
      <c r="E425" s="1" t="n">
        <v>46268</v>
      </c>
      <c r="F425" t="inlineStr">
        <is>
          <t>VÄRMLANDS LÄN</t>
        </is>
      </c>
      <c r="G425" t="inlineStr">
        <is>
          <t>HAGFORS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45036</v>
      </c>
      <c r="E426" s="1" t="n">
        <v>46268</v>
      </c>
      <c r="F426" t="inlineStr">
        <is>
          <t>VÄRMLANDS LÄN</t>
        </is>
      </c>
      <c r="G426" t="inlineStr">
        <is>
          <t>HAGFORS</t>
        </is>
      </c>
      <c r="H426" t="inlineStr">
        <is>
          <t>Kommuner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46268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44613</v>
      </c>
      <c r="E428" s="1" t="n">
        <v>46268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46268</v>
      </c>
      <c r="F429" t="inlineStr">
        <is>
          <t>VÄRMLANDS LÄN</t>
        </is>
      </c>
      <c r="G429" t="inlineStr">
        <is>
          <t>HAGFORS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16284-2026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46268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9.4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46268</v>
      </c>
      <c r="F431" t="inlineStr">
        <is>
          <t>VÄRMLANDS LÄN</t>
        </is>
      </c>
      <c r="G431" t="inlineStr">
        <is>
          <t>HAGFORS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61169-2024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45645</v>
      </c>
      <c r="E432" s="1" t="n">
        <v>46268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24814-2024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45461</v>
      </c>
      <c r="E433" s="1" t="n">
        <v>46268</v>
      </c>
      <c r="F433" t="inlineStr">
        <is>
          <t>VÄRMLANDS LÄN</t>
        </is>
      </c>
      <c r="G433" t="inlineStr">
        <is>
          <t>HAGFORS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46122</v>
      </c>
      <c r="E434" s="1" t="n">
        <v>46268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46122</v>
      </c>
      <c r="E435" s="1" t="n">
        <v>46268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46268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45152</v>
      </c>
      <c r="E437" s="1" t="n">
        <v>46268</v>
      </c>
      <c r="F437" t="inlineStr">
        <is>
          <t>VÄRMLANDS LÄN</t>
        </is>
      </c>
      <c r="G437" t="inlineStr">
        <is>
          <t>HAGFORS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46126</v>
      </c>
      <c r="E438" s="1" t="n">
        <v>46268</v>
      </c>
      <c r="F438" t="inlineStr">
        <is>
          <t>VÄRMLANDS LÄN</t>
        </is>
      </c>
      <c r="G438" t="inlineStr">
        <is>
          <t>HAGFORS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45435</v>
      </c>
      <c r="E439" s="1" t="n">
        <v>46268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46129</v>
      </c>
      <c r="E440" s="1" t="n">
        <v>46268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46268</v>
      </c>
      <c r="F441" t="inlineStr">
        <is>
          <t>VÄRMLANDS LÄN</t>
        </is>
      </c>
      <c r="G441" t="inlineStr">
        <is>
          <t>HAGFORS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46268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46268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59048-2022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44903</v>
      </c>
      <c r="E444" s="1" t="n">
        <v>46268</v>
      </c>
      <c r="F444" t="inlineStr">
        <is>
          <t>VÄRMLANDS LÄN</t>
        </is>
      </c>
      <c r="G444" t="inlineStr">
        <is>
          <t>HAGFORS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46268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46268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46268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46268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46268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46268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45057</v>
      </c>
      <c r="E451" s="1" t="n">
        <v>46268</v>
      </c>
      <c r="F451" t="inlineStr">
        <is>
          <t>VÄRMLANDS LÄN</t>
        </is>
      </c>
      <c r="G451" t="inlineStr">
        <is>
          <t>HAGFORS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46268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46268</v>
      </c>
      <c r="F453" t="inlineStr">
        <is>
          <t>VÄRMLANDS LÄN</t>
        </is>
      </c>
      <c r="G453" t="inlineStr">
        <is>
          <t>HAGFORS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19554-2024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45429</v>
      </c>
      <c r="E454" s="1" t="n">
        <v>46268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46268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44763</v>
      </c>
      <c r="E456" s="1" t="n">
        <v>46268</v>
      </c>
      <c r="F456" t="inlineStr">
        <is>
          <t>VÄRMLANDS LÄN</t>
        </is>
      </c>
      <c r="G456" t="inlineStr">
        <is>
          <t>HAGFORS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46268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52830-2023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45226</v>
      </c>
      <c r="E458" s="1" t="n">
        <v>46268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46133</v>
      </c>
      <c r="E459" s="1" t="n">
        <v>46268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45476</v>
      </c>
      <c r="E460" s="1" t="n">
        <v>46268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45420</v>
      </c>
      <c r="E461" s="1" t="n">
        <v>46268</v>
      </c>
      <c r="F461" t="inlineStr">
        <is>
          <t>VÄRMLANDS LÄN</t>
        </is>
      </c>
      <c r="G461" t="inlineStr">
        <is>
          <t>HAGFORS</t>
        </is>
      </c>
      <c r="I461" t="n">
        <v>11.5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46268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46020</v>
      </c>
      <c r="E463" s="1" t="n">
        <v>46268</v>
      </c>
      <c r="F463" t="inlineStr">
        <is>
          <t>VÄRMLANDS LÄN</t>
        </is>
      </c>
      <c r="G463" t="inlineStr">
        <is>
          <t>HAGFORS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10382-2025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46268</v>
      </c>
      <c r="F464" t="inlineStr">
        <is>
          <t>VÄRMLANDS LÄN</t>
        </is>
      </c>
      <c r="G464" t="inlineStr">
        <is>
          <t>HAGFORS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46268</v>
      </c>
      <c r="F465" t="inlineStr">
        <is>
          <t>VÄRMLANDS LÄN</t>
        </is>
      </c>
      <c r="G465" t="inlineStr">
        <is>
          <t>HAGFORS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46268</v>
      </c>
      <c r="F466" t="inlineStr">
        <is>
          <t>VÄRMLANDS LÄN</t>
        </is>
      </c>
      <c r="G466" t="inlineStr">
        <is>
          <t>HAGFORS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34540-2024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45525</v>
      </c>
      <c r="E467" s="1" t="n">
        <v>46268</v>
      </c>
      <c r="F467" t="inlineStr">
        <is>
          <t>VÄRMLANDS LÄN</t>
        </is>
      </c>
      <c r="G467" t="inlineStr">
        <is>
          <t>HAGFORS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46268</v>
      </c>
      <c r="F468" t="inlineStr">
        <is>
          <t>VÄRMLANDS LÄN</t>
        </is>
      </c>
      <c r="G468" t="inlineStr">
        <is>
          <t>HAGFORS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46268</v>
      </c>
      <c r="F469" t="inlineStr">
        <is>
          <t>VÄRMLANDS LÄN</t>
        </is>
      </c>
      <c r="G469" t="inlineStr">
        <is>
          <t>HAGFORS</t>
        </is>
      </c>
      <c r="I469" t="n">
        <v>18.2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45469</v>
      </c>
      <c r="E470" s="1" t="n">
        <v>46268</v>
      </c>
      <c r="F470" t="inlineStr">
        <is>
          <t>VÄRMLANDS LÄN</t>
        </is>
      </c>
      <c r="G470" t="inlineStr">
        <is>
          <t>HAGFORS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45533</v>
      </c>
      <c r="E471" s="1" t="n">
        <v>46268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45287</v>
      </c>
      <c r="E472" s="1" t="n">
        <v>46268</v>
      </c>
      <c r="F472" t="inlineStr">
        <is>
          <t>VÄRMLANDS LÄN</t>
        </is>
      </c>
      <c r="G472" t="inlineStr">
        <is>
          <t>HAGFORS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45484</v>
      </c>
      <c r="E473" s="1" t="n">
        <v>46268</v>
      </c>
      <c r="F473" t="inlineStr">
        <is>
          <t>VÄRMLANDS LÄN</t>
        </is>
      </c>
      <c r="G473" t="inlineStr">
        <is>
          <t>HAGFORS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46268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8.4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45786</v>
      </c>
      <c r="E475" s="1" t="n">
        <v>46268</v>
      </c>
      <c r="F475" t="inlineStr">
        <is>
          <t>VÄRMLANDS LÄN</t>
        </is>
      </c>
      <c r="G475" t="inlineStr">
        <is>
          <t>HAGFORS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45791</v>
      </c>
      <c r="E476" s="1" t="n">
        <v>46268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45614</v>
      </c>
      <c r="E477" s="1" t="n">
        <v>46268</v>
      </c>
      <c r="F477" t="inlineStr">
        <is>
          <t>VÄRMLANDS LÄN</t>
        </is>
      </c>
      <c r="G477" t="inlineStr">
        <is>
          <t>HAGFORS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45226</v>
      </c>
      <c r="E478" s="1" t="n">
        <v>46268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45765</v>
      </c>
      <c r="E479" s="1" t="n">
        <v>46268</v>
      </c>
      <c r="F479" t="inlineStr">
        <is>
          <t>VÄRMLANDS LÄN</t>
        </is>
      </c>
      <c r="G479" t="inlineStr">
        <is>
          <t>HAGFORS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46268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46268</v>
      </c>
      <c r="F481" t="inlineStr">
        <is>
          <t>VÄRMLANDS LÄN</t>
        </is>
      </c>
      <c r="G481" t="inlineStr">
        <is>
          <t>HAGFORS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45796</v>
      </c>
      <c r="E482" s="1" t="n">
        <v>46268</v>
      </c>
      <c r="F482" t="inlineStr">
        <is>
          <t>VÄRMLANDS LÄN</t>
        </is>
      </c>
      <c r="G482" t="inlineStr">
        <is>
          <t>HAGFORS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45223</v>
      </c>
      <c r="E483" s="1" t="n">
        <v>46268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45450</v>
      </c>
      <c r="E484" s="1" t="n">
        <v>46268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45783</v>
      </c>
      <c r="E485" s="1" t="n">
        <v>46268</v>
      </c>
      <c r="F485" t="inlineStr">
        <is>
          <t>VÄRMLANDS LÄN</t>
        </is>
      </c>
      <c r="G485" t="inlineStr">
        <is>
          <t>HAGFORS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56165-2024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45624</v>
      </c>
      <c r="E486" s="1" t="n">
        <v>46268</v>
      </c>
      <c r="F486" t="inlineStr">
        <is>
          <t>VÄRMLANDS LÄN</t>
        </is>
      </c>
      <c r="G486" t="inlineStr">
        <is>
          <t>HAGFORS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46268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27826-2024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46268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46268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45534</v>
      </c>
      <c r="E490" s="1" t="n">
        <v>46268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36228-2024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45534</v>
      </c>
      <c r="E491" s="1" t="n">
        <v>46268</v>
      </c>
      <c r="F491" t="inlineStr">
        <is>
          <t>VÄRMLANDS LÄN</t>
        </is>
      </c>
      <c r="G491" t="inlineStr">
        <is>
          <t>HAGFORS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45839</v>
      </c>
      <c r="E492" s="1" t="n">
        <v>46268</v>
      </c>
      <c r="F492" t="inlineStr">
        <is>
          <t>VÄRMLANDS LÄN</t>
        </is>
      </c>
      <c r="G492" t="inlineStr">
        <is>
          <t>HAGFORS</t>
        </is>
      </c>
      <c r="H492" t="inlineStr">
        <is>
          <t>Kyrkan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44582</v>
      </c>
      <c r="E493" s="1" t="n">
        <v>46268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45434</v>
      </c>
      <c r="E494" s="1" t="n">
        <v>46268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45873</v>
      </c>
      <c r="E495" s="1" t="n">
        <v>46268</v>
      </c>
      <c r="F495" t="inlineStr">
        <is>
          <t>VÄRMLANDS LÄN</t>
        </is>
      </c>
      <c r="G495" t="inlineStr">
        <is>
          <t>HAGFORS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45725</v>
      </c>
      <c r="E496" s="1" t="n">
        <v>46268</v>
      </c>
      <c r="F496" t="inlineStr">
        <is>
          <t>VÄRMLANDS LÄN</t>
        </is>
      </c>
      <c r="G496" t="inlineStr">
        <is>
          <t>HAGFORS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15270-2024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45400</v>
      </c>
      <c r="E497" s="1" t="n">
        <v>46268</v>
      </c>
      <c r="F497" t="inlineStr">
        <is>
          <t>VÄRMLANDS LÄN</t>
        </is>
      </c>
      <c r="G497" t="inlineStr">
        <is>
          <t>HAGFORS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45469</v>
      </c>
      <c r="E498" s="1" t="n">
        <v>46268</v>
      </c>
      <c r="F498" t="inlineStr">
        <is>
          <t>VÄRMLANDS LÄN</t>
        </is>
      </c>
      <c r="G498" t="inlineStr">
        <is>
          <t>HAGFORS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46268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45846</v>
      </c>
      <c r="E500" s="1" t="n">
        <v>46268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44567</v>
      </c>
      <c r="E501" s="1" t="n">
        <v>46268</v>
      </c>
      <c r="F501" t="inlineStr">
        <is>
          <t>VÄRMLANDS LÄN</t>
        </is>
      </c>
      <c r="G501" t="inlineStr">
        <is>
          <t>HAGFORS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46268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45847</v>
      </c>
      <c r="E503" s="1" t="n">
        <v>46268</v>
      </c>
      <c r="F503" t="inlineStr">
        <is>
          <t>VÄRMLANDS LÄN</t>
        </is>
      </c>
      <c r="G503" t="inlineStr">
        <is>
          <t>HAGFORS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46268</v>
      </c>
      <c r="F504" t="inlineStr">
        <is>
          <t>VÄRMLANDS LÄN</t>
        </is>
      </c>
      <c r="G504" t="inlineStr">
        <is>
          <t>HAGFORS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68252-2021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44526</v>
      </c>
      <c r="E505" s="1" t="n">
        <v>46268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46268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45769</v>
      </c>
      <c r="E507" s="1" t="n">
        <v>46268</v>
      </c>
      <c r="F507" t="inlineStr">
        <is>
          <t>VÄRMLANDS LÄN</t>
        </is>
      </c>
      <c r="G507" t="inlineStr">
        <is>
          <t>HAGFORS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46268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46268</v>
      </c>
      <c r="F509" t="inlineStr">
        <is>
          <t>VÄRMLANDS LÄN</t>
        </is>
      </c>
      <c r="G509" t="inlineStr">
        <is>
          <t>HAGFORS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46268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46268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44915</v>
      </c>
      <c r="E512" s="1" t="n">
        <v>46268</v>
      </c>
      <c r="F512" t="inlineStr">
        <is>
          <t>VÄRMLANDS LÄN</t>
        </is>
      </c>
      <c r="G512" t="inlineStr">
        <is>
          <t>HAGFORS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46268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45833</v>
      </c>
      <c r="E514" s="1" t="n">
        <v>46268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14464-2025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45741</v>
      </c>
      <c r="E515" s="1" t="n">
        <v>46268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20798-2026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46141</v>
      </c>
      <c r="E516" s="1" t="n">
        <v>46268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20752-2026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46141</v>
      </c>
      <c r="E517" s="1" t="n">
        <v>46268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45684</v>
      </c>
      <c r="E518" s="1" t="n">
        <v>46268</v>
      </c>
      <c r="F518" t="inlineStr">
        <is>
          <t>VÄRMLANDS LÄN</t>
        </is>
      </c>
      <c r="G518" t="inlineStr">
        <is>
          <t>HAGFORS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46268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46268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46268</v>
      </c>
      <c r="F521" t="inlineStr">
        <is>
          <t>VÄRMLANDS LÄN</t>
        </is>
      </c>
      <c r="G521" t="inlineStr">
        <is>
          <t>HAGFORS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54757-2022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44883</v>
      </c>
      <c r="E522" s="1" t="n">
        <v>46268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17.9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20880-2026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46142</v>
      </c>
      <c r="E523" s="1" t="n">
        <v>46268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20870-2026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46268</v>
      </c>
      <c r="F524" t="inlineStr">
        <is>
          <t>VÄRMLANDS LÄN</t>
        </is>
      </c>
      <c r="G524" t="inlineStr">
        <is>
          <t>HAGFORS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20911-2026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46142</v>
      </c>
      <c r="E525" s="1" t="n">
        <v>46268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45575</v>
      </c>
      <c r="E526" s="1" t="n">
        <v>46268</v>
      </c>
      <c r="F526" t="inlineStr">
        <is>
          <t>VÄRMLANDS LÄN</t>
        </is>
      </c>
      <c r="G526" t="inlineStr">
        <is>
          <t>HAGFORS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45155</v>
      </c>
      <c r="E527" s="1" t="n">
        <v>46268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37463-2022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44809</v>
      </c>
      <c r="E528" s="1" t="n">
        <v>46268</v>
      </c>
      <c r="F528" t="inlineStr">
        <is>
          <t>VÄRMLANDS LÄN</t>
        </is>
      </c>
      <c r="G528" t="inlineStr">
        <is>
          <t>HAGFORS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45268</v>
      </c>
      <c r="E529" s="1" t="n">
        <v>46268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20466-2023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45057</v>
      </c>
      <c r="E530" s="1" t="n">
        <v>46268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46268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53813-2024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45615</v>
      </c>
      <c r="E532" s="1" t="n">
        <v>46268</v>
      </c>
      <c r="F532" t="inlineStr">
        <is>
          <t>VÄRMLANDS LÄN</t>
        </is>
      </c>
      <c r="G532" t="inlineStr">
        <is>
          <t>HAGFORS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46268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45470</v>
      </c>
      <c r="E534" s="1" t="n">
        <v>46268</v>
      </c>
      <c r="F534" t="inlineStr">
        <is>
          <t>VÄRMLANDS LÄN</t>
        </is>
      </c>
      <c r="G534" t="inlineStr">
        <is>
          <t>HAGFORS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46268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46268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21762-2026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46150</v>
      </c>
      <c r="E537" s="1" t="n">
        <v>46268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25258-2023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45079</v>
      </c>
      <c r="E538" s="1" t="n">
        <v>46268</v>
      </c>
      <c r="F538" t="inlineStr">
        <is>
          <t>VÄRMLANDS LÄN</t>
        </is>
      </c>
      <c r="G538" t="inlineStr">
        <is>
          <t>HAGFORS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46268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46268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46268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46268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46268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22667-2026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46268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21451-2024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45441</v>
      </c>
      <c r="E545" s="1" t="n">
        <v>46268</v>
      </c>
      <c r="F545" t="inlineStr">
        <is>
          <t>VÄRMLANDS LÄN</t>
        </is>
      </c>
      <c r="G545" t="inlineStr">
        <is>
          <t>HAGFORS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46268</v>
      </c>
      <c r="F546" t="inlineStr">
        <is>
          <t>VÄRMLANDS LÄN</t>
        </is>
      </c>
      <c r="G546" t="inlineStr">
        <is>
          <t>HAGFORS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46268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46268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46268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47516-2023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45203</v>
      </c>
      <c r="E550" s="1" t="n">
        <v>46268</v>
      </c>
      <c r="F550" t="inlineStr">
        <is>
          <t>VÄRMLANDS LÄN</t>
        </is>
      </c>
      <c r="G550" t="inlineStr">
        <is>
          <t>HAGFORS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31657-2024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45506</v>
      </c>
      <c r="E551" s="1" t="n">
        <v>46268</v>
      </c>
      <c r="F551" t="inlineStr">
        <is>
          <t>VÄRMLANDS LÄN</t>
        </is>
      </c>
      <c r="G551" t="inlineStr">
        <is>
          <t>HAGFORS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22911-2026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46160</v>
      </c>
      <c r="E552" s="1" t="n">
        <v>46268</v>
      </c>
      <c r="F552" t="inlineStr">
        <is>
          <t>VÄRMLANDS LÄN</t>
        </is>
      </c>
      <c r="G552" t="inlineStr">
        <is>
          <t>HAGFORS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46268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46268</v>
      </c>
      <c r="F554" t="inlineStr">
        <is>
          <t>VÄRMLANDS LÄN</t>
        </is>
      </c>
      <c r="G554" t="inlineStr">
        <is>
          <t>HAGFORS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46268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8.699999999999999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46160</v>
      </c>
      <c r="E556" s="1" t="n">
        <v>46268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46268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45502</v>
      </c>
      <c r="E558" s="1" t="n">
        <v>46268</v>
      </c>
      <c r="F558" t="inlineStr">
        <is>
          <t>VÄRMLANDS LÄN</t>
        </is>
      </c>
      <c r="G558" t="inlineStr">
        <is>
          <t>HAGFORS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46268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45947</v>
      </c>
      <c r="E560" s="1" t="n">
        <v>46268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8.9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44951</v>
      </c>
      <c r="E561" s="1" t="n">
        <v>46268</v>
      </c>
      <c r="F561" t="inlineStr">
        <is>
          <t>VÄRMLANDS LÄN</t>
        </is>
      </c>
      <c r="G561" t="inlineStr">
        <is>
          <t>HAGFORS</t>
        </is>
      </c>
      <c r="H561" t="inlineStr">
        <is>
          <t>Kommuner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64936-2023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45282</v>
      </c>
      <c r="E562" s="1" t="n">
        <v>46268</v>
      </c>
      <c r="F562" t="inlineStr">
        <is>
          <t>VÄRMLANDS LÄN</t>
        </is>
      </c>
      <c r="G562" t="inlineStr">
        <is>
          <t>HAGFORS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36494-2025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45869</v>
      </c>
      <c r="E563" s="1" t="n">
        <v>46268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23525-2026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46268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46268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3996-2025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45684</v>
      </c>
      <c r="E566" s="1" t="n">
        <v>46268</v>
      </c>
      <c r="F566" t="inlineStr">
        <is>
          <t>VÄRMLANDS LÄN</t>
        </is>
      </c>
      <c r="G566" t="inlineStr">
        <is>
          <t>HAGFORS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45436</v>
      </c>
      <c r="E567" s="1" t="n">
        <v>46268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44949</v>
      </c>
      <c r="E568" s="1" t="n">
        <v>46268</v>
      </c>
      <c r="F568" t="inlineStr">
        <is>
          <t>VÄRMLANDS LÄN</t>
        </is>
      </c>
      <c r="G568" t="inlineStr">
        <is>
          <t>HAGFORS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23728-2026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46164</v>
      </c>
      <c r="E569" s="1" t="n">
        <v>46268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30327-2022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44760</v>
      </c>
      <c r="E570" s="1" t="n">
        <v>46268</v>
      </c>
      <c r="F570" t="inlineStr">
        <is>
          <t>VÄRMLANDS LÄN</t>
        </is>
      </c>
      <c r="G570" t="inlineStr">
        <is>
          <t>HAGFORS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46268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45831</v>
      </c>
      <c r="E572" s="1" t="n">
        <v>46268</v>
      </c>
      <c r="F572" t="inlineStr">
        <is>
          <t>VÄRMLANDS LÄN</t>
        </is>
      </c>
      <c r="G572" t="inlineStr">
        <is>
          <t>HAGFORS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45050</v>
      </c>
      <c r="E573" s="1" t="n">
        <v>46268</v>
      </c>
      <c r="F573" t="inlineStr">
        <is>
          <t>VÄRMLANDS LÄN</t>
        </is>
      </c>
      <c r="G573" t="inlineStr">
        <is>
          <t>HAGFORS</t>
        </is>
      </c>
      <c r="H573" t="inlineStr">
        <is>
          <t>Kommuner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46268</v>
      </c>
      <c r="F574" t="inlineStr">
        <is>
          <t>VÄRMLANDS LÄN</t>
        </is>
      </c>
      <c r="G574" t="inlineStr">
        <is>
          <t>HAGFORS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24238-2026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46268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8.1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46168</v>
      </c>
      <c r="E576" s="1" t="n">
        <v>46268</v>
      </c>
      <c r="F576" t="inlineStr">
        <is>
          <t>VÄRMLANDS LÄN</t>
        </is>
      </c>
      <c r="G576" t="inlineStr">
        <is>
          <t>HAGFORS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44817</v>
      </c>
      <c r="E577" s="1" t="n">
        <v>46268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45681</v>
      </c>
      <c r="E578" s="1" t="n">
        <v>46268</v>
      </c>
      <c r="F578" t="inlineStr">
        <is>
          <t>VÄRMLANDS LÄN</t>
        </is>
      </c>
      <c r="G578" t="inlineStr">
        <is>
          <t>HAGFORS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24625-2026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46171</v>
      </c>
      <c r="E579" s="1" t="n">
        <v>46268</v>
      </c>
      <c r="F579" t="inlineStr">
        <is>
          <t>VÄRMLANDS LÄN</t>
        </is>
      </c>
      <c r="G579" t="inlineStr">
        <is>
          <t>HAGFORS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45400</v>
      </c>
      <c r="E580" s="1" t="n">
        <v>46268</v>
      </c>
      <c r="F580" t="inlineStr">
        <is>
          <t>VÄRMLANDS LÄN</t>
        </is>
      </c>
      <c r="G580" t="inlineStr">
        <is>
          <t>HAGFORS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46268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9.699999999999999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24677-2026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46171</v>
      </c>
      <c r="E582" s="1" t="n">
        <v>46268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24761-2026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46171</v>
      </c>
      <c r="E583" s="1" t="n">
        <v>46268</v>
      </c>
      <c r="F583" t="inlineStr">
        <is>
          <t>VÄRMLANDS LÄN</t>
        </is>
      </c>
      <c r="G583" t="inlineStr">
        <is>
          <t>HAGFORS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24628-2026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46171</v>
      </c>
      <c r="E584" s="1" t="n">
        <v>46268</v>
      </c>
      <c r="F584" t="inlineStr">
        <is>
          <t>VÄRMLANDS LÄN</t>
        </is>
      </c>
      <c r="G584" t="inlineStr">
        <is>
          <t>HAGFORS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46171</v>
      </c>
      <c r="E585" s="1" t="n">
        <v>46268</v>
      </c>
      <c r="F585" t="inlineStr">
        <is>
          <t>VÄRMLANDS LÄN</t>
        </is>
      </c>
      <c r="G585" t="inlineStr">
        <is>
          <t>HAGFORS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11744-2024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45373</v>
      </c>
      <c r="E586" s="1" t="n">
        <v>46268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34541-2024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45525</v>
      </c>
      <c r="E587" s="1" t="n">
        <v>46268</v>
      </c>
      <c r="F587" t="inlineStr">
        <is>
          <t>VÄRMLANDS LÄN</t>
        </is>
      </c>
      <c r="G587" t="inlineStr">
        <is>
          <t>HAGFORS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24699-2026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46171</v>
      </c>
      <c r="E588" s="1" t="n">
        <v>46268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24626-2026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46268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46171</v>
      </c>
      <c r="E590" s="1" t="n">
        <v>46268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45110</v>
      </c>
      <c r="E591" s="1" t="n">
        <v>46268</v>
      </c>
      <c r="F591" t="inlineStr">
        <is>
          <t>VÄRMLANDS LÄN</t>
        </is>
      </c>
      <c r="G591" t="inlineStr">
        <is>
          <t>HAGFORS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46268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46268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58808-2022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44903</v>
      </c>
      <c r="E594" s="1" t="n">
        <v>46268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20652-2022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44700</v>
      </c>
      <c r="E595" s="1" t="n">
        <v>46268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46268</v>
      </c>
      <c r="F596" t="inlineStr">
        <is>
          <t>VÄRMLANDS LÄN</t>
        </is>
      </c>
      <c r="G596" t="inlineStr">
        <is>
          <t>HAGFORS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46268</v>
      </c>
      <c r="F597" t="inlineStr">
        <is>
          <t>VÄRMLANDS LÄN</t>
        </is>
      </c>
      <c r="G597" t="inlineStr">
        <is>
          <t>HAGFORS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46268</v>
      </c>
      <c r="F598" t="inlineStr">
        <is>
          <t>VÄRMLANDS LÄN</t>
        </is>
      </c>
      <c r="G598" t="inlineStr">
        <is>
          <t>HAGFORS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45679</v>
      </c>
      <c r="E599" s="1" t="n">
        <v>46268</v>
      </c>
      <c r="F599" t="inlineStr">
        <is>
          <t>VÄRMLANDS LÄN</t>
        </is>
      </c>
      <c r="G599" t="inlineStr">
        <is>
          <t>HAGFORS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46268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46268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46268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46268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14897-2024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45398</v>
      </c>
      <c r="E604" s="1" t="n">
        <v>46268</v>
      </c>
      <c r="F604" t="inlineStr">
        <is>
          <t>VÄRMLANDS LÄN</t>
        </is>
      </c>
      <c r="G604" t="inlineStr">
        <is>
          <t>HAGFORS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46268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46268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26350-2026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46268</v>
      </c>
      <c r="F607" t="inlineStr">
        <is>
          <t>VÄRMLANDS LÄN</t>
        </is>
      </c>
      <c r="G607" t="inlineStr">
        <is>
          <t>HAGFORS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46268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46268</v>
      </c>
      <c r="F609" t="inlineStr">
        <is>
          <t>VÄRMLANDS LÄN</t>
        </is>
      </c>
      <c r="G609" t="inlineStr">
        <is>
          <t>HAGFORS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46268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9.5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56808-2023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45244</v>
      </c>
      <c r="E611" s="1" t="n">
        <v>46268</v>
      </c>
      <c r="F611" t="inlineStr">
        <is>
          <t>VÄRMLANDS LÄN</t>
        </is>
      </c>
      <c r="G611" t="inlineStr">
        <is>
          <t>HAGFORS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44596</v>
      </c>
      <c r="E612" s="1" t="n">
        <v>46268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31690-2026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46226</v>
      </c>
      <c r="E613" s="1" t="n">
        <v>46268</v>
      </c>
      <c r="F613" t="inlineStr">
        <is>
          <t>VÄRMLANDS LÄN</t>
        </is>
      </c>
      <c r="G613" t="inlineStr">
        <is>
          <t>HAGFORS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46226</v>
      </c>
      <c r="E614" s="1" t="n">
        <v>46268</v>
      </c>
      <c r="F614" t="inlineStr">
        <is>
          <t>VÄRMLANDS LÄN</t>
        </is>
      </c>
      <c r="G614" t="inlineStr">
        <is>
          <t>HAGFORS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46225</v>
      </c>
      <c r="E615" s="1" t="n">
        <v>46268</v>
      </c>
      <c r="F615" t="inlineStr">
        <is>
          <t>VÄRMLANDS LÄN</t>
        </is>
      </c>
      <c r="G615" t="inlineStr">
        <is>
          <t>HAGFORS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46268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26612-2026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46184</v>
      </c>
      <c r="E617" s="1" t="n">
        <v>46268</v>
      </c>
      <c r="F617" t="inlineStr">
        <is>
          <t>VÄRMLANDS LÄN</t>
        </is>
      </c>
      <c r="G617" t="inlineStr">
        <is>
          <t>HAGFORS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46268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46268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46268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27306-2026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46268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46268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46268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52378-2021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44465</v>
      </c>
      <c r="E624" s="1" t="n">
        <v>46268</v>
      </c>
      <c r="F624" t="inlineStr">
        <is>
          <t>VÄRMLANDS LÄN</t>
        </is>
      </c>
      <c r="G624" t="inlineStr">
        <is>
          <t>HAGFORS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26846-2026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46268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18.2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46268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20060-2023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45054</v>
      </c>
      <c r="E627" s="1" t="n">
        <v>46268</v>
      </c>
      <c r="F627" t="inlineStr">
        <is>
          <t>VÄRMLANDS LÄN</t>
        </is>
      </c>
      <c r="G627" t="inlineStr">
        <is>
          <t>HAGFORS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49753-2023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46268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46268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46268</v>
      </c>
      <c r="F630" t="inlineStr">
        <is>
          <t>VÄRMLANDS LÄN</t>
        </is>
      </c>
      <c r="G630" t="inlineStr">
        <is>
          <t>HAGFORS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46268</v>
      </c>
      <c r="F631" t="inlineStr">
        <is>
          <t>VÄRMLANDS LÄN</t>
        </is>
      </c>
      <c r="G631" t="inlineStr">
        <is>
          <t>HAGFORS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45244</v>
      </c>
      <c r="E632" s="1" t="n">
        <v>46268</v>
      </c>
      <c r="F632" t="inlineStr">
        <is>
          <t>VÄRMLANDS LÄN</t>
        </is>
      </c>
      <c r="G632" t="inlineStr">
        <is>
          <t>HAGFORS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8304-2022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44610</v>
      </c>
      <c r="E633" s="1" t="n">
        <v>46268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46268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27394-2026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46189</v>
      </c>
      <c r="E635" s="1" t="n">
        <v>46268</v>
      </c>
      <c r="F635" t="inlineStr">
        <is>
          <t>VÄRMLANDS LÄN</t>
        </is>
      </c>
      <c r="G635" t="inlineStr">
        <is>
          <t>HAGFORS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46268</v>
      </c>
      <c r="F636" t="inlineStr">
        <is>
          <t>VÄRMLANDS LÄN</t>
        </is>
      </c>
      <c r="G636" t="inlineStr">
        <is>
          <t>HAGFORS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44950</v>
      </c>
      <c r="E637" s="1" t="n">
        <v>46268</v>
      </c>
      <c r="F637" t="inlineStr">
        <is>
          <t>VÄRMLANDS LÄN</t>
        </is>
      </c>
      <c r="G637" t="inlineStr">
        <is>
          <t>HAGFORS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44950</v>
      </c>
      <c r="E638" s="1" t="n">
        <v>46268</v>
      </c>
      <c r="F638" t="inlineStr">
        <is>
          <t>VÄRMLANDS LÄN</t>
        </is>
      </c>
      <c r="G638" t="inlineStr">
        <is>
          <t>HAGFORS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46191</v>
      </c>
      <c r="E639" s="1" t="n">
        <v>46268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46239</v>
      </c>
      <c r="E640" s="1" t="n">
        <v>46268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32490-2026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46239</v>
      </c>
      <c r="E641" s="1" t="n">
        <v>46268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32507-2026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46239</v>
      </c>
      <c r="E642" s="1" t="n">
        <v>46268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45518</v>
      </c>
      <c r="E643" s="1" t="n">
        <v>46268</v>
      </c>
      <c r="F643" t="inlineStr">
        <is>
          <t>VÄRMLANDS LÄN</t>
        </is>
      </c>
      <c r="G643" t="inlineStr">
        <is>
          <t>HAGFORS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32535-2026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46268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42223-2022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44830</v>
      </c>
      <c r="E645" s="1" t="n">
        <v>46268</v>
      </c>
      <c r="F645" t="inlineStr">
        <is>
          <t>VÄRMLANDS LÄN</t>
        </is>
      </c>
      <c r="G645" t="inlineStr">
        <is>
          <t>HAGFORS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45428</v>
      </c>
      <c r="E646" s="1" t="n">
        <v>46268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46268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9.6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46268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46268</v>
      </c>
      <c r="F649" t="inlineStr">
        <is>
          <t>VÄRMLANDS LÄN</t>
        </is>
      </c>
      <c r="G649" t="inlineStr">
        <is>
          <t>HAGFORS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46268</v>
      </c>
      <c r="F650" t="inlineStr">
        <is>
          <t>VÄRMLANDS LÄN</t>
        </is>
      </c>
      <c r="G650" t="inlineStr">
        <is>
          <t>HAGFORS</t>
        </is>
      </c>
      <c r="H650" t="inlineStr">
        <is>
          <t>Kyrkan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46241</v>
      </c>
      <c r="E651" s="1" t="n">
        <v>46268</v>
      </c>
      <c r="F651" t="inlineStr">
        <is>
          <t>VÄRMLANDS LÄN</t>
        </is>
      </c>
      <c r="G651" t="inlineStr">
        <is>
          <t>HAGFORS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28788-2026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46268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46268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46268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28625-2026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46268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47019-2023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45201</v>
      </c>
      <c r="E656" s="1" t="n">
        <v>46268</v>
      </c>
      <c r="F656" t="inlineStr">
        <is>
          <t>VÄRMLANDS LÄN</t>
        </is>
      </c>
      <c r="G656" t="inlineStr">
        <is>
          <t>HAGFORS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46241</v>
      </c>
      <c r="E657" s="1" t="n">
        <v>46268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29102-2026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46200</v>
      </c>
      <c r="E658" s="1" t="n">
        <v>46268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46200</v>
      </c>
      <c r="E659" s="1" t="n">
        <v>46268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27855-2026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46191</v>
      </c>
      <c r="E660" s="1" t="n">
        <v>46268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60664-2023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45259</v>
      </c>
      <c r="E661" s="1" t="n">
        <v>46268</v>
      </c>
      <c r="F661" t="inlineStr">
        <is>
          <t>VÄRMLANDS LÄN</t>
        </is>
      </c>
      <c r="G661" t="inlineStr">
        <is>
          <t>HAGFORS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35775-2024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45532</v>
      </c>
      <c r="E662" s="1" t="n">
        <v>46268</v>
      </c>
      <c r="F662" t="inlineStr">
        <is>
          <t>VÄRMLANDS LÄN</t>
        </is>
      </c>
      <c r="G662" t="inlineStr">
        <is>
          <t>HAGFORS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50929-2023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45211</v>
      </c>
      <c r="E663" s="1" t="n">
        <v>46268</v>
      </c>
      <c r="F663" t="inlineStr">
        <is>
          <t>VÄRMLANDS LÄN</t>
        </is>
      </c>
      <c r="G663" t="inlineStr">
        <is>
          <t>HAGFORS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57359-2022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44896</v>
      </c>
      <c r="E664" s="1" t="n">
        <v>46268</v>
      </c>
      <c r="F664" t="inlineStr">
        <is>
          <t>VÄRMLANDS LÄN</t>
        </is>
      </c>
      <c r="G664" t="inlineStr">
        <is>
          <t>HAGFORS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41092-2024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45559</v>
      </c>
      <c r="E665" s="1" t="n">
        <v>46268</v>
      </c>
      <c r="F665" t="inlineStr">
        <is>
          <t>VÄRMLANDS LÄN</t>
        </is>
      </c>
      <c r="G665" t="inlineStr">
        <is>
          <t>HAGFORS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46268</v>
      </c>
      <c r="F666" t="inlineStr">
        <is>
          <t>VÄRMLANDS LÄN</t>
        </is>
      </c>
      <c r="G666" t="inlineStr">
        <is>
          <t>HAGFORS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46268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46268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46268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58084-2024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45632</v>
      </c>
      <c r="E670" s="1" t="n">
        <v>46268</v>
      </c>
      <c r="F670" t="inlineStr">
        <is>
          <t>VÄRMLANDS LÄN</t>
        </is>
      </c>
      <c r="G670" t="inlineStr">
        <is>
          <t>HAGFORS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19702-2022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44694</v>
      </c>
      <c r="E671" s="1" t="n">
        <v>46268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24.6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29428-2026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46203</v>
      </c>
      <c r="E672" s="1" t="n">
        <v>46268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46203</v>
      </c>
      <c r="E673" s="1" t="n">
        <v>46268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9.6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29438-2026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46268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46203</v>
      </c>
      <c r="E675" s="1" t="n">
        <v>46268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22503-2024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45447</v>
      </c>
      <c r="E676" s="1" t="n">
        <v>46268</v>
      </c>
      <c r="F676" t="inlineStr">
        <is>
          <t>VÄRMLANDS LÄN</t>
        </is>
      </c>
      <c r="G676" t="inlineStr">
        <is>
          <t>HAGFORS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45324</v>
      </c>
      <c r="E677" s="1" t="n">
        <v>46268</v>
      </c>
      <c r="F677" t="inlineStr">
        <is>
          <t>VÄRMLANDS LÄN</t>
        </is>
      </c>
      <c r="G677" t="inlineStr">
        <is>
          <t>HAGFORS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46268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46248</v>
      </c>
      <c r="E679" s="1" t="n">
        <v>46268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30141-2026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46206</v>
      </c>
      <c r="E680" s="1" t="n">
        <v>46268</v>
      </c>
      <c r="F680" t="inlineStr">
        <is>
          <t>VÄRMLANDS LÄN</t>
        </is>
      </c>
      <c r="G680" t="inlineStr">
        <is>
          <t>HAGFORS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46205</v>
      </c>
      <c r="E681" s="1" t="n">
        <v>46268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46248</v>
      </c>
      <c r="E682" s="1" t="n">
        <v>46268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30167-2026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46268</v>
      </c>
      <c r="F683" t="inlineStr">
        <is>
          <t>VÄRMLANDS LÄN</t>
        </is>
      </c>
      <c r="G683" t="inlineStr">
        <is>
          <t>HAGFORS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46251</v>
      </c>
      <c r="E684" s="1" t="n">
        <v>46268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30153-2026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46268</v>
      </c>
      <c r="F685" t="inlineStr">
        <is>
          <t>VÄRMLANDS LÄN</t>
        </is>
      </c>
      <c r="G685" t="inlineStr">
        <is>
          <t>HAGFORS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44571</v>
      </c>
      <c r="E686" s="1" t="n">
        <v>46268</v>
      </c>
      <c r="F686" t="inlineStr">
        <is>
          <t>VÄRMLANDS LÄN</t>
        </is>
      </c>
      <c r="G686" t="inlineStr">
        <is>
          <t>HAGFORS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22332-2024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45446</v>
      </c>
      <c r="E687" s="1" t="n">
        <v>46268</v>
      </c>
      <c r="F687" t="inlineStr">
        <is>
          <t>VÄRMLANDS LÄN</t>
        </is>
      </c>
      <c r="G687" t="inlineStr">
        <is>
          <t>HAGFORS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33515-2026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46248</v>
      </c>
      <c r="E688" s="1" t="n">
        <v>46268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12426-2024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45379</v>
      </c>
      <c r="E689" s="1" t="n">
        <v>46268</v>
      </c>
      <c r="F689" t="inlineStr">
        <is>
          <t>VÄRMLANDS LÄN</t>
        </is>
      </c>
      <c r="G689" t="inlineStr">
        <is>
          <t>HAGFORS</t>
        </is>
      </c>
      <c r="I689" t="n">
        <v>0.1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45713</v>
      </c>
      <c r="E690" s="1" t="n">
        <v>46268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46268</v>
      </c>
      <c r="F691" t="inlineStr">
        <is>
          <t>VÄRMLANDS LÄN</t>
        </is>
      </c>
      <c r="G691" t="inlineStr">
        <is>
          <t>HAGFORS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46268</v>
      </c>
      <c r="F692" t="inlineStr">
        <is>
          <t>VÄRMLANDS LÄN</t>
        </is>
      </c>
      <c r="G692" t="inlineStr">
        <is>
          <t>HAGFORS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34014-2026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46252</v>
      </c>
      <c r="E693" s="1" t="n">
        <v>46268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17882-2025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45758</v>
      </c>
      <c r="E694" s="1" t="n">
        <v>46268</v>
      </c>
      <c r="F694" t="inlineStr">
        <is>
          <t>VÄRMLANDS LÄN</t>
        </is>
      </c>
      <c r="G694" t="inlineStr">
        <is>
          <t>HAGFORS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7332-2025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45703</v>
      </c>
      <c r="E695" s="1" t="n">
        <v>46268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15.9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17329-2024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45414</v>
      </c>
      <c r="E696" s="1" t="n">
        <v>46268</v>
      </c>
      <c r="F696" t="inlineStr">
        <is>
          <t>VÄRMLANDS LÄN</t>
        </is>
      </c>
      <c r="G696" t="inlineStr">
        <is>
          <t>HAGFORS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46268</v>
      </c>
      <c r="F697" t="inlineStr">
        <is>
          <t>VÄRMLANDS LÄN</t>
        </is>
      </c>
      <c r="G697" t="inlineStr">
        <is>
          <t>HAGFORS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3980-2025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45684</v>
      </c>
      <c r="E698" s="1" t="n">
        <v>46268</v>
      </c>
      <c r="F698" t="inlineStr">
        <is>
          <t>VÄRMLANDS LÄN</t>
        </is>
      </c>
      <c r="G698" t="inlineStr">
        <is>
          <t>HAGFORS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52924-2023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45226</v>
      </c>
      <c r="E699" s="1" t="n">
        <v>46268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46268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34399-2026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46254</v>
      </c>
      <c r="E701" s="1" t="n">
        <v>46268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46268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45671</v>
      </c>
      <c r="E703" s="1" t="n">
        <v>46268</v>
      </c>
      <c r="F703" t="inlineStr">
        <is>
          <t>VÄRMLANDS LÄN</t>
        </is>
      </c>
      <c r="G703" t="inlineStr">
        <is>
          <t>HAGFORS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46254</v>
      </c>
      <c r="E704" s="1" t="n">
        <v>46268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46268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48276-2024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45590</v>
      </c>
      <c r="E706" s="1" t="n">
        <v>46268</v>
      </c>
      <c r="F706" t="inlineStr">
        <is>
          <t>VÄRMLANDS LÄN</t>
        </is>
      </c>
      <c r="G706" t="inlineStr">
        <is>
          <t>HAGFORS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46211</v>
      </c>
      <c r="E707" s="1" t="n">
        <v>46268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54751-2022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44883</v>
      </c>
      <c r="E708" s="1" t="n">
        <v>46268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32149-2023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45107</v>
      </c>
      <c r="E709" s="1" t="n">
        <v>46268</v>
      </c>
      <c r="F709" t="inlineStr">
        <is>
          <t>VÄRMLANDS LÄN</t>
        </is>
      </c>
      <c r="G709" t="inlineStr">
        <is>
          <t>HAGFORS</t>
        </is>
      </c>
      <c r="I709" t="n">
        <v>9.1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34456-2026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46254</v>
      </c>
      <c r="E710" s="1" t="n">
        <v>46268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52494-2024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45609</v>
      </c>
      <c r="E711" s="1" t="n">
        <v>46268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5338-2025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45692</v>
      </c>
      <c r="E712" s="1" t="n">
        <v>46268</v>
      </c>
      <c r="F712" t="inlineStr">
        <is>
          <t>VÄRMLANDS LÄN</t>
        </is>
      </c>
      <c r="G712" t="inlineStr">
        <is>
          <t>HAGFORS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46213</v>
      </c>
      <c r="E713" s="1" t="n">
        <v>46268</v>
      </c>
      <c r="F713" t="inlineStr">
        <is>
          <t>VÄRMLANDS LÄN</t>
        </is>
      </c>
      <c r="G713" t="inlineStr">
        <is>
          <t>HAGFORS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45366</v>
      </c>
      <c r="E714" s="1" t="n">
        <v>46268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46268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60167-2023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45258</v>
      </c>
      <c r="E716" s="1" t="n">
        <v>46268</v>
      </c>
      <c r="F716" t="inlineStr">
        <is>
          <t>VÄRMLANDS LÄN</t>
        </is>
      </c>
      <c r="G716" t="inlineStr">
        <is>
          <t>HAGFORS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60178-2023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45258</v>
      </c>
      <c r="E717" s="1" t="n">
        <v>46268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45328</v>
      </c>
      <c r="E718" s="1" t="n">
        <v>46268</v>
      </c>
      <c r="F718" t="inlineStr">
        <is>
          <t>VÄRMLANDS LÄN</t>
        </is>
      </c>
      <c r="G718" t="inlineStr">
        <is>
          <t>HAGFORS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16525-2023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45029</v>
      </c>
      <c r="E719" s="1" t="n">
        <v>46268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41603-2023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45175</v>
      </c>
      <c r="E720" s="1" t="n">
        <v>46268</v>
      </c>
      <c r="F720" t="inlineStr">
        <is>
          <t>VÄRMLANDS LÄN</t>
        </is>
      </c>
      <c r="G720" t="inlineStr">
        <is>
          <t>HAGFORS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34797-2026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46268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46260</v>
      </c>
      <c r="E722" s="1" t="n">
        <v>46268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46268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11367-2025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45726</v>
      </c>
      <c r="E724" s="1" t="n">
        <v>46268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56895-2023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45244</v>
      </c>
      <c r="E725" s="1" t="n">
        <v>46268</v>
      </c>
      <c r="F725" t="inlineStr">
        <is>
          <t>VÄRMLANDS LÄN</t>
        </is>
      </c>
      <c r="G725" t="inlineStr">
        <is>
          <t>HAGFORS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46268</v>
      </c>
      <c r="F726" t="inlineStr">
        <is>
          <t>VÄRMLANDS LÄN</t>
        </is>
      </c>
      <c r="G726" t="inlineStr">
        <is>
          <t>HAGFORS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46268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42150-2024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45562</v>
      </c>
      <c r="E728" s="1" t="n">
        <v>46268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46268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40835-2023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45172</v>
      </c>
      <c r="E730" s="1" t="n">
        <v>46268</v>
      </c>
      <c r="F730" t="inlineStr">
        <is>
          <t>VÄRMLANDS LÄN</t>
        </is>
      </c>
      <c r="G730" t="inlineStr">
        <is>
          <t>HAGFORS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35173-2026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46260</v>
      </c>
      <c r="E731" s="1" t="n">
        <v>46268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18.2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47028-2023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45201</v>
      </c>
      <c r="E732" s="1" t="n">
        <v>46268</v>
      </c>
      <c r="F732" t="inlineStr">
        <is>
          <t>VÄRMLANDS LÄN</t>
        </is>
      </c>
      <c r="G732" t="inlineStr">
        <is>
          <t>HAGFORS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30520-2024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45492</v>
      </c>
      <c r="E733" s="1" t="n">
        <v>46268</v>
      </c>
      <c r="F733" t="inlineStr">
        <is>
          <t>VÄRMLANDS LÄN</t>
        </is>
      </c>
      <c r="G733" t="inlineStr">
        <is>
          <t>HAGFORS</t>
        </is>
      </c>
      <c r="H733" t="inlineStr">
        <is>
          <t>Kyrkan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33399-2024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45519</v>
      </c>
      <c r="E734" s="1" t="n">
        <v>46268</v>
      </c>
      <c r="F734" t="inlineStr">
        <is>
          <t>VÄRMLANDS LÄN</t>
        </is>
      </c>
      <c r="G734" t="inlineStr">
        <is>
          <t>HAGFORS</t>
        </is>
      </c>
      <c r="I734" t="n">
        <v>8.4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10236-2022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44622</v>
      </c>
      <c r="E735" s="1" t="n">
        <v>46268</v>
      </c>
      <c r="F735" t="inlineStr">
        <is>
          <t>VÄRMLANDS LÄN</t>
        </is>
      </c>
      <c r="G735" t="inlineStr">
        <is>
          <t>HAGFORS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35781-2026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46265</v>
      </c>
      <c r="E736" s="1" t="n">
        <v>46268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46792-2022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44851</v>
      </c>
      <c r="E737" s="1" t="n">
        <v>46268</v>
      </c>
      <c r="F737" t="inlineStr">
        <is>
          <t>VÄRMLANDS LÄN</t>
        </is>
      </c>
      <c r="G737" t="inlineStr">
        <is>
          <t>HAGFORS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32033-2024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45510</v>
      </c>
      <c r="E738" s="1" t="n">
        <v>46268</v>
      </c>
      <c r="F738" t="inlineStr">
        <is>
          <t>VÄRMLANDS LÄN</t>
        </is>
      </c>
      <c r="G738" t="inlineStr">
        <is>
          <t>HAGFORS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54744-2024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45618</v>
      </c>
      <c r="E739" s="1" t="n">
        <v>46268</v>
      </c>
      <c r="F739" t="inlineStr">
        <is>
          <t>VÄRMLANDS LÄN</t>
        </is>
      </c>
      <c r="G739" t="inlineStr">
        <is>
          <t>HAGFORS</t>
        </is>
      </c>
      <c r="H739" t="inlineStr">
        <is>
          <t>Kyrkan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35749-2026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46265</v>
      </c>
      <c r="E740" s="1" t="n">
        <v>46268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46262</v>
      </c>
      <c r="E741" s="1" t="n">
        <v>46268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36110-2026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46267</v>
      </c>
      <c r="E742" s="1" t="n">
        <v>46268</v>
      </c>
      <c r="F742" t="inlineStr">
        <is>
          <t>VÄRMLANDS LÄN</t>
        </is>
      </c>
      <c r="G742" t="inlineStr">
        <is>
          <t>HAGFORS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39640-2022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44817</v>
      </c>
      <c r="E743" s="1" t="n">
        <v>46268</v>
      </c>
      <c r="F743" t="inlineStr">
        <is>
          <t>VÄRMLANDS LÄN</t>
        </is>
      </c>
      <c r="G743" t="inlineStr">
        <is>
          <t>HAGFORS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1931-2024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45308</v>
      </c>
      <c r="E744" s="1" t="n">
        <v>46268</v>
      </c>
      <c r="F744" t="inlineStr">
        <is>
          <t>VÄRMLANDS LÄN</t>
        </is>
      </c>
      <c r="G744" t="inlineStr">
        <is>
          <t>HAGFORS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57159-2024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45629</v>
      </c>
      <c r="E745" s="1" t="n">
        <v>46268</v>
      </c>
      <c r="F745" t="inlineStr">
        <is>
          <t>VÄRMLANDS LÄN</t>
        </is>
      </c>
      <c r="G745" t="inlineStr">
        <is>
          <t>HAGFORS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46268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9.699999999999999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34404-2023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45132</v>
      </c>
      <c r="E747" s="1" t="n">
        <v>46268</v>
      </c>
      <c r="F747" t="inlineStr">
        <is>
          <t>VÄRMLANDS LÄN</t>
        </is>
      </c>
      <c r="G747" t="inlineStr">
        <is>
          <t>HAGFORS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11160-2025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45723</v>
      </c>
      <c r="E748" s="1" t="n">
        <v>46268</v>
      </c>
      <c r="F748" t="inlineStr">
        <is>
          <t>VÄRMLANDS LÄN</t>
        </is>
      </c>
      <c r="G748" t="inlineStr">
        <is>
          <t>HAGFORS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43998-2024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46268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45386</v>
      </c>
      <c r="E750" s="1" t="n">
        <v>46268</v>
      </c>
      <c r="F750" t="inlineStr">
        <is>
          <t>VÄRMLANDS LÄN</t>
        </is>
      </c>
      <c r="G750" t="inlineStr">
        <is>
          <t>HAGFORS</t>
        </is>
      </c>
      <c r="H750" t="inlineStr">
        <is>
          <t>Kommuner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44728-2023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45190</v>
      </c>
      <c r="E751" s="1" t="n">
        <v>46268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45562</v>
      </c>
      <c r="E752" s="1" t="n">
        <v>46268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45562</v>
      </c>
      <c r="E753" s="1" t="n">
        <v>46268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42171-2024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46268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42243-2024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45562</v>
      </c>
      <c r="E755" s="1" t="n">
        <v>46268</v>
      </c>
      <c r="F755" t="inlineStr">
        <is>
          <t>VÄRMLANDS LÄN</t>
        </is>
      </c>
      <c r="G755" t="inlineStr">
        <is>
          <t>HAGFORS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6980-2022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44603</v>
      </c>
      <c r="E756" s="1" t="n">
        <v>46268</v>
      </c>
      <c r="F756" t="inlineStr">
        <is>
          <t>VÄRMLANDS LÄN</t>
        </is>
      </c>
      <c r="G756" t="inlineStr">
        <is>
          <t>HAGFORS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46268</v>
      </c>
      <c r="F757" t="inlineStr">
        <is>
          <t>VÄRMLANDS LÄN</t>
        </is>
      </c>
      <c r="G757" t="inlineStr">
        <is>
          <t>HAGFORS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61311-2023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45264</v>
      </c>
      <c r="E758" s="1" t="n">
        <v>46268</v>
      </c>
      <c r="F758" t="inlineStr">
        <is>
          <t>VÄRMLANDS LÄN</t>
        </is>
      </c>
      <c r="G758" t="inlineStr">
        <is>
          <t>HAGFORS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45264</v>
      </c>
      <c r="E759" s="1" t="n">
        <v>46268</v>
      </c>
      <c r="F759" t="inlineStr">
        <is>
          <t>VÄRMLANDS LÄN</t>
        </is>
      </c>
      <c r="G759" t="inlineStr">
        <is>
          <t>HAGFORS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18907-2025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45764</v>
      </c>
      <c r="E760" s="1" t="n">
        <v>46268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17305-2023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45035</v>
      </c>
      <c r="E761" s="1" t="n">
        <v>46268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31178-2022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44770</v>
      </c>
      <c r="E762" s="1" t="n">
        <v>46268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45638</v>
      </c>
      <c r="E763" s="1" t="n">
        <v>46268</v>
      </c>
      <c r="F763" t="inlineStr">
        <is>
          <t>VÄRMLANDS LÄN</t>
        </is>
      </c>
      <c r="G763" t="inlineStr">
        <is>
          <t>HAGFORS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45777</v>
      </c>
      <c r="E764" s="1" t="n">
        <v>46268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45783</v>
      </c>
      <c r="E765" s="1" t="n">
        <v>46268</v>
      </c>
      <c r="F765" t="inlineStr">
        <is>
          <t>VÄRMLANDS LÄN</t>
        </is>
      </c>
      <c r="G765" t="inlineStr">
        <is>
          <t>HAGFORS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24680-2024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45460</v>
      </c>
      <c r="E766" s="1" t="n">
        <v>46268</v>
      </c>
      <c r="F766" t="inlineStr">
        <is>
          <t>VÄRMLANDS LÄN</t>
        </is>
      </c>
      <c r="G766" t="inlineStr">
        <is>
          <t>HAGFORS</t>
        </is>
      </c>
      <c r="I766" t="n">
        <v>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44683</v>
      </c>
      <c r="E767" s="1" t="n">
        <v>46268</v>
      </c>
      <c r="F767" t="inlineStr">
        <is>
          <t>VÄRMLANDS LÄN</t>
        </is>
      </c>
      <c r="G767" t="inlineStr">
        <is>
          <t>HAGFORS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47425-2024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45587</v>
      </c>
      <c r="E768" s="1" t="n">
        <v>46268</v>
      </c>
      <c r="F768" t="inlineStr">
        <is>
          <t>VÄRMLANDS LÄN</t>
        </is>
      </c>
      <c r="G768" t="inlineStr">
        <is>
          <t>HAGFORS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40332-2023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45169</v>
      </c>
      <c r="E769" s="1" t="n">
        <v>46268</v>
      </c>
      <c r="F769" t="inlineStr">
        <is>
          <t>VÄRMLANDS LÄN</t>
        </is>
      </c>
      <c r="G769" t="inlineStr">
        <is>
          <t>HAGFORS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22799-2025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46268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46268</v>
      </c>
      <c r="F771" t="inlineStr">
        <is>
          <t>VÄRMLANDS LÄN</t>
        </is>
      </c>
      <c r="G771" t="inlineStr">
        <is>
          <t>HAGFORS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45791</v>
      </c>
      <c r="E772" s="1" t="n">
        <v>46268</v>
      </c>
      <c r="F772" t="inlineStr">
        <is>
          <t>VÄRMLANDS LÄN</t>
        </is>
      </c>
      <c r="G772" t="inlineStr">
        <is>
          <t>HAGFORS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46268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46268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46268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46268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46268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46268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46268</v>
      </c>
      <c r="F779" t="inlineStr">
        <is>
          <t>VÄRMLANDS LÄN</t>
        </is>
      </c>
      <c r="G779" t="inlineStr">
        <is>
          <t>HAGFORS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45793</v>
      </c>
      <c r="E780" s="1" t="n">
        <v>46268</v>
      </c>
      <c r="F780" t="inlineStr">
        <is>
          <t>VÄRMLANDS LÄN</t>
        </is>
      </c>
      <c r="G780" t="inlineStr">
        <is>
          <t>HAGFORS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54008-2024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46268</v>
      </c>
      <c r="F781" t="inlineStr">
        <is>
          <t>VÄRMLANDS LÄN</t>
        </is>
      </c>
      <c r="G781" t="inlineStr">
        <is>
          <t>HAGFORS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46268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46268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24434-2025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46268</v>
      </c>
      <c r="F784" t="inlineStr">
        <is>
          <t>VÄRMLANDS LÄN</t>
        </is>
      </c>
      <c r="G784" t="inlineStr">
        <is>
          <t>HAGFORS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46268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46268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46268</v>
      </c>
      <c r="F787" t="inlineStr">
        <is>
          <t>VÄRMLANDS LÄN</t>
        </is>
      </c>
      <c r="G787" t="inlineStr">
        <is>
          <t>HAGFORS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46268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46268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4419-2023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46268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4420-2023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46268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937-2022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59.4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4426-2023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46268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5512-2022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44834</v>
      </c>
      <c r="E794" s="1" t="n">
        <v>46268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931-2022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46268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46268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46268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46268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46268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46268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46268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46268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46268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4145-2023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45247</v>
      </c>
      <c r="E806" s="1" t="n">
        <v>46268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46268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89-2025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45316</v>
      </c>
      <c r="E808" s="1" t="n">
        <v>46268</v>
      </c>
      <c r="F808" t="inlineStr">
        <is>
          <t>VÄRMLANDS LÄN</t>
        </is>
      </c>
      <c r="G808" t="inlineStr">
        <is>
          <t>HAGFORS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6969-2022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46268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220-2025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45680</v>
      </c>
      <c r="E810" s="1" t="n">
        <v>46268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46268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46268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46268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46268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914-2022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46268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46268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46268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46268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46268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46268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46268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46268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46268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46268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46268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46268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46268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2026-09-03T02:05:54Z</dcterms:created>
  <dcterms:modified xmlns:dcterms="http://purl.org/dc/terms/" xmlns:xsi="http://www.w3.org/2001/XMLSchema-instance" xsi:type="dcterms:W3CDTF">2026-09-03T02:05:55Z</dcterms:modified>
</cp:coreProperties>
</file>