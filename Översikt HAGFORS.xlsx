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46284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46284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46284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46284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46284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46284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46284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46284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46284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46284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46284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46284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46284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46284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46284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46284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46284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46284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46284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46284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46284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46284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46284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46284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46284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46284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46284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46284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46284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46284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46284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37152-2023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46284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Hökuggla</t>
        </is>
      </c>
      <c r="W33">
        <f>HYPERLINK("https://klasma.github.io/Logging_1783/artfynd/A 37152-2023 artfynd.xlsx", "A 37152-2023")</f>
        <v/>
      </c>
      <c r="X33">
        <f>HYPERLINK("https://klasma.github.io/Logging_1783/kartor/A 37152-2023 karta.png", "A 37152-2023")</f>
        <v/>
      </c>
      <c r="Y33">
        <f>HYPERLINK("https://klasma.github.io/Logging_1783/kartor_geotiff/A 37152-2023 georefererad karta.tif", "A 37152-2023")</f>
        <v/>
      </c>
      <c r="AA33">
        <f>HYPERLINK("https://klasma.github.io/Logging_1783/klagomål/A 37152-2023 FSC-klagomål.docx", "A 37152-2023")</f>
        <v/>
      </c>
      <c r="AB33">
        <f>HYPERLINK("https://klasma.github.io/Logging_1783/klagomålsmail/A 37152-2023 FSC-klagomål mail.docx", "A 37152-2023")</f>
        <v/>
      </c>
      <c r="AC33">
        <f>HYPERLINK("https://klasma.github.io/Logging_1783/tillsyn/A 37152-2023 tillsynsbegäran.docx", "A 37152-2023")</f>
        <v/>
      </c>
      <c r="AD33">
        <f>HYPERLINK("https://klasma.github.io/Logging_1783/tillsynsmail/A 37152-2023 tillsynsbegäran mail.docx", "A 37152-2023")</f>
        <v/>
      </c>
      <c r="AE33">
        <f>HYPERLINK("https://klasma.github.io/Logging_1783/fåglar/A 37152-2023 prioriterade fågelarter.docx", "A 37152-2023")</f>
        <v/>
      </c>
    </row>
    <row r="34" ht="15" customHeight="1">
      <c r="A34" t="inlineStr">
        <is>
          <t>A 21309-2023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46284</v>
      </c>
      <c r="F34" t="inlineStr">
        <is>
          <t>VÄRMLANDS LÄN</t>
        </is>
      </c>
      <c r="G34" t="inlineStr">
        <is>
          <t>HAGFORS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Kattfot</t>
        </is>
      </c>
      <c r="W34">
        <f>HYPERLINK("https://klasma.github.io/Logging_1783/artfynd/A 21309-2023 artfynd.xlsx", "A 21309-2023")</f>
        <v/>
      </c>
      <c r="X34">
        <f>HYPERLINK("https://klasma.github.io/Logging_1783/kartor/A 21309-2023 karta.png", "A 21309-2023")</f>
        <v/>
      </c>
      <c r="Y34">
        <f>HYPERLINK("https://klasma.github.io/Logging_1783/kartor_geotiff/A 21309-2023 georefererad karta.tif", "A 21309-2023")</f>
        <v/>
      </c>
      <c r="AA34">
        <f>HYPERLINK("https://klasma.github.io/Logging_1783/klagomål/A 21309-2023 FSC-klagomål.docx", "A 21309-2023")</f>
        <v/>
      </c>
      <c r="AB34">
        <f>HYPERLINK("https://klasma.github.io/Logging_1783/klagomålsmail/A 21309-2023 FSC-klagomål mail.docx", "A 21309-2023")</f>
        <v/>
      </c>
      <c r="AC34">
        <f>HYPERLINK("https://klasma.github.io/Logging_1783/tillsyn/A 21309-2023 tillsynsbegäran.docx", "A 21309-2023")</f>
        <v/>
      </c>
      <c r="AD34">
        <f>HYPERLINK("https://klasma.github.io/Logging_1783/tillsynsmail/A 21309-2023 tillsynsbegäran mail.docx", "A 21309-2023")</f>
        <v/>
      </c>
    </row>
    <row r="35" ht="15" customHeight="1">
      <c r="A35" t="inlineStr">
        <is>
          <t>A 51194-2022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46284</v>
      </c>
      <c r="F35" t="inlineStr">
        <is>
          <t>VÄRMLANDS LÄN</t>
        </is>
      </c>
      <c r="G35" t="inlineStr">
        <is>
          <t>HAGFORS</t>
        </is>
      </c>
      <c r="I35" t="n">
        <v>1.6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HYPERLINK("https://klasma.github.io/Logging_1783/artfynd/A 51194-2022 artfynd.xlsx", "A 51194-2022")</f>
        <v/>
      </c>
      <c r="X35">
        <f>HYPERLINK("https://klasma.github.io/Logging_1783/kartor/A 51194-2022 karta.png", "A 51194-2022")</f>
        <v/>
      </c>
      <c r="Y35">
        <f>HYPERLINK("https://klasma.github.io/Logging_1783/kartor_geotiff/A 51194-2022 georefererad karta.tif", "A 51194-2022")</f>
        <v/>
      </c>
      <c r="AA35">
        <f>HYPERLINK("https://klasma.github.io/Logging_1783/klagomål/A 51194-2022 FSC-klagomål.docx", "A 51194-2022")</f>
        <v/>
      </c>
      <c r="AB35">
        <f>HYPERLINK("https://klasma.github.io/Logging_1783/klagomålsmail/A 51194-2022 FSC-klagomål mail.docx", "A 51194-2022")</f>
        <v/>
      </c>
      <c r="AC35">
        <f>HYPERLINK("https://klasma.github.io/Logging_1783/tillsyn/A 51194-2022 tillsynsbegäran.docx", "A 51194-2022")</f>
        <v/>
      </c>
      <c r="AD35">
        <f>HYPERLINK("https://klasma.github.io/Logging_1783/tillsynsmail/A 51194-2022 tillsynsbegäran mail.docx", "A 51194-2022")</f>
        <v/>
      </c>
    </row>
    <row r="36" ht="15" customHeight="1">
      <c r="A36" t="inlineStr">
        <is>
          <t>A 44095-2023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46284</v>
      </c>
      <c r="F36" t="inlineStr">
        <is>
          <t>VÄRMLANDS LÄN</t>
        </is>
      </c>
      <c r="G36" t="inlineStr">
        <is>
          <t>HAGFORS</t>
        </is>
      </c>
      <c r="I36" t="n">
        <v>3.6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44095-2023 artfynd.xlsx", "A 44095-2023")</f>
        <v/>
      </c>
      <c r="X36">
        <f>HYPERLINK("https://klasma.github.io/Logging_1783/kartor/A 44095-2023 karta.png", "A 44095-2023")</f>
        <v/>
      </c>
      <c r="Y36">
        <f>HYPERLINK("https://klasma.github.io/Logging_1783/kartor_geotiff/A 44095-2023 georefererad karta.tif", "A 44095-2023")</f>
        <v/>
      </c>
      <c r="AA36">
        <f>HYPERLINK("https://klasma.github.io/Logging_1783/klagomål/A 44095-2023 FSC-klagomål.docx", "A 44095-2023")</f>
        <v/>
      </c>
      <c r="AB36">
        <f>HYPERLINK("https://klasma.github.io/Logging_1783/klagomålsmail/A 44095-2023 FSC-klagomål mail.docx", "A 44095-2023")</f>
        <v/>
      </c>
      <c r="AC36">
        <f>HYPERLINK("https://klasma.github.io/Logging_1783/tillsyn/A 44095-2023 tillsynsbegäran.docx", "A 44095-2023")</f>
        <v/>
      </c>
      <c r="AD36">
        <f>HYPERLINK("https://klasma.github.io/Logging_1783/tillsynsmail/A 44095-2023 tillsynsbegäran mail.docx", "A 44095-2023")</f>
        <v/>
      </c>
    </row>
    <row r="37" ht="15" customHeight="1">
      <c r="A37" t="inlineStr">
        <is>
          <t>A 34158-2025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45845</v>
      </c>
      <c r="E37" s="1" t="n">
        <v>46284</v>
      </c>
      <c r="F37" t="inlineStr">
        <is>
          <t>VÄRMLANDS LÄN</t>
        </is>
      </c>
      <c r="G37" t="inlineStr">
        <is>
          <t>HAGFORS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Korallblylav</t>
        </is>
      </c>
      <c r="W37">
        <f>HYPERLINK("https://klasma.github.io/Logging_1783/artfynd/A 34158-2025 artfynd.xlsx", "A 34158-2025")</f>
        <v/>
      </c>
      <c r="X37">
        <f>HYPERLINK("https://klasma.github.io/Logging_1783/kartor/A 34158-2025 karta.png", "A 34158-2025")</f>
        <v/>
      </c>
      <c r="Y37">
        <f>HYPERLINK("https://klasma.github.io/Logging_1783/kartor_geotiff/A 34158-2025 georefererad karta.tif", "A 34158-2025")</f>
        <v/>
      </c>
      <c r="AA37">
        <f>HYPERLINK("https://klasma.github.io/Logging_1783/klagomål/A 34158-2025 FSC-klagomål.docx", "A 34158-2025")</f>
        <v/>
      </c>
      <c r="AB37">
        <f>HYPERLINK("https://klasma.github.io/Logging_1783/klagomålsmail/A 34158-2025 FSC-klagomål mail.docx", "A 34158-2025")</f>
        <v/>
      </c>
      <c r="AC37">
        <f>HYPERLINK("https://klasma.github.io/Logging_1783/tillsyn/A 34158-2025 tillsynsbegäran.docx", "A 34158-2025")</f>
        <v/>
      </c>
      <c r="AD37">
        <f>HYPERLINK("https://klasma.github.io/Logging_1783/tillsynsmail/A 34158-2025 tillsynsbegäran mail.docx", "A 34158-2025")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46284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16319-2023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45028</v>
      </c>
      <c r="E39" s="1" t="n">
        <v>46284</v>
      </c>
      <c r="F39" t="inlineStr">
        <is>
          <t>VÄRMLANDS LÄN</t>
        </is>
      </c>
      <c r="G39" t="inlineStr">
        <is>
          <t>HAGFORS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HYPERLINK("https://klasma.github.io/Logging_1783/artfynd/A 16319-2023 artfynd.xlsx", "A 16319-2023")</f>
        <v/>
      </c>
      <c r="X39">
        <f>HYPERLINK("https://klasma.github.io/Logging_1783/kartor/A 16319-2023 karta.png", "A 16319-2023")</f>
        <v/>
      </c>
      <c r="Y39">
        <f>HYPERLINK("https://klasma.github.io/Logging_1783/kartor_geotiff/A 16319-2023 georefererad karta.tif", "A 16319-2023")</f>
        <v/>
      </c>
      <c r="AA39">
        <f>HYPERLINK("https://klasma.github.io/Logging_1783/klagomål/A 16319-2023 FSC-klagomål.docx", "A 16319-2023")</f>
        <v/>
      </c>
      <c r="AB39">
        <f>HYPERLINK("https://klasma.github.io/Logging_1783/klagomålsmail/A 16319-2023 FSC-klagomål mail.docx", "A 16319-2023")</f>
        <v/>
      </c>
      <c r="AC39">
        <f>HYPERLINK("https://klasma.github.io/Logging_1783/tillsyn/A 16319-2023 tillsynsbegäran.docx", "A 16319-2023")</f>
        <v/>
      </c>
      <c r="AD39">
        <f>HYPERLINK("https://klasma.github.io/Logging_1783/tillsynsmail/A 16319-2023 tillsynsbegäran mail.docx", "A 16319-2023")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46284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HYPERLINK("https://klasma.github.io/Logging_1783/artfynd/A 50030-2025 artfynd.xlsx", "A 50030-2025")</f>
        <v/>
      </c>
      <c r="X40">
        <f>HYPERLINK("https://klasma.github.io/Logging_1783/kartor/A 50030-2025 karta.png", "A 50030-2025")</f>
        <v/>
      </c>
      <c r="Y40">
        <f>HYPERLINK("https://klasma.github.io/Logging_1783/kartor_geotiff/A 50030-2025 georefererad karta.tif", "A 50030-2025")</f>
        <v/>
      </c>
      <c r="AA40">
        <f>HYPERLINK("https://klasma.github.io/Logging_1783/klagomål/A 50030-2025 FSC-klagomål.docx", "A 50030-2025")</f>
        <v/>
      </c>
      <c r="AB40">
        <f>HYPERLINK("https://klasma.github.io/Logging_1783/klagomålsmail/A 50030-2025 FSC-klagomål mail.docx", "A 50030-2025")</f>
        <v/>
      </c>
      <c r="AC40">
        <f>HYPERLINK("https://klasma.github.io/Logging_1783/tillsyn/A 50030-2025 tillsynsbegäran.docx", "A 50030-2025")</f>
        <v/>
      </c>
      <c r="AD40">
        <f>HYPERLINK("https://klasma.github.io/Logging_1783/tillsynsmail/A 50030-2025 tillsynsbegäran mail.docx", "A 50030-2025")</f>
        <v/>
      </c>
    </row>
    <row r="41" ht="15" customHeight="1">
      <c r="A41" t="inlineStr">
        <is>
          <t>A 55484-2025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46284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HYPERLINK("https://klasma.github.io/Logging_1783/artfynd/A 55484-2025 artfynd.xlsx", "A 55484-2025")</f>
        <v/>
      </c>
      <c r="X41">
        <f>HYPERLINK("https://klasma.github.io/Logging_1783/kartor/A 55484-2025 karta.png", "A 55484-2025")</f>
        <v/>
      </c>
      <c r="Y41">
        <f>HYPERLINK("https://klasma.github.io/Logging_1783/kartor_geotiff/A 55484-2025 georefererad karta.tif", "A 55484-2025")</f>
        <v/>
      </c>
      <c r="AA41">
        <f>HYPERLINK("https://klasma.github.io/Logging_1783/klagomål/A 55484-2025 FSC-klagomål.docx", "A 55484-2025")</f>
        <v/>
      </c>
      <c r="AB41">
        <f>HYPERLINK("https://klasma.github.io/Logging_1783/klagomålsmail/A 55484-2025 FSC-klagomål mail.docx", "A 55484-2025")</f>
        <v/>
      </c>
      <c r="AC41">
        <f>HYPERLINK("https://klasma.github.io/Logging_1783/tillsyn/A 55484-2025 tillsynsbegäran.docx", "A 55484-2025")</f>
        <v/>
      </c>
      <c r="AD41">
        <f>HYPERLINK("https://klasma.github.io/Logging_1783/tillsynsmail/A 55484-2025 tillsynsbegäran mail.docx", "A 55484-2025")</f>
        <v/>
      </c>
    </row>
    <row r="42" ht="15" customHeight="1">
      <c r="A42" t="inlineStr">
        <is>
          <t>A 30524-2022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44762</v>
      </c>
      <c r="E42" s="1" t="n">
        <v>46284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Kolflarnlav</t>
        </is>
      </c>
      <c r="W42">
        <f>HYPERLINK("https://klasma.github.io/Logging_1783/artfynd/A 30524-2022 artfynd.xlsx", "A 30524-2022")</f>
        <v/>
      </c>
      <c r="X42">
        <f>HYPERLINK("https://klasma.github.io/Logging_1783/kartor/A 30524-2022 karta.png", "A 30524-2022")</f>
        <v/>
      </c>
      <c r="Y42">
        <f>HYPERLINK("https://klasma.github.io/Logging_1783/kartor_geotiff/A 30524-2022 georefererad karta.tif", "A 30524-2022")</f>
        <v/>
      </c>
      <c r="AA42">
        <f>HYPERLINK("https://klasma.github.io/Logging_1783/klagomål/A 30524-2022 FSC-klagomål.docx", "A 30524-2022")</f>
        <v/>
      </c>
      <c r="AB42">
        <f>HYPERLINK("https://klasma.github.io/Logging_1783/klagomålsmail/A 30524-2022 FSC-klagomål mail.docx", "A 30524-2022")</f>
        <v/>
      </c>
      <c r="AC42">
        <f>HYPERLINK("https://klasma.github.io/Logging_1783/tillsyn/A 30524-2022 tillsynsbegäran.docx", "A 30524-2022")</f>
        <v/>
      </c>
      <c r="AD42">
        <f>HYPERLINK("https://klasma.github.io/Logging_1783/tillsynsmail/A 30524-2022 tillsynsbegäran mail.docx", "A 30524-2022")</f>
        <v/>
      </c>
    </row>
    <row r="43" ht="15" customHeight="1">
      <c r="A43" t="inlineStr">
        <is>
          <t>A 24659-2026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46284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Garnlav</t>
        </is>
      </c>
      <c r="W43">
        <f>HYPERLINK("https://klasma.github.io/Logging_1783/artfynd/A 24659-2026 artfynd.xlsx", "A 24659-2026")</f>
        <v/>
      </c>
      <c r="X43">
        <f>HYPERLINK("https://klasma.github.io/Logging_1783/kartor/A 24659-2026 karta.png", "A 24659-2026")</f>
        <v/>
      </c>
      <c r="Y43">
        <f>HYPERLINK("https://klasma.github.io/Logging_1783/kartor_geotiff/A 24659-2026 georefererad karta.tif", "A 24659-2026")</f>
        <v/>
      </c>
      <c r="AA43">
        <f>HYPERLINK("https://klasma.github.io/Logging_1783/klagomål/A 24659-2026 FSC-klagomål.docx", "A 24659-2026")</f>
        <v/>
      </c>
      <c r="AB43">
        <f>HYPERLINK("https://klasma.github.io/Logging_1783/klagomålsmail/A 24659-2026 FSC-klagomål mail.docx", "A 24659-2026")</f>
        <v/>
      </c>
      <c r="AC43">
        <f>HYPERLINK("https://klasma.github.io/Logging_1783/tillsyn/A 24659-2026 tillsynsbegäran.docx", "A 24659-2026")</f>
        <v/>
      </c>
      <c r="AD43">
        <f>HYPERLINK("https://klasma.github.io/Logging_1783/tillsynsmail/A 24659-2026 tillsynsbegäran mail.docx", "A 24659-2026")</f>
        <v/>
      </c>
    </row>
    <row r="44" ht="15" customHeight="1">
      <c r="A44" t="inlineStr">
        <is>
          <t>A 62954-2025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46284</v>
      </c>
      <c r="F44" t="inlineStr">
        <is>
          <t>VÄRMLANDS LÄN</t>
        </is>
      </c>
      <c r="G44" t="inlineStr">
        <is>
          <t>HAGFORS</t>
        </is>
      </c>
      <c r="I44" t="n">
        <v>9.1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HYPERLINK("https://klasma.github.io/Logging_1783/artfynd/A 62954-2025 artfynd.xlsx", "A 62954-2025")</f>
        <v/>
      </c>
      <c r="X44">
        <f>HYPERLINK("https://klasma.github.io/Logging_1783/kartor/A 62954-2025 karta.png", "A 62954-2025")</f>
        <v/>
      </c>
      <c r="Y44">
        <f>HYPERLINK("https://klasma.github.io/Logging_1783/kartor_geotiff/A 62954-2025 georefererad karta.tif", "A 62954-2025")</f>
        <v/>
      </c>
      <c r="AA44">
        <f>HYPERLINK("https://klasma.github.io/Logging_1783/klagomål/A 62954-2025 FSC-klagomål.docx", "A 62954-2025")</f>
        <v/>
      </c>
      <c r="AB44">
        <f>HYPERLINK("https://klasma.github.io/Logging_1783/klagomålsmail/A 62954-2025 FSC-klagomål mail.docx", "A 62954-2025")</f>
        <v/>
      </c>
      <c r="AC44">
        <f>HYPERLINK("https://klasma.github.io/Logging_1783/tillsyn/A 62954-2025 tillsynsbegäran.docx", "A 62954-2025")</f>
        <v/>
      </c>
      <c r="AD44">
        <f>HYPERLINK("https://klasma.github.io/Logging_1783/tillsynsmail/A 62954-2025 tillsynsbegäran mail.docx", "A 62954-2025")</f>
        <v/>
      </c>
    </row>
    <row r="45" ht="15" customHeight="1">
      <c r="A45" t="inlineStr">
        <is>
          <t>A 24716-2026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46171</v>
      </c>
      <c r="E45" s="1" t="n">
        <v>46284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82.3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Garnlav</t>
        </is>
      </c>
      <c r="W45">
        <f>HYPERLINK("https://klasma.github.io/Logging_1783/artfynd/A 24716-2026 artfynd.xlsx", "A 24716-2026")</f>
        <v/>
      </c>
      <c r="X45">
        <f>HYPERLINK("https://klasma.github.io/Logging_1783/kartor/A 24716-2026 karta.png", "A 24716-2026")</f>
        <v/>
      </c>
      <c r="Y45">
        <f>HYPERLINK("https://klasma.github.io/Logging_1783/kartor_geotiff/A 24716-2026 georefererad karta.tif", "A 24716-2026")</f>
        <v/>
      </c>
      <c r="AA45">
        <f>HYPERLINK("https://klasma.github.io/Logging_1783/klagomål/A 24716-2026 FSC-klagomål.docx", "A 24716-2026")</f>
        <v/>
      </c>
      <c r="AB45">
        <f>HYPERLINK("https://klasma.github.io/Logging_1783/klagomålsmail/A 24716-2026 FSC-klagomål mail.docx", "A 24716-2026")</f>
        <v/>
      </c>
      <c r="AC45">
        <f>HYPERLINK("https://klasma.github.io/Logging_1783/tillsyn/A 24716-2026 tillsynsbegäran.docx", "A 24716-2026")</f>
        <v/>
      </c>
      <c r="AD45">
        <f>HYPERLINK("https://klasma.github.io/Logging_1783/tillsynsmail/A 24716-2026 tillsynsbegäran mail.docx", "A 24716-2026")</f>
        <v/>
      </c>
    </row>
    <row r="46" ht="15" customHeight="1">
      <c r="A46" t="inlineStr">
        <is>
          <t>A 8254-2026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46284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8254-2026 artfynd.xlsx", "A 8254-2026")</f>
        <v/>
      </c>
      <c r="X46">
        <f>HYPERLINK("https://klasma.github.io/Logging_1783/kartor/A 8254-2026 karta.png", "A 8254-2026")</f>
        <v/>
      </c>
      <c r="Y46">
        <f>HYPERLINK("https://klasma.github.io/Logging_1783/kartor_geotiff/A 8254-2026 georefererad karta.tif", "A 8254-2026")</f>
        <v/>
      </c>
      <c r="AA46">
        <f>HYPERLINK("https://klasma.github.io/Logging_1783/klagomål/A 8254-2026 FSC-klagomål.docx", "A 8254-2026")</f>
        <v/>
      </c>
      <c r="AB46">
        <f>HYPERLINK("https://klasma.github.io/Logging_1783/klagomålsmail/A 8254-2026 FSC-klagomål mail.docx", "A 8254-2026")</f>
        <v/>
      </c>
      <c r="AC46">
        <f>HYPERLINK("https://klasma.github.io/Logging_1783/tillsyn/A 8254-2026 tillsynsbegäran.docx", "A 8254-2026")</f>
        <v/>
      </c>
      <c r="AD46">
        <f>HYPERLINK("https://klasma.github.io/Logging_1783/tillsynsmail/A 8254-2026 tillsynsbegäran mail.docx", "A 8254-2026")</f>
        <v/>
      </c>
    </row>
    <row r="47" ht="15" customHeight="1">
      <c r="A47" t="inlineStr">
        <is>
          <t>A 26189-2026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46284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Sävsparv</t>
        </is>
      </c>
      <c r="W47">
        <f>HYPERLINK("https://klasma.github.io/Logging_1783/artfynd/A 26189-2026 artfynd.xlsx", "A 26189-2026")</f>
        <v/>
      </c>
      <c r="X47">
        <f>HYPERLINK("https://klasma.github.io/Logging_1783/kartor/A 26189-2026 karta.png", "A 26189-2026")</f>
        <v/>
      </c>
      <c r="Y47">
        <f>HYPERLINK("https://klasma.github.io/Logging_1783/kartor_geotiff/A 26189-2026 georefererad karta.tif", "A 26189-2026")</f>
        <v/>
      </c>
      <c r="AA47">
        <f>HYPERLINK("https://klasma.github.io/Logging_1783/klagomål/A 26189-2026 FSC-klagomål.docx", "A 26189-2026")</f>
        <v/>
      </c>
      <c r="AB47">
        <f>HYPERLINK("https://klasma.github.io/Logging_1783/klagomålsmail/A 26189-2026 FSC-klagomål mail.docx", "A 26189-2026")</f>
        <v/>
      </c>
      <c r="AC47">
        <f>HYPERLINK("https://klasma.github.io/Logging_1783/tillsyn/A 26189-2026 tillsynsbegäran.docx", "A 26189-2026")</f>
        <v/>
      </c>
      <c r="AD47">
        <f>HYPERLINK("https://klasma.github.io/Logging_1783/tillsynsmail/A 26189-2026 tillsynsbegäran mail.docx", "A 26189-2026")</f>
        <v/>
      </c>
      <c r="AE47">
        <f>HYPERLINK("https://klasma.github.io/Logging_1783/fåglar/A 26189-2026 prioriterade fågelarter.docx", "A 26189-2026")</f>
        <v/>
      </c>
    </row>
    <row r="48" ht="15" customHeight="1">
      <c r="A48" t="inlineStr">
        <is>
          <t>A 38267-2024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45545</v>
      </c>
      <c r="E48" s="1" t="n">
        <v>46284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HYPERLINK("https://klasma.github.io/Logging_1783/artfynd/A 38267-2024 artfynd.xlsx", "A 38267-2024")</f>
        <v/>
      </c>
      <c r="X48">
        <f>HYPERLINK("https://klasma.github.io/Logging_1783/kartor/A 38267-2024 karta.png", "A 38267-2024")</f>
        <v/>
      </c>
      <c r="Y48">
        <f>HYPERLINK("https://klasma.github.io/Logging_1783/kartor_geotiff/A 38267-2024 georefererad karta.tif", "A 38267-2024")</f>
        <v/>
      </c>
      <c r="AA48">
        <f>HYPERLINK("https://klasma.github.io/Logging_1783/klagomål/A 38267-2024 FSC-klagomål.docx", "A 38267-2024")</f>
        <v/>
      </c>
      <c r="AB48">
        <f>HYPERLINK("https://klasma.github.io/Logging_1783/klagomålsmail/A 38267-2024 FSC-klagomål mail.docx", "A 38267-2024")</f>
        <v/>
      </c>
      <c r="AC48">
        <f>HYPERLINK("https://klasma.github.io/Logging_1783/tillsyn/A 38267-2024 tillsynsbegäran.docx", "A 38267-2024")</f>
        <v/>
      </c>
      <c r="AD48">
        <f>HYPERLINK("https://klasma.github.io/Logging_1783/tillsynsmail/A 38267-2024 tillsynsbegäran mail.docx", "A 38267-2024")</f>
        <v/>
      </c>
    </row>
    <row r="49" ht="15" customHeight="1">
      <c r="A49" t="inlineStr">
        <is>
          <t>A 56083-2022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46284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19.1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HYPERLINK("https://klasma.github.io/Logging_1783/artfynd/A 56083-2022 artfynd.xlsx", "A 56083-2022")</f>
        <v/>
      </c>
      <c r="X49">
        <f>HYPERLINK("https://klasma.github.io/Logging_1783/kartor/A 56083-2022 karta.png", "A 56083-2022")</f>
        <v/>
      </c>
      <c r="Y49">
        <f>HYPERLINK("https://klasma.github.io/Logging_1783/kartor_geotiff/A 56083-2022 georefererad karta.tif", "A 56083-2022")</f>
        <v/>
      </c>
      <c r="AA49">
        <f>HYPERLINK("https://klasma.github.io/Logging_1783/klagomål/A 56083-2022 FSC-klagomål.docx", "A 56083-2022")</f>
        <v/>
      </c>
      <c r="AB49">
        <f>HYPERLINK("https://klasma.github.io/Logging_1783/klagomålsmail/A 56083-2022 FSC-klagomål mail.docx", "A 56083-2022")</f>
        <v/>
      </c>
      <c r="AC49">
        <f>HYPERLINK("https://klasma.github.io/Logging_1783/tillsyn/A 56083-2022 tillsynsbegäran.docx", "A 56083-2022")</f>
        <v/>
      </c>
      <c r="AD49">
        <f>HYPERLINK("https://klasma.github.io/Logging_1783/tillsynsmail/A 56083-2022 tillsynsbegäran mail.docx", "A 56083-2022")</f>
        <v/>
      </c>
    </row>
    <row r="50" ht="15" customHeight="1">
      <c r="A50" t="inlineStr">
        <is>
          <t>A 12445-2026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46090</v>
      </c>
      <c r="E50" s="1" t="n">
        <v>46284</v>
      </c>
      <c r="F50" t="inlineStr">
        <is>
          <t>VÄRMLANDS LÄN</t>
        </is>
      </c>
      <c r="G50" t="inlineStr">
        <is>
          <t>HAGFORS</t>
        </is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HYPERLINK("https://klasma.github.io/Logging_1783/artfynd/A 12445-2026 artfynd.xlsx", "A 12445-2026")</f>
        <v/>
      </c>
      <c r="X50">
        <f>HYPERLINK("https://klasma.github.io/Logging_1783/kartor/A 12445-2026 karta.png", "A 12445-2026")</f>
        <v/>
      </c>
      <c r="Y50">
        <f>HYPERLINK("https://klasma.github.io/Logging_1783/kartor_geotiff/A 12445-2026 georefererad karta.tif", "A 12445-2026")</f>
        <v/>
      </c>
      <c r="AA50">
        <f>HYPERLINK("https://klasma.github.io/Logging_1783/klagomål/A 12445-2026 FSC-klagomål.docx", "A 12445-2026")</f>
        <v/>
      </c>
      <c r="AB50">
        <f>HYPERLINK("https://klasma.github.io/Logging_1783/klagomålsmail/A 12445-2026 FSC-klagomål mail.docx", "A 12445-2026")</f>
        <v/>
      </c>
      <c r="AC50">
        <f>HYPERLINK("https://klasma.github.io/Logging_1783/tillsyn/A 12445-2026 tillsynsbegäran.docx", "A 12445-2026")</f>
        <v/>
      </c>
      <c r="AD50">
        <f>HYPERLINK("https://klasma.github.io/Logging_1783/tillsynsmail/A 12445-2026 tillsynsbegäran mail.docx", "A 12445-2026")</f>
        <v/>
      </c>
      <c r="AE50">
        <f>HYPERLINK("https://klasma.github.io/Logging_1783/fåglar/A 12445-2026 prioriterade fågelarter.docx", "A 12445-2026")</f>
        <v/>
      </c>
    </row>
    <row r="51" ht="15" customHeight="1">
      <c r="A51" t="inlineStr">
        <is>
          <t>A 19362-2026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46133</v>
      </c>
      <c r="E51" s="1" t="n">
        <v>46284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HYPERLINK("https://klasma.github.io/Logging_1783/artfynd/A 19362-2026 artfynd.xlsx", "A 19362-2026")</f>
        <v/>
      </c>
      <c r="X51">
        <f>HYPERLINK("https://klasma.github.io/Logging_1783/kartor/A 19362-2026 karta.png", "A 19362-2026")</f>
        <v/>
      </c>
      <c r="Y51">
        <f>HYPERLINK("https://klasma.github.io/Logging_1783/kartor_geotiff/A 19362-2026 georefererad karta.tif", "A 19362-2026")</f>
        <v/>
      </c>
      <c r="AA51">
        <f>HYPERLINK("https://klasma.github.io/Logging_1783/klagomål/A 19362-2026 FSC-klagomål.docx", "A 19362-2026")</f>
        <v/>
      </c>
      <c r="AB51">
        <f>HYPERLINK("https://klasma.github.io/Logging_1783/klagomålsmail/A 19362-2026 FSC-klagomål mail.docx", "A 19362-2026")</f>
        <v/>
      </c>
      <c r="AC51">
        <f>HYPERLINK("https://klasma.github.io/Logging_1783/tillsyn/A 19362-2026 tillsynsbegäran.docx", "A 19362-2026")</f>
        <v/>
      </c>
      <c r="AD51">
        <f>HYPERLINK("https://klasma.github.io/Logging_1783/tillsynsmail/A 19362-2026 tillsynsbegäran mail.docx", "A 19362-2026")</f>
        <v/>
      </c>
    </row>
    <row r="52" ht="15" customHeight="1">
      <c r="A52" t="inlineStr">
        <is>
          <t>A 29432-2026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46284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Vedtrappmossa</t>
        </is>
      </c>
      <c r="W52">
        <f>HYPERLINK("https://klasma.github.io/Logging_1783/artfynd/A 29432-2026 artfynd.xlsx", "A 29432-2026")</f>
        <v/>
      </c>
      <c r="X52">
        <f>HYPERLINK("https://klasma.github.io/Logging_1783/kartor/A 29432-2026 karta.png", "A 29432-2026")</f>
        <v/>
      </c>
      <c r="Y52">
        <f>HYPERLINK("https://klasma.github.io/Logging_1783/kartor_geotiff/A 29432-2026 georefererad karta.tif", "A 29432-2026")</f>
        <v/>
      </c>
      <c r="AA52">
        <f>HYPERLINK("https://klasma.github.io/Logging_1783/klagomål/A 29432-2026 FSC-klagomål.docx", "A 29432-2026")</f>
        <v/>
      </c>
      <c r="AB52">
        <f>HYPERLINK("https://klasma.github.io/Logging_1783/klagomålsmail/A 29432-2026 FSC-klagomål mail.docx", "A 29432-2026")</f>
        <v/>
      </c>
      <c r="AC52">
        <f>HYPERLINK("https://klasma.github.io/Logging_1783/tillsyn/A 29432-2026 tillsynsbegäran.docx", "A 29432-2026")</f>
        <v/>
      </c>
      <c r="AD52">
        <f>HYPERLINK("https://klasma.github.io/Logging_1783/tillsynsmail/A 29432-2026 tillsynsbegäran mail.docx", "A 29432-2026")</f>
        <v/>
      </c>
    </row>
    <row r="53" ht="15" customHeight="1">
      <c r="A53" t="inlineStr">
        <is>
          <t>A 6986-2022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46284</v>
      </c>
      <c r="F53" t="inlineStr">
        <is>
          <t>VÄRMLANDS LÄN</t>
        </is>
      </c>
      <c r="G53" t="inlineStr">
        <is>
          <t>HAGFORS</t>
        </is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Vedticka</t>
        </is>
      </c>
      <c r="W53">
        <f>HYPERLINK("https://klasma.github.io/Logging_1783/artfynd/A 6986-2022 artfynd.xlsx", "A 6986-2022")</f>
        <v/>
      </c>
      <c r="X53">
        <f>HYPERLINK("https://klasma.github.io/Logging_1783/kartor/A 6986-2022 karta.png", "A 6986-2022")</f>
        <v/>
      </c>
      <c r="Y53">
        <f>HYPERLINK("https://klasma.github.io/Logging_1783/kartor_geotiff/A 6986-2022 georefererad karta.tif", "A 6986-2022")</f>
        <v/>
      </c>
      <c r="AA53">
        <f>HYPERLINK("https://klasma.github.io/Logging_1783/klagomål/A 6986-2022 FSC-klagomål.docx", "A 6986-2022")</f>
        <v/>
      </c>
      <c r="AB53">
        <f>HYPERLINK("https://klasma.github.io/Logging_1783/klagomålsmail/A 6986-2022 FSC-klagomål mail.docx", "A 6986-2022")</f>
        <v/>
      </c>
      <c r="AC53">
        <f>HYPERLINK("https://klasma.github.io/Logging_1783/tillsyn/A 6986-2022 tillsynsbegäran.docx", "A 6986-2022")</f>
        <v/>
      </c>
      <c r="AD53">
        <f>HYPERLINK("https://klasma.github.io/Logging_1783/tillsynsmail/A 6986-2022 tillsynsbegäran mail.docx", "A 6986-2022")</f>
        <v/>
      </c>
    </row>
    <row r="54" ht="15" customHeight="1">
      <c r="A54" t="inlineStr">
        <is>
          <t>A 12673-2024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45384</v>
      </c>
      <c r="E54" s="1" t="n">
        <v>46284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Tofsmes</t>
        </is>
      </c>
      <c r="W54">
        <f>HYPERLINK("https://klasma.github.io/Logging_1783/artfynd/A 12673-2024 artfynd.xlsx", "A 12673-2024")</f>
        <v/>
      </c>
      <c r="X54">
        <f>HYPERLINK("https://klasma.github.io/Logging_1783/kartor/A 12673-2024 karta.png", "A 12673-2024")</f>
        <v/>
      </c>
      <c r="Y54">
        <f>HYPERLINK("https://klasma.github.io/Logging_1783/kartor_geotiff/A 12673-2024 georefererad karta.tif", "A 12673-2024")</f>
        <v/>
      </c>
      <c r="AA54">
        <f>HYPERLINK("https://klasma.github.io/Logging_1783/klagomål/A 12673-2024 FSC-klagomål.docx", "A 12673-2024")</f>
        <v/>
      </c>
      <c r="AB54">
        <f>HYPERLINK("https://klasma.github.io/Logging_1783/klagomålsmail/A 12673-2024 FSC-klagomål mail.docx", "A 12673-2024")</f>
        <v/>
      </c>
      <c r="AC54">
        <f>HYPERLINK("https://klasma.github.io/Logging_1783/tillsyn/A 12673-2024 tillsynsbegäran.docx", "A 12673-2024")</f>
        <v/>
      </c>
      <c r="AD54">
        <f>HYPERLINK("https://klasma.github.io/Logging_1783/tillsynsmail/A 12673-2024 tillsynsbegäran mail.docx", "A 12673-2024")</f>
        <v/>
      </c>
    </row>
    <row r="55" ht="15" customHeight="1">
      <c r="A55" t="inlineStr">
        <is>
          <t>A 35679-2026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46265</v>
      </c>
      <c r="E55" s="1" t="n">
        <v>46284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HYPERLINK("https://klasma.github.io/Logging_1783/artfynd/A 35679-2026 artfynd.xlsx", "A 35679-2026")</f>
        <v/>
      </c>
      <c r="X55">
        <f>HYPERLINK("https://klasma.github.io/Logging_1783/kartor/A 35679-2026 karta.png", "A 35679-2026")</f>
        <v/>
      </c>
      <c r="Y55">
        <f>HYPERLINK("https://klasma.github.io/Logging_1783/kartor_geotiff/A 35679-2026 georefererad karta.tif", "A 35679-2026")</f>
        <v/>
      </c>
      <c r="AA55">
        <f>HYPERLINK("https://klasma.github.io/Logging_1783/klagomål/A 35679-2026 FSC-klagomål.docx", "A 35679-2026")</f>
        <v/>
      </c>
      <c r="AB55">
        <f>HYPERLINK("https://klasma.github.io/Logging_1783/klagomålsmail/A 35679-2026 FSC-klagomål mail.docx", "A 35679-2026")</f>
        <v/>
      </c>
      <c r="AC55">
        <f>HYPERLINK("https://klasma.github.io/Logging_1783/tillsyn/A 35679-2026 tillsynsbegäran.docx", "A 35679-2026")</f>
        <v/>
      </c>
      <c r="AD55">
        <f>HYPERLINK("https://klasma.github.io/Logging_1783/tillsynsmail/A 35679-2026 tillsynsbegäran mail.docx", "A 35679-2026")</f>
        <v/>
      </c>
      <c r="AE55">
        <f>HYPERLINK("https://klasma.github.io/Logging_1783/fåglar/A 35679-2026 prioriterade fågelarter.docx", "A 35679-2026")</f>
        <v/>
      </c>
    </row>
    <row r="56" ht="15" customHeight="1">
      <c r="A56" t="inlineStr">
        <is>
          <t>A 31742-2026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46227</v>
      </c>
      <c r="E56" s="1" t="n">
        <v>46284</v>
      </c>
      <c r="F56" t="inlineStr">
        <is>
          <t>VÄRMLANDS LÄN</t>
        </is>
      </c>
      <c r="G56" t="inlineStr">
        <is>
          <t>HAGFORS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Motaggsvamp</t>
        </is>
      </c>
      <c r="W56">
        <f>HYPERLINK("https://klasma.github.io/Logging_1783/artfynd/A 31742-2026 artfynd.xlsx", "A 31742-2026")</f>
        <v/>
      </c>
      <c r="X56">
        <f>HYPERLINK("https://klasma.github.io/Logging_1783/kartor/A 31742-2026 karta.png", "A 31742-2026")</f>
        <v/>
      </c>
      <c r="Y56">
        <f>HYPERLINK("https://klasma.github.io/Logging_1783/kartor_geotiff/A 31742-2026 georefererad karta.tif", "A 31742-2026")</f>
        <v/>
      </c>
      <c r="AA56">
        <f>HYPERLINK("https://klasma.github.io/Logging_1783/klagomål/A 31742-2026 FSC-klagomål.docx", "A 31742-2026")</f>
        <v/>
      </c>
      <c r="AB56">
        <f>HYPERLINK("https://klasma.github.io/Logging_1783/klagomålsmail/A 31742-2026 FSC-klagomål mail.docx", "A 31742-2026")</f>
        <v/>
      </c>
      <c r="AC56">
        <f>HYPERLINK("https://klasma.github.io/Logging_1783/tillsyn/A 31742-2026 tillsynsbegäran.docx", "A 31742-2026")</f>
        <v/>
      </c>
      <c r="AD56">
        <f>HYPERLINK("https://klasma.github.io/Logging_1783/tillsynsmail/A 31742-2026 tillsynsbegäran mail.docx", "A 31742-2026")</f>
        <v/>
      </c>
    </row>
    <row r="57" ht="15" customHeight="1">
      <c r="A57" t="inlineStr">
        <is>
          <t>A 36223-2026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46268</v>
      </c>
      <c r="E57" s="1" t="n">
        <v>46284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8.699999999999999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Gråspett</t>
        </is>
      </c>
      <c r="W57">
        <f>HYPERLINK("https://klasma.github.io/Logging_1783/artfynd/A 36223-2026 artfynd.xlsx", "A 36223-2026")</f>
        <v/>
      </c>
      <c r="X57">
        <f>HYPERLINK("https://klasma.github.io/Logging_1783/kartor/A 36223-2026 karta.png", "A 36223-2026")</f>
        <v/>
      </c>
      <c r="Y57">
        <f>HYPERLINK("https://klasma.github.io/Logging_1783/kartor_geotiff/A 36223-2026 georefererad karta.tif", "A 36223-2026")</f>
        <v/>
      </c>
      <c r="AA57">
        <f>HYPERLINK("https://klasma.github.io/Logging_1783/klagomål/A 36223-2026 FSC-klagomål.docx", "A 36223-2026")</f>
        <v/>
      </c>
      <c r="AB57">
        <f>HYPERLINK("https://klasma.github.io/Logging_1783/klagomålsmail/A 36223-2026 FSC-klagomål mail.docx", "A 36223-2026")</f>
        <v/>
      </c>
      <c r="AC57">
        <f>HYPERLINK("https://klasma.github.io/Logging_1783/tillsyn/A 36223-2026 tillsynsbegäran.docx", "A 36223-2026")</f>
        <v/>
      </c>
      <c r="AD57">
        <f>HYPERLINK("https://klasma.github.io/Logging_1783/tillsynsmail/A 36223-2026 tillsynsbegäran mail.docx", "A 36223-2026")</f>
        <v/>
      </c>
      <c r="AE57">
        <f>HYPERLINK("https://klasma.github.io/Logging_1783/fåglar/A 36223-2026 prioriterade fågelarter.docx", "A 36223-2026")</f>
        <v/>
      </c>
    </row>
    <row r="58" ht="15" customHeight="1">
      <c r="A58" t="inlineStr">
        <is>
          <t>A 22484-2025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45786</v>
      </c>
      <c r="E58" s="1" t="n">
        <v>46284</v>
      </c>
      <c r="F58" t="inlineStr">
        <is>
          <t>VÄRMLANDS LÄN</t>
        </is>
      </c>
      <c r="G58" t="inlineStr">
        <is>
          <t>HAGFORS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Rödlånke</t>
        </is>
      </c>
      <c r="W58">
        <f>HYPERLINK("https://klasma.github.io/Logging_1783/artfynd/A 22484-2025 artfynd.xlsx", "A 22484-2025")</f>
        <v/>
      </c>
      <c r="X58">
        <f>HYPERLINK("https://klasma.github.io/Logging_1783/kartor/A 22484-2025 karta.png", "A 22484-2025")</f>
        <v/>
      </c>
      <c r="Y58">
        <f>HYPERLINK("https://klasma.github.io/Logging_1783/kartor_geotiff/A 22484-2025 georefererad karta.tif", "A 22484-2025")</f>
        <v/>
      </c>
      <c r="AA58">
        <f>HYPERLINK("https://klasma.github.io/Logging_1783/klagomål/A 22484-2025 FSC-klagomål.docx", "A 22484-2025")</f>
        <v/>
      </c>
      <c r="AB58">
        <f>HYPERLINK("https://klasma.github.io/Logging_1783/klagomålsmail/A 22484-2025 FSC-klagomål mail.docx", "A 22484-2025")</f>
        <v/>
      </c>
      <c r="AC58">
        <f>HYPERLINK("https://klasma.github.io/Logging_1783/tillsyn/A 22484-2025 tillsynsbegäran.docx", "A 22484-2025")</f>
        <v/>
      </c>
      <c r="AD58">
        <f>HYPERLINK("https://klasma.github.io/Logging_1783/tillsynsmail/A 22484-2025 tillsynsbegäran mail.docx", "A 22484-2025")</f>
        <v/>
      </c>
    </row>
    <row r="59" ht="15" customHeight="1">
      <c r="A59" t="inlineStr">
        <is>
          <t>A 35256-2026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46261</v>
      </c>
      <c r="E59" s="1" t="n">
        <v>46284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35256-2026 artfynd.xlsx", "A 35256-2026")</f>
        <v/>
      </c>
      <c r="X59">
        <f>HYPERLINK("https://klasma.github.io/Logging_1783/kartor/A 35256-2026 karta.png", "A 35256-2026")</f>
        <v/>
      </c>
      <c r="Y59">
        <f>HYPERLINK("https://klasma.github.io/Logging_1783/kartor_geotiff/A 35256-2026 georefererad karta.tif", "A 35256-2026")</f>
        <v/>
      </c>
      <c r="AA59">
        <f>HYPERLINK("https://klasma.github.io/Logging_1783/klagomål/A 35256-2026 FSC-klagomål.docx", "A 35256-2026")</f>
        <v/>
      </c>
      <c r="AB59">
        <f>HYPERLINK("https://klasma.github.io/Logging_1783/klagomålsmail/A 35256-2026 FSC-klagomål mail.docx", "A 35256-2026")</f>
        <v/>
      </c>
      <c r="AC59">
        <f>HYPERLINK("https://klasma.github.io/Logging_1783/tillsyn/A 35256-2026 tillsynsbegäran.docx", "A 35256-2026")</f>
        <v/>
      </c>
      <c r="AD59">
        <f>HYPERLINK("https://klasma.github.io/Logging_1783/tillsynsmail/A 35256-2026 tillsynsbegäran mail.docx", "A 35256-2026")</f>
        <v/>
      </c>
    </row>
    <row r="60" ht="15" customHeight="1">
      <c r="A60" t="inlineStr">
        <is>
          <t>A 24885-2025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46284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Mörk husmossa</t>
        </is>
      </c>
      <c r="W60">
        <f>HYPERLINK("https://klasma.github.io/Logging_1783/artfynd/A 24885-2025 artfynd.xlsx", "A 24885-2025")</f>
        <v/>
      </c>
      <c r="X60">
        <f>HYPERLINK("https://klasma.github.io/Logging_1783/kartor/A 24885-2025 karta.png", "A 24885-2025")</f>
        <v/>
      </c>
      <c r="Y60">
        <f>HYPERLINK("https://klasma.github.io/Logging_1783/kartor_geotiff/A 24885-2025 georefererad karta.tif", "A 24885-2025")</f>
        <v/>
      </c>
      <c r="AA60">
        <f>HYPERLINK("https://klasma.github.io/Logging_1783/klagomål/A 24885-2025 FSC-klagomål.docx", "A 24885-2025")</f>
        <v/>
      </c>
      <c r="AB60">
        <f>HYPERLINK("https://klasma.github.io/Logging_1783/klagomålsmail/A 24885-2025 FSC-klagomål mail.docx", "A 24885-2025")</f>
        <v/>
      </c>
      <c r="AC60">
        <f>HYPERLINK("https://klasma.github.io/Logging_1783/tillsyn/A 24885-2025 tillsynsbegäran.docx", "A 24885-2025")</f>
        <v/>
      </c>
      <c r="AD60">
        <f>HYPERLINK("https://klasma.github.io/Logging_1783/tillsynsmail/A 24885-2025 tillsynsbegäran mail.docx", "A 24885-2025")</f>
        <v/>
      </c>
    </row>
    <row r="61" ht="15" customHeight="1">
      <c r="A61" t="inlineStr">
        <is>
          <t>A 32592-2026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46240</v>
      </c>
      <c r="E61" s="1" t="n">
        <v>46284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Lunglav</t>
        </is>
      </c>
      <c r="W61">
        <f>HYPERLINK("https://klasma.github.io/Logging_1783/artfynd/A 32592-2026 artfynd.xlsx", "A 32592-2026")</f>
        <v/>
      </c>
      <c r="X61">
        <f>HYPERLINK("https://klasma.github.io/Logging_1783/kartor/A 32592-2026 karta.png", "A 32592-2026")</f>
        <v/>
      </c>
      <c r="Y61">
        <f>HYPERLINK("https://klasma.github.io/Logging_1783/kartor_geotiff/A 32592-2026 georefererad karta.tif", "A 32592-2026")</f>
        <v/>
      </c>
      <c r="AA61">
        <f>HYPERLINK("https://klasma.github.io/Logging_1783/klagomål/A 32592-2026 FSC-klagomål.docx", "A 32592-2026")</f>
        <v/>
      </c>
      <c r="AB61">
        <f>HYPERLINK("https://klasma.github.io/Logging_1783/klagomålsmail/A 32592-2026 FSC-klagomål mail.docx", "A 32592-2026")</f>
        <v/>
      </c>
      <c r="AC61">
        <f>HYPERLINK("https://klasma.github.io/Logging_1783/tillsyn/A 32592-2026 tillsynsbegäran.docx", "A 32592-2026")</f>
        <v/>
      </c>
      <c r="AD61">
        <f>HYPERLINK("https://klasma.github.io/Logging_1783/tillsynsmail/A 32592-2026 tillsynsbegäran mail.docx", "A 32592-2026")</f>
        <v/>
      </c>
    </row>
    <row r="62" ht="15" customHeight="1">
      <c r="A62" t="inlineStr">
        <is>
          <t>A 26624-2025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45810</v>
      </c>
      <c r="E62" s="1" t="n">
        <v>46284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HYPERLINK("https://klasma.github.io/Logging_1783/artfynd/A 26624-2025 artfynd.xlsx", "A 26624-2025")</f>
        <v/>
      </c>
      <c r="X62">
        <f>HYPERLINK("https://klasma.github.io/Logging_1783/kartor/A 26624-2025 karta.png", "A 26624-2025")</f>
        <v/>
      </c>
      <c r="Y62">
        <f>HYPERLINK("https://klasma.github.io/Logging_1783/kartor_geotiff/A 26624-2025 georefererad karta.tif", "A 26624-2025")</f>
        <v/>
      </c>
      <c r="AA62">
        <f>HYPERLINK("https://klasma.github.io/Logging_1783/klagomål/A 26624-2025 FSC-klagomål.docx", "A 26624-2025")</f>
        <v/>
      </c>
      <c r="AB62">
        <f>HYPERLINK("https://klasma.github.io/Logging_1783/klagomålsmail/A 26624-2025 FSC-klagomål mail.docx", "A 26624-2025")</f>
        <v/>
      </c>
      <c r="AC62">
        <f>HYPERLINK("https://klasma.github.io/Logging_1783/tillsyn/A 26624-2025 tillsynsbegäran.docx", "A 26624-2025")</f>
        <v/>
      </c>
      <c r="AD62">
        <f>HYPERLINK("https://klasma.github.io/Logging_1783/tillsynsmail/A 26624-2025 tillsynsbegäran mail.docx", "A 26624-2025")</f>
        <v/>
      </c>
    </row>
    <row r="63" ht="15" customHeight="1">
      <c r="A63" t="inlineStr">
        <is>
          <t>A 33848-2025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45842</v>
      </c>
      <c r="E63" s="1" t="n">
        <v>46284</v>
      </c>
      <c r="F63" t="inlineStr">
        <is>
          <t>VÄRMLANDS LÄN</t>
        </is>
      </c>
      <c r="G63" t="inlineStr">
        <is>
          <t>HAGFORS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Utter</t>
        </is>
      </c>
      <c r="W63">
        <f>HYPERLINK("https://klasma.github.io/Logging_1783/artfynd/A 33848-2025 artfynd.xlsx", "A 33848-2025")</f>
        <v/>
      </c>
      <c r="X63">
        <f>HYPERLINK("https://klasma.github.io/Logging_1783/kartor/A 33848-2025 karta.png", "A 33848-2025")</f>
        <v/>
      </c>
      <c r="Y63">
        <f>HYPERLINK("https://klasma.github.io/Logging_1783/kartor_geotiff/A 33848-2025 georefererad karta.tif", "A 33848-2025")</f>
        <v/>
      </c>
      <c r="AA63">
        <f>HYPERLINK("https://klasma.github.io/Logging_1783/klagomål/A 33848-2025 FSC-klagomål.docx", "A 33848-2025")</f>
        <v/>
      </c>
      <c r="AB63">
        <f>HYPERLINK("https://klasma.github.io/Logging_1783/klagomålsmail/A 33848-2025 FSC-klagomål mail.docx", "A 33848-2025")</f>
        <v/>
      </c>
      <c r="AC63">
        <f>HYPERLINK("https://klasma.github.io/Logging_1783/tillsyn/A 33848-2025 tillsynsbegäran.docx", "A 33848-2025")</f>
        <v/>
      </c>
      <c r="AD63">
        <f>HYPERLINK("https://klasma.github.io/Logging_1783/tillsynsmail/A 33848-2025 tillsynsbegäran mail.docx", "A 33848-2025")</f>
        <v/>
      </c>
    </row>
    <row r="64" ht="15" customHeight="1">
      <c r="A64" t="inlineStr">
        <is>
          <t>A 33905-2025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45842</v>
      </c>
      <c r="E64" s="1" t="n">
        <v>46284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7.8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HYPERLINK("https://klasma.github.io/Logging_1783/artfynd/A 33905-2025 artfynd.xlsx", "A 33905-2025")</f>
        <v/>
      </c>
      <c r="X64">
        <f>HYPERLINK("https://klasma.github.io/Logging_1783/kartor/A 33905-2025 karta.png", "A 33905-2025")</f>
        <v/>
      </c>
      <c r="Y64">
        <f>HYPERLINK("https://klasma.github.io/Logging_1783/kartor_geotiff/A 33905-2025 georefererad karta.tif", "A 33905-2025")</f>
        <v/>
      </c>
      <c r="AA64">
        <f>HYPERLINK("https://klasma.github.io/Logging_1783/klagomål/A 33905-2025 FSC-klagomål.docx", "A 33905-2025")</f>
        <v/>
      </c>
      <c r="AB64">
        <f>HYPERLINK("https://klasma.github.io/Logging_1783/klagomålsmail/A 33905-2025 FSC-klagomål mail.docx", "A 33905-2025")</f>
        <v/>
      </c>
      <c r="AC64">
        <f>HYPERLINK("https://klasma.github.io/Logging_1783/tillsyn/A 33905-2025 tillsynsbegäran.docx", "A 33905-2025")</f>
        <v/>
      </c>
      <c r="AD64">
        <f>HYPERLINK("https://klasma.github.io/Logging_1783/tillsynsmail/A 33905-2025 tillsynsbegäran mail.docx", "A 33905-2025")</f>
        <v/>
      </c>
    </row>
    <row r="65" ht="15" customHeight="1">
      <c r="A65" t="inlineStr">
        <is>
          <t>A 20119-2025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45772</v>
      </c>
      <c r="E65" s="1" t="n">
        <v>46284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HYPERLINK("https://klasma.github.io/Logging_1783/artfynd/A 20119-2025 artfynd.xlsx", "A 20119-2025")</f>
        <v/>
      </c>
      <c r="X65">
        <f>HYPERLINK("https://klasma.github.io/Logging_1783/kartor/A 20119-2025 karta.png", "A 20119-2025")</f>
        <v/>
      </c>
      <c r="Y65">
        <f>HYPERLINK("https://klasma.github.io/Logging_1783/kartor_geotiff/A 20119-2025 georefererad karta.tif", "A 20119-2025")</f>
        <v/>
      </c>
      <c r="AA65">
        <f>HYPERLINK("https://klasma.github.io/Logging_1783/klagomål/A 20119-2025 FSC-klagomål.docx", "A 20119-2025")</f>
        <v/>
      </c>
      <c r="AB65">
        <f>HYPERLINK("https://klasma.github.io/Logging_1783/klagomålsmail/A 20119-2025 FSC-klagomål mail.docx", "A 20119-2025")</f>
        <v/>
      </c>
      <c r="AC65">
        <f>HYPERLINK("https://klasma.github.io/Logging_1783/tillsyn/A 20119-2025 tillsynsbegäran.docx", "A 20119-2025")</f>
        <v/>
      </c>
      <c r="AD65">
        <f>HYPERLINK("https://klasma.github.io/Logging_1783/tillsynsmail/A 20119-2025 tillsynsbegäran mail.docx", "A 20119-2025")</f>
        <v/>
      </c>
      <c r="AE65">
        <f>HYPERLINK("https://klasma.github.io/Logging_1783/fåglar/A 20119-2025 prioriterade fågelarter.docx", "A 20119-2025")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46284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46284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46284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46284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46284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46284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46284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46284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46284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46284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46284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46284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46284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46284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46284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46284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46284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46284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46284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46284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46284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46284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46284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46284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46284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46284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46284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46284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46284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46284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46284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46284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46284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46284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46284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46284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46284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46284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46284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46284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46284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46284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46284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46284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46284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46284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61232-2024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45645</v>
      </c>
      <c r="E112" s="1" t="n">
        <v>46284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6.4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46284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46284</v>
      </c>
      <c r="F114" t="inlineStr">
        <is>
          <t>VÄRMLANDS LÄN</t>
        </is>
      </c>
      <c r="G114" t="inlineStr">
        <is>
          <t>HAGFORS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45335</v>
      </c>
      <c r="E115" s="1" t="n">
        <v>46284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45112</v>
      </c>
      <c r="E116" s="1" t="n">
        <v>46284</v>
      </c>
      <c r="F116" t="inlineStr">
        <is>
          <t>VÄRMLANDS LÄN</t>
        </is>
      </c>
      <c r="G116" t="inlineStr">
        <is>
          <t>HAGFORS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45489</v>
      </c>
      <c r="E117" s="1" t="n">
        <v>46284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46284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46284</v>
      </c>
      <c r="F119" t="inlineStr">
        <is>
          <t>VÄRMLANDS LÄN</t>
        </is>
      </c>
      <c r="G119" t="inlineStr">
        <is>
          <t>HAGFORS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46284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46284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46284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46284</v>
      </c>
      <c r="F123" t="inlineStr">
        <is>
          <t>VÄRMLANDS LÄN</t>
        </is>
      </c>
      <c r="G123" t="inlineStr">
        <is>
          <t>HAGFORS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45621</v>
      </c>
      <c r="E124" s="1" t="n">
        <v>46284</v>
      </c>
      <c r="F124" t="inlineStr">
        <is>
          <t>VÄRMLANDS LÄN</t>
        </is>
      </c>
      <c r="G124" t="inlineStr">
        <is>
          <t>HAGFORS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46284</v>
      </c>
      <c r="F125" t="inlineStr">
        <is>
          <t>VÄRMLANDS LÄN</t>
        </is>
      </c>
      <c r="G125" t="inlineStr">
        <is>
          <t>HAGFORS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46284</v>
      </c>
      <c r="F126" t="inlineStr">
        <is>
          <t>VÄRMLANDS LÄN</t>
        </is>
      </c>
      <c r="G126" t="inlineStr">
        <is>
          <t>HAGFORS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46284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46284</v>
      </c>
      <c r="F128" t="inlineStr">
        <is>
          <t>VÄRMLANDS LÄN</t>
        </is>
      </c>
      <c r="G128" t="inlineStr">
        <is>
          <t>HAGFORS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46284</v>
      </c>
      <c r="F129" t="inlineStr">
        <is>
          <t>VÄRMLANDS LÄN</t>
        </is>
      </c>
      <c r="G129" t="inlineStr">
        <is>
          <t>HAGFORS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45037</v>
      </c>
      <c r="E130" s="1" t="n">
        <v>46284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46284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46284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58210-2022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44901</v>
      </c>
      <c r="E133" s="1" t="n">
        <v>46284</v>
      </c>
      <c r="F133" t="inlineStr">
        <is>
          <t>VÄRMLANDS LÄN</t>
        </is>
      </c>
      <c r="G133" t="inlineStr">
        <is>
          <t>HAGFORS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46284</v>
      </c>
      <c r="F134" t="inlineStr">
        <is>
          <t>VÄRMLANDS LÄN</t>
        </is>
      </c>
      <c r="G134" t="inlineStr">
        <is>
          <t>HAGFORS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46284</v>
      </c>
      <c r="F135" t="inlineStr">
        <is>
          <t>VÄRMLANDS LÄN</t>
        </is>
      </c>
      <c r="G135" t="inlineStr">
        <is>
          <t>HAGFORS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45715</v>
      </c>
      <c r="E136" s="1" t="n">
        <v>46284</v>
      </c>
      <c r="F136" t="inlineStr">
        <is>
          <t>VÄRMLANDS LÄN</t>
        </is>
      </c>
      <c r="G136" t="inlineStr">
        <is>
          <t>HAGFORS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60221-2023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45258</v>
      </c>
      <c r="E137" s="1" t="n">
        <v>46284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45653</v>
      </c>
      <c r="E138" s="1" t="n">
        <v>46284</v>
      </c>
      <c r="F138" t="inlineStr">
        <is>
          <t>VÄRMLANDS LÄN</t>
        </is>
      </c>
      <c r="G138" t="inlineStr">
        <is>
          <t>HAGFORS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45147</v>
      </c>
      <c r="E139" s="1" t="n">
        <v>46284</v>
      </c>
      <c r="F139" t="inlineStr">
        <is>
          <t>VÄRMLANDS LÄN</t>
        </is>
      </c>
      <c r="G139" t="inlineStr">
        <is>
          <t>HAGFORS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44834</v>
      </c>
      <c r="E140" s="1" t="n">
        <v>46284</v>
      </c>
      <c r="F140" t="inlineStr">
        <is>
          <t>VÄRMLANDS LÄN</t>
        </is>
      </c>
      <c r="G140" t="inlineStr">
        <is>
          <t>HAGFORS</t>
        </is>
      </c>
      <c r="H140" t="inlineStr">
        <is>
          <t>Kyrkan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46284</v>
      </c>
      <c r="F141" t="inlineStr">
        <is>
          <t>VÄRMLANDS LÄN</t>
        </is>
      </c>
      <c r="G141" t="inlineStr">
        <is>
          <t>HAGFORS</t>
        </is>
      </c>
      <c r="H141" t="inlineStr">
        <is>
          <t>Kommuner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46284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46284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38612-2023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46284</v>
      </c>
      <c r="F144" t="inlineStr">
        <is>
          <t>VÄRMLANDS LÄN</t>
        </is>
      </c>
      <c r="G144" t="inlineStr">
        <is>
          <t>HAGFORS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46284</v>
      </c>
      <c r="F145" t="inlineStr">
        <is>
          <t>VÄRMLANDS LÄN</t>
        </is>
      </c>
      <c r="G145" t="inlineStr">
        <is>
          <t>HAGFORS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46284</v>
      </c>
      <c r="F146" t="inlineStr">
        <is>
          <t>VÄRMLANDS LÄN</t>
        </is>
      </c>
      <c r="G146" t="inlineStr">
        <is>
          <t>HAGFORS</t>
        </is>
      </c>
      <c r="H146" t="inlineStr">
        <is>
          <t>Kommuner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60582-2024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45644</v>
      </c>
      <c r="E147" s="1" t="n">
        <v>46284</v>
      </c>
      <c r="F147" t="inlineStr">
        <is>
          <t>VÄRMLANDS LÄN</t>
        </is>
      </c>
      <c r="G147" t="inlineStr">
        <is>
          <t>HAGFORS</t>
        </is>
      </c>
      <c r="H147" t="inlineStr">
        <is>
          <t>Kyrkan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45659</v>
      </c>
      <c r="E148" s="1" t="n">
        <v>46284</v>
      </c>
      <c r="F148" t="inlineStr">
        <is>
          <t>VÄRMLANDS LÄN</t>
        </is>
      </c>
      <c r="G148" t="inlineStr">
        <is>
          <t>HAGFORS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44649</v>
      </c>
      <c r="E149" s="1" t="n">
        <v>46284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70712-2021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44537</v>
      </c>
      <c r="E150" s="1" t="n">
        <v>46284</v>
      </c>
      <c r="F150" t="inlineStr">
        <is>
          <t>VÄRMLANDS LÄN</t>
        </is>
      </c>
      <c r="G150" t="inlineStr">
        <is>
          <t>HAGFORS</t>
        </is>
      </c>
      <c r="H150" t="inlineStr">
        <is>
          <t>Kommuner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17297-2024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45414</v>
      </c>
      <c r="E151" s="1" t="n">
        <v>46284</v>
      </c>
      <c r="F151" t="inlineStr">
        <is>
          <t>VÄRMLANDS LÄN</t>
        </is>
      </c>
      <c r="G151" t="inlineStr">
        <is>
          <t>HAGFORS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44770</v>
      </c>
      <c r="E152" s="1" t="n">
        <v>46284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45055</v>
      </c>
      <c r="E153" s="1" t="n">
        <v>46284</v>
      </c>
      <c r="F153" t="inlineStr">
        <is>
          <t>VÄRMLANDS LÄN</t>
        </is>
      </c>
      <c r="G153" t="inlineStr">
        <is>
          <t>HAGFORS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46284</v>
      </c>
      <c r="F154" t="inlineStr">
        <is>
          <t>VÄRMLANDS LÄN</t>
        </is>
      </c>
      <c r="G154" t="inlineStr">
        <is>
          <t>HAGFORS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46284</v>
      </c>
      <c r="F155" t="inlineStr">
        <is>
          <t>VÄRMLANDS LÄN</t>
        </is>
      </c>
      <c r="G155" t="inlineStr">
        <is>
          <t>HAGFORS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45461</v>
      </c>
      <c r="E156" s="1" t="n">
        <v>46284</v>
      </c>
      <c r="F156" t="inlineStr">
        <is>
          <t>VÄRMLANDS LÄN</t>
        </is>
      </c>
      <c r="G156" t="inlineStr">
        <is>
          <t>HAGFORS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46284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46284</v>
      </c>
      <c r="F158" t="inlineStr">
        <is>
          <t>VÄRMLANDS LÄN</t>
        </is>
      </c>
      <c r="G158" t="inlineStr">
        <is>
          <t>HAGFORS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46284</v>
      </c>
      <c r="F159" t="inlineStr">
        <is>
          <t>VÄRMLANDS LÄN</t>
        </is>
      </c>
      <c r="G159" t="inlineStr">
        <is>
          <t>HAGFORS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45385</v>
      </c>
      <c r="E160" s="1" t="n">
        <v>46284</v>
      </c>
      <c r="F160" t="inlineStr">
        <is>
          <t>VÄRMLANDS LÄN</t>
        </is>
      </c>
      <c r="G160" t="inlineStr">
        <is>
          <t>HAGFORS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61140-2023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45261</v>
      </c>
      <c r="E161" s="1" t="n">
        <v>46284</v>
      </c>
      <c r="F161" t="inlineStr">
        <is>
          <t>VÄRMLANDS LÄN</t>
        </is>
      </c>
      <c r="G161" t="inlineStr">
        <is>
          <t>HAGFORS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38887-2024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45547</v>
      </c>
      <c r="E162" s="1" t="n">
        <v>46284</v>
      </c>
      <c r="F162" t="inlineStr">
        <is>
          <t>VÄRMLANDS LÄN</t>
        </is>
      </c>
      <c r="G162" t="inlineStr">
        <is>
          <t>HAGFORS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45475</v>
      </c>
      <c r="E163" s="1" t="n">
        <v>46284</v>
      </c>
      <c r="F163" t="inlineStr">
        <is>
          <t>VÄRMLANDS LÄN</t>
        </is>
      </c>
      <c r="G163" t="inlineStr">
        <is>
          <t>HAGFORS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46284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46284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46284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44566</v>
      </c>
      <c r="E167" s="1" t="n">
        <v>46284</v>
      </c>
      <c r="F167" t="inlineStr">
        <is>
          <t>VÄRMLANDS LÄN</t>
        </is>
      </c>
      <c r="G167" t="inlineStr">
        <is>
          <t>HAGFORS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45250</v>
      </c>
      <c r="E168" s="1" t="n">
        <v>46284</v>
      </c>
      <c r="F168" t="inlineStr">
        <is>
          <t>VÄRMLANDS LÄN</t>
        </is>
      </c>
      <c r="G168" t="inlineStr">
        <is>
          <t>HAGFORS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57379-2022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44896</v>
      </c>
      <c r="E169" s="1" t="n">
        <v>46284</v>
      </c>
      <c r="F169" t="inlineStr">
        <is>
          <t>VÄRMLANDS LÄN</t>
        </is>
      </c>
      <c r="G169" t="inlineStr">
        <is>
          <t>HAGFORS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44817</v>
      </c>
      <c r="E170" s="1" t="n">
        <v>46284</v>
      </c>
      <c r="F170" t="inlineStr">
        <is>
          <t>VÄRMLANDS LÄN</t>
        </is>
      </c>
      <c r="G170" t="inlineStr">
        <is>
          <t>HAGFORS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52224-2023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45224</v>
      </c>
      <c r="E171" s="1" t="n">
        <v>46284</v>
      </c>
      <c r="F171" t="inlineStr">
        <is>
          <t>VÄRMLANDS LÄN</t>
        </is>
      </c>
      <c r="G171" t="inlineStr">
        <is>
          <t>HAGFORS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45147</v>
      </c>
      <c r="E172" s="1" t="n">
        <v>46284</v>
      </c>
      <c r="F172" t="inlineStr">
        <is>
          <t>VÄRMLANDS LÄN</t>
        </is>
      </c>
      <c r="G172" t="inlineStr">
        <is>
          <t>HAGFORS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45433</v>
      </c>
      <c r="E173" s="1" t="n">
        <v>46284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46284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45005</v>
      </c>
      <c r="E175" s="1" t="n">
        <v>46284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45673</v>
      </c>
      <c r="E176" s="1" t="n">
        <v>46284</v>
      </c>
      <c r="F176" t="inlineStr">
        <is>
          <t>VÄRMLANDS LÄN</t>
        </is>
      </c>
      <c r="G176" t="inlineStr">
        <is>
          <t>HAGFORS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33969-2022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44790</v>
      </c>
      <c r="E177" s="1" t="n">
        <v>46284</v>
      </c>
      <c r="F177" t="inlineStr">
        <is>
          <t>VÄRMLANDS LÄN</t>
        </is>
      </c>
      <c r="G177" t="inlineStr">
        <is>
          <t>HAGFORS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45090</v>
      </c>
      <c r="E178" s="1" t="n">
        <v>46284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46284</v>
      </c>
      <c r="F179" t="inlineStr">
        <is>
          <t>VÄRMLANDS LÄN</t>
        </is>
      </c>
      <c r="G179" t="inlineStr">
        <is>
          <t>HAGFORS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44776</v>
      </c>
      <c r="E180" s="1" t="n">
        <v>46284</v>
      </c>
      <c r="F180" t="inlineStr">
        <is>
          <t>VÄRMLANDS LÄN</t>
        </is>
      </c>
      <c r="G180" t="inlineStr">
        <is>
          <t>HAGFORS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59092-2022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46284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46284</v>
      </c>
      <c r="F182" t="inlineStr">
        <is>
          <t>VÄRMLANDS LÄN</t>
        </is>
      </c>
      <c r="G182" t="inlineStr">
        <is>
          <t>HAGFORS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11104-2022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44628</v>
      </c>
      <c r="E183" s="1" t="n">
        <v>46284</v>
      </c>
      <c r="F183" t="inlineStr">
        <is>
          <t>VÄRMLANDS LÄN</t>
        </is>
      </c>
      <c r="G183" t="inlineStr">
        <is>
          <t>HAGFORS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46284</v>
      </c>
      <c r="F184" t="inlineStr">
        <is>
          <t>VÄRMLANDS LÄN</t>
        </is>
      </c>
      <c r="G184" t="inlineStr">
        <is>
          <t>HAGFORS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46284</v>
      </c>
      <c r="F185" t="inlineStr">
        <is>
          <t>VÄRMLANDS LÄN</t>
        </is>
      </c>
      <c r="G185" t="inlineStr">
        <is>
          <t>HAGFORS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45033</v>
      </c>
      <c r="E186" s="1" t="n">
        <v>46284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46284</v>
      </c>
      <c r="F187" t="inlineStr">
        <is>
          <t>VÄRMLANDS LÄN</t>
        </is>
      </c>
      <c r="G187" t="inlineStr">
        <is>
          <t>HAGFORS</t>
        </is>
      </c>
      <c r="I187" t="n">
        <v>7.7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45201</v>
      </c>
      <c r="E188" s="1" t="n">
        <v>46284</v>
      </c>
      <c r="F188" t="inlineStr">
        <is>
          <t>VÄRMLANDS LÄN</t>
        </is>
      </c>
      <c r="G188" t="inlineStr">
        <is>
          <t>HAGFORS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45244</v>
      </c>
      <c r="E189" s="1" t="n">
        <v>46284</v>
      </c>
      <c r="F189" t="inlineStr">
        <is>
          <t>VÄRMLANDS LÄN</t>
        </is>
      </c>
      <c r="G189" t="inlineStr">
        <is>
          <t>HAGFORS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46284</v>
      </c>
      <c r="F190" t="inlineStr">
        <is>
          <t>VÄRMLANDS LÄN</t>
        </is>
      </c>
      <c r="G190" t="inlineStr">
        <is>
          <t>HAGFORS</t>
        </is>
      </c>
      <c r="H190" t="inlineStr">
        <is>
          <t>Kyrkan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46190-2024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45581</v>
      </c>
      <c r="E191" s="1" t="n">
        <v>46284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45103</v>
      </c>
      <c r="E192" s="1" t="n">
        <v>46284</v>
      </c>
      <c r="F192" t="inlineStr">
        <is>
          <t>VÄRMLANDS LÄN</t>
        </is>
      </c>
      <c r="G192" t="inlineStr">
        <is>
          <t>HAGFORS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46284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12778-2025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45733</v>
      </c>
      <c r="E194" s="1" t="n">
        <v>46284</v>
      </c>
      <c r="F194" t="inlineStr">
        <is>
          <t>VÄRMLANDS LÄN</t>
        </is>
      </c>
      <c r="G194" t="inlineStr">
        <is>
          <t>HAGFORS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45840</v>
      </c>
      <c r="E195" s="1" t="n">
        <v>46284</v>
      </c>
      <c r="F195" t="inlineStr">
        <is>
          <t>VÄRMLANDS LÄN</t>
        </is>
      </c>
      <c r="G195" t="inlineStr">
        <is>
          <t>HAGFORS</t>
        </is>
      </c>
      <c r="I195" t="n">
        <v>18.2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46284</v>
      </c>
      <c r="F196" t="inlineStr">
        <is>
          <t>VÄRMLANDS LÄN</t>
        </is>
      </c>
      <c r="G196" t="inlineStr">
        <is>
          <t>HAGFORS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45469</v>
      </c>
      <c r="E197" s="1" t="n">
        <v>46284</v>
      </c>
      <c r="F197" t="inlineStr">
        <is>
          <t>VÄRMLANDS LÄN</t>
        </is>
      </c>
      <c r="G197" t="inlineStr">
        <is>
          <t>HAGFORS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44757</v>
      </c>
      <c r="E198" s="1" t="n">
        <v>46284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45264</v>
      </c>
      <c r="E199" s="1" t="n">
        <v>46284</v>
      </c>
      <c r="F199" t="inlineStr">
        <is>
          <t>VÄRMLANDS LÄN</t>
        </is>
      </c>
      <c r="G199" t="inlineStr">
        <is>
          <t>HAGFORS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45323</v>
      </c>
      <c r="E200" s="1" t="n">
        <v>46284</v>
      </c>
      <c r="F200" t="inlineStr">
        <is>
          <t>VÄRMLANDS LÄN</t>
        </is>
      </c>
      <c r="G200" t="inlineStr">
        <is>
          <t>HAGFORS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46284</v>
      </c>
      <c r="F201" t="inlineStr">
        <is>
          <t>VÄRMLANDS LÄN</t>
        </is>
      </c>
      <c r="G201" t="inlineStr">
        <is>
          <t>HAGFORS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46136</v>
      </c>
      <c r="E202" s="1" t="n">
        <v>46284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45786</v>
      </c>
      <c r="E203" s="1" t="n">
        <v>46284</v>
      </c>
      <c r="F203" t="inlineStr">
        <is>
          <t>VÄRMLANDS LÄN</t>
        </is>
      </c>
      <c r="G203" t="inlineStr">
        <is>
          <t>HAGFORS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46284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18699-2022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44687</v>
      </c>
      <c r="E205" s="1" t="n">
        <v>46284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20.2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46284</v>
      </c>
      <c r="F206" t="inlineStr">
        <is>
          <t>VÄRMLANDS LÄN</t>
        </is>
      </c>
      <c r="G206" t="inlineStr">
        <is>
          <t>HAGFORS</t>
        </is>
      </c>
      <c r="H206" t="inlineStr">
        <is>
          <t>Kyrkan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45148</v>
      </c>
      <c r="E207" s="1" t="n">
        <v>46284</v>
      </c>
      <c r="F207" t="inlineStr">
        <is>
          <t>VÄRMLANDS LÄN</t>
        </is>
      </c>
      <c r="G207" t="inlineStr">
        <is>
          <t>HAGFORS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46284</v>
      </c>
      <c r="F208" t="inlineStr">
        <is>
          <t>VÄRMLANDS LÄN</t>
        </is>
      </c>
      <c r="G208" t="inlineStr">
        <is>
          <t>HAGFORS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24000-2025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45796</v>
      </c>
      <c r="E209" s="1" t="n">
        <v>46284</v>
      </c>
      <c r="F209" t="inlineStr">
        <is>
          <t>VÄRMLANDS LÄN</t>
        </is>
      </c>
      <c r="G209" t="inlineStr">
        <is>
          <t>HAGFORS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45450</v>
      </c>
      <c r="E210" s="1" t="n">
        <v>46284</v>
      </c>
      <c r="F210" t="inlineStr">
        <is>
          <t>VÄRMLANDS LÄN</t>
        </is>
      </c>
      <c r="G210" t="inlineStr">
        <is>
          <t>HAGFORS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45390</v>
      </c>
      <c r="E211" s="1" t="n">
        <v>46284</v>
      </c>
      <c r="F211" t="inlineStr">
        <is>
          <t>VÄRMLANDS LÄN</t>
        </is>
      </c>
      <c r="G211" t="inlineStr">
        <is>
          <t>HAGFORS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46284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45783</v>
      </c>
      <c r="E213" s="1" t="n">
        <v>46284</v>
      </c>
      <c r="F213" t="inlineStr">
        <is>
          <t>VÄRMLANDS LÄN</t>
        </is>
      </c>
      <c r="G213" t="inlineStr">
        <is>
          <t>HAGFORS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39249-2025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46284</v>
      </c>
      <c r="F214" t="inlineStr">
        <is>
          <t>VÄRMLANDS LÄN</t>
        </is>
      </c>
      <c r="G214" t="inlineStr">
        <is>
          <t>HAGFORS</t>
        </is>
      </c>
      <c r="H214" t="inlineStr">
        <is>
          <t>Kyrkan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46284</v>
      </c>
      <c r="F215" t="inlineStr">
        <is>
          <t>VÄRMLANDS LÄN</t>
        </is>
      </c>
      <c r="G215" t="inlineStr">
        <is>
          <t>HAGFORS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45145</v>
      </c>
      <c r="E216" s="1" t="n">
        <v>46284</v>
      </c>
      <c r="F216" t="inlineStr">
        <is>
          <t>VÄRMLANDS LÄN</t>
        </is>
      </c>
      <c r="G216" t="inlineStr">
        <is>
          <t>HAGFORS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46284</v>
      </c>
      <c r="F217" t="inlineStr">
        <is>
          <t>VÄRMLANDS LÄN</t>
        </is>
      </c>
      <c r="G217" t="inlineStr">
        <is>
          <t>HAGFORS</t>
        </is>
      </c>
      <c r="H217" t="inlineStr">
        <is>
          <t>Kyrkan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46284</v>
      </c>
      <c r="F218" t="inlineStr">
        <is>
          <t>VÄRMLANDS LÄN</t>
        </is>
      </c>
      <c r="G218" t="inlineStr">
        <is>
          <t>HAGFORS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46284</v>
      </c>
      <c r="F219" t="inlineStr">
        <is>
          <t>VÄRMLANDS LÄN</t>
        </is>
      </c>
      <c r="G219" t="inlineStr">
        <is>
          <t>HAGFORS</t>
        </is>
      </c>
      <c r="H219" t="inlineStr">
        <is>
          <t>Kyrkan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46284</v>
      </c>
      <c r="F220" t="inlineStr">
        <is>
          <t>VÄRMLANDS LÄN</t>
        </is>
      </c>
      <c r="G220" t="inlineStr">
        <is>
          <t>HAGFORS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32031-2024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45510</v>
      </c>
      <c r="E221" s="1" t="n">
        <v>46284</v>
      </c>
      <c r="F221" t="inlineStr">
        <is>
          <t>VÄRMLANDS LÄN</t>
        </is>
      </c>
      <c r="G221" t="inlineStr">
        <is>
          <t>HAGFORS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46284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15538-2024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45401</v>
      </c>
      <c r="E223" s="1" t="n">
        <v>46284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45425</v>
      </c>
      <c r="E224" s="1" t="n">
        <v>46284</v>
      </c>
      <c r="F224" t="inlineStr">
        <is>
          <t>VÄRMLANDS LÄN</t>
        </is>
      </c>
      <c r="G224" t="inlineStr">
        <is>
          <t>HAGFORS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36764-2025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45873</v>
      </c>
      <c r="E225" s="1" t="n">
        <v>46284</v>
      </c>
      <c r="F225" t="inlineStr">
        <is>
          <t>VÄRMLANDS LÄN</t>
        </is>
      </c>
      <c r="G225" t="inlineStr">
        <is>
          <t>HAGFORS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60974-2024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46284</v>
      </c>
      <c r="F226" t="inlineStr">
        <is>
          <t>VÄRMLANDS LÄN</t>
        </is>
      </c>
      <c r="G226" t="inlineStr">
        <is>
          <t>HAGFORS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26615-2024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46284</v>
      </c>
      <c r="F227" t="inlineStr">
        <is>
          <t>VÄRMLANDS LÄN</t>
        </is>
      </c>
      <c r="G227" t="inlineStr">
        <is>
          <t>HAGFORS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45739</v>
      </c>
      <c r="E228" s="1" t="n">
        <v>46284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62546-2022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44924</v>
      </c>
      <c r="E229" s="1" t="n">
        <v>46284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12291-2025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45729</v>
      </c>
      <c r="E230" s="1" t="n">
        <v>46284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45699</v>
      </c>
      <c r="E231" s="1" t="n">
        <v>46284</v>
      </c>
      <c r="F231" t="inlineStr">
        <is>
          <t>VÄRMLANDS LÄN</t>
        </is>
      </c>
      <c r="G231" t="inlineStr">
        <is>
          <t>HAGFORS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46284</v>
      </c>
      <c r="F232" t="inlineStr">
        <is>
          <t>VÄRMLANDS LÄN</t>
        </is>
      </c>
      <c r="G232" t="inlineStr">
        <is>
          <t>HAGFORS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44951</v>
      </c>
      <c r="E233" s="1" t="n">
        <v>46284</v>
      </c>
      <c r="F233" t="inlineStr">
        <is>
          <t>VÄRMLANDS LÄN</t>
        </is>
      </c>
      <c r="G233" t="inlineStr">
        <is>
          <t>HAGFORS</t>
        </is>
      </c>
      <c r="H233" t="inlineStr">
        <is>
          <t>Kyrkan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46284</v>
      </c>
      <c r="F234" t="inlineStr">
        <is>
          <t>VÄRMLANDS LÄN</t>
        </is>
      </c>
      <c r="G234" t="inlineStr">
        <is>
          <t>HAGFORS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46284</v>
      </c>
      <c r="F235" t="inlineStr">
        <is>
          <t>VÄRMLANDS LÄN</t>
        </is>
      </c>
      <c r="G235" t="inlineStr">
        <is>
          <t>HAGFORS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45772</v>
      </c>
      <c r="E236" s="1" t="n">
        <v>46284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45846</v>
      </c>
      <c r="E237" s="1" t="n">
        <v>46284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41739-2025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45902</v>
      </c>
      <c r="E238" s="1" t="n">
        <v>46284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45902</v>
      </c>
      <c r="E239" s="1" t="n">
        <v>46284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41809-2025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46284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46284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46284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45847</v>
      </c>
      <c r="E243" s="1" t="n">
        <v>46284</v>
      </c>
      <c r="F243" t="inlineStr">
        <is>
          <t>VÄRMLANDS LÄN</t>
        </is>
      </c>
      <c r="G243" t="inlineStr">
        <is>
          <t>HAGFORS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46284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68252-2021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44526</v>
      </c>
      <c r="E245" s="1" t="n">
        <v>46284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45097</v>
      </c>
      <c r="E246" s="1" t="n">
        <v>46284</v>
      </c>
      <c r="F246" t="inlineStr">
        <is>
          <t>VÄRMLANDS LÄN</t>
        </is>
      </c>
      <c r="G246" t="inlineStr">
        <is>
          <t>HAGFORS</t>
        </is>
      </c>
      <c r="H246" t="inlineStr">
        <is>
          <t>Kyrkan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45266</v>
      </c>
      <c r="E247" s="1" t="n">
        <v>46284</v>
      </c>
      <c r="F247" t="inlineStr">
        <is>
          <t>VÄRMLANDS LÄN</t>
        </is>
      </c>
      <c r="G247" t="inlineStr">
        <is>
          <t>HAGFORS</t>
        </is>
      </c>
      <c r="I247" t="n">
        <v>8.6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45769</v>
      </c>
      <c r="E248" s="1" t="n">
        <v>46284</v>
      </c>
      <c r="F248" t="inlineStr">
        <is>
          <t>VÄRMLANDS LÄN</t>
        </is>
      </c>
      <c r="G248" t="inlineStr">
        <is>
          <t>HAGFORS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45684</v>
      </c>
      <c r="E249" s="1" t="n">
        <v>46284</v>
      </c>
      <c r="F249" t="inlineStr">
        <is>
          <t>VÄRMLANDS LÄN</t>
        </is>
      </c>
      <c r="G249" t="inlineStr">
        <is>
          <t>HAGFORS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12434-2022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44638</v>
      </c>
      <c r="E250" s="1" t="n">
        <v>46284</v>
      </c>
      <c r="F250" t="inlineStr">
        <is>
          <t>VÄRMLANDS LÄN</t>
        </is>
      </c>
      <c r="G250" t="inlineStr">
        <is>
          <t>HAGFORS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46284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8.300000000000001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43084-2025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45909</v>
      </c>
      <c r="E252" s="1" t="n">
        <v>46284</v>
      </c>
      <c r="F252" t="inlineStr">
        <is>
          <t>VÄRMLANDS LÄN</t>
        </is>
      </c>
      <c r="G252" t="inlineStr">
        <is>
          <t>HAGFORS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46284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20594-2026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46284</v>
      </c>
      <c r="F254" t="inlineStr">
        <is>
          <t>VÄRMLANDS LÄN</t>
        </is>
      </c>
      <c r="G254" t="inlineStr">
        <is>
          <t>HAGFORS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46284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44824</v>
      </c>
      <c r="E256" s="1" t="n">
        <v>46284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46284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61265-2022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44915</v>
      </c>
      <c r="E258" s="1" t="n">
        <v>46284</v>
      </c>
      <c r="F258" t="inlineStr">
        <is>
          <t>VÄRMLANDS LÄN</t>
        </is>
      </c>
      <c r="G258" t="inlineStr">
        <is>
          <t>HAGFORS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46284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45833</v>
      </c>
      <c r="E260" s="1" t="n">
        <v>46284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23065-2025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45790</v>
      </c>
      <c r="E261" s="1" t="n">
        <v>46284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46141</v>
      </c>
      <c r="E262" s="1" t="n">
        <v>46284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20752-2026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46141</v>
      </c>
      <c r="E263" s="1" t="n">
        <v>46284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47021-2023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45201</v>
      </c>
      <c r="E264" s="1" t="n">
        <v>46284</v>
      </c>
      <c r="F264" t="inlineStr">
        <is>
          <t>VÄRMLANDS LÄN</t>
        </is>
      </c>
      <c r="G264" t="inlineStr">
        <is>
          <t>HAGFORS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45918</v>
      </c>
      <c r="E265" s="1" t="n">
        <v>46284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45684</v>
      </c>
      <c r="E266" s="1" t="n">
        <v>46284</v>
      </c>
      <c r="F266" t="inlineStr">
        <is>
          <t>VÄRMLANDS LÄN</t>
        </is>
      </c>
      <c r="G266" t="inlineStr">
        <is>
          <t>HAGFORS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71447-2021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44540</v>
      </c>
      <c r="E267" s="1" t="n">
        <v>46284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46284</v>
      </c>
      <c r="F268" t="inlineStr">
        <is>
          <t>VÄRMLANDS LÄN</t>
        </is>
      </c>
      <c r="G268" t="inlineStr">
        <is>
          <t>HAGFORS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46284</v>
      </c>
      <c r="F269" t="inlineStr">
        <is>
          <t>VÄRMLANDS LÄN</t>
        </is>
      </c>
      <c r="G269" t="inlineStr">
        <is>
          <t>HAGFORS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46284</v>
      </c>
      <c r="F270" t="inlineStr">
        <is>
          <t>VÄRMLANDS LÄN</t>
        </is>
      </c>
      <c r="G270" t="inlineStr">
        <is>
          <t>HAGFORS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7087-2026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46058</v>
      </c>
      <c r="E271" s="1" t="n">
        <v>46284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45720</v>
      </c>
      <c r="E272" s="1" t="n">
        <v>46284</v>
      </c>
      <c r="F272" t="inlineStr">
        <is>
          <t>VÄRMLANDS LÄN</t>
        </is>
      </c>
      <c r="G272" t="inlineStr">
        <is>
          <t>HAGFORS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46371-2025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45925</v>
      </c>
      <c r="E273" s="1" t="n">
        <v>46284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46284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46284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46284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45121</v>
      </c>
      <c r="E277" s="1" t="n">
        <v>46284</v>
      </c>
      <c r="F277" t="inlineStr">
        <is>
          <t>VÄRMLANDS LÄN</t>
        </is>
      </c>
      <c r="G277" t="inlineStr">
        <is>
          <t>HAGFORS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46141</v>
      </c>
      <c r="E278" s="1" t="n">
        <v>46284</v>
      </c>
      <c r="F278" t="inlineStr">
        <is>
          <t>VÄRMLANDS LÄN</t>
        </is>
      </c>
      <c r="G278" t="inlineStr">
        <is>
          <t>HAGFORS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46838-2025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45928</v>
      </c>
      <c r="E279" s="1" t="n">
        <v>46284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45927</v>
      </c>
      <c r="E280" s="1" t="n">
        <v>46284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46832-2025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45927</v>
      </c>
      <c r="E281" s="1" t="n">
        <v>46284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20880-2026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46142</v>
      </c>
      <c r="E282" s="1" t="n">
        <v>46284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46284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45684</v>
      </c>
      <c r="E284" s="1" t="n">
        <v>46284</v>
      </c>
      <c r="F284" t="inlineStr">
        <is>
          <t>VÄRMLANDS LÄN</t>
        </is>
      </c>
      <c r="G284" t="inlineStr">
        <is>
          <t>HAGFORS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31812-2024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45509</v>
      </c>
      <c r="E285" s="1" t="n">
        <v>46284</v>
      </c>
      <c r="F285" t="inlineStr">
        <is>
          <t>VÄRMLANDS LÄN</t>
        </is>
      </c>
      <c r="G285" t="inlineStr">
        <is>
          <t>HAGFORS</t>
        </is>
      </c>
      <c r="H285" t="inlineStr">
        <is>
          <t>Kommuner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46284</v>
      </c>
      <c r="F286" t="inlineStr">
        <is>
          <t>VÄRMLANDS LÄN</t>
        </is>
      </c>
      <c r="G286" t="inlineStr">
        <is>
          <t>HAGFORS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20911-2026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46142</v>
      </c>
      <c r="E287" s="1" t="n">
        <v>46284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46284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45623</v>
      </c>
      <c r="E289" s="1" t="n">
        <v>46284</v>
      </c>
      <c r="F289" t="inlineStr">
        <is>
          <t>VÄRMLANDS LÄN</t>
        </is>
      </c>
      <c r="G289" t="inlineStr">
        <is>
          <t>HAGFORS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46284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45087</v>
      </c>
      <c r="E291" s="1" t="n">
        <v>46284</v>
      </c>
      <c r="F291" t="inlineStr">
        <is>
          <t>VÄRMLANDS LÄN</t>
        </is>
      </c>
      <c r="G291" t="inlineStr">
        <is>
          <t>HAGFORS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48042-2025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45932</v>
      </c>
      <c r="E292" s="1" t="n">
        <v>46284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48134-2025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46284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48138-2025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46284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9.699999999999999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48176-2025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46284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45527</v>
      </c>
      <c r="E296" s="1" t="n">
        <v>46284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48108-2025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46284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46284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48809-2025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46284</v>
      </c>
      <c r="F299" t="inlineStr">
        <is>
          <t>VÄRMLANDS LÄN</t>
        </is>
      </c>
      <c r="G299" t="inlineStr">
        <is>
          <t>HAGFORS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46146</v>
      </c>
      <c r="E300" s="1" t="n">
        <v>46284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46284</v>
      </c>
      <c r="F301" t="inlineStr">
        <is>
          <t>VÄRMLANDS LÄN</t>
        </is>
      </c>
      <c r="G301" t="inlineStr">
        <is>
          <t>HAGFORS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44938</v>
      </c>
      <c r="E302" s="1" t="n">
        <v>46284</v>
      </c>
      <c r="F302" t="inlineStr">
        <is>
          <t>VÄRMLANDS LÄN</t>
        </is>
      </c>
      <c r="G302" t="inlineStr">
        <is>
          <t>HAGFORS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49533-2025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45939</v>
      </c>
      <c r="E303" s="1" t="n">
        <v>46284</v>
      </c>
      <c r="F303" t="inlineStr">
        <is>
          <t>VÄRMLANDS LÄN</t>
        </is>
      </c>
      <c r="G303" t="inlineStr">
        <is>
          <t>HAGFORS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29373-2023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45106</v>
      </c>
      <c r="E304" s="1" t="n">
        <v>46284</v>
      </c>
      <c r="F304" t="inlineStr">
        <is>
          <t>VÄRMLANDS LÄN</t>
        </is>
      </c>
      <c r="G304" t="inlineStr">
        <is>
          <t>HAGFORS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45941</v>
      </c>
      <c r="E305" s="1" t="n">
        <v>46284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21728-2026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46149</v>
      </c>
      <c r="E306" s="1" t="n">
        <v>46284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11126-2024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45371</v>
      </c>
      <c r="E307" s="1" t="n">
        <v>46284</v>
      </c>
      <c r="F307" t="inlineStr">
        <is>
          <t>VÄRMLANDS LÄN</t>
        </is>
      </c>
      <c r="G307" t="inlineStr">
        <is>
          <t>HAGFORS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45713</v>
      </c>
      <c r="E308" s="1" t="n">
        <v>46284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51160-2025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45947</v>
      </c>
      <c r="E309" s="1" t="n">
        <v>46284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50977-2025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45947</v>
      </c>
      <c r="E310" s="1" t="n">
        <v>46284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9.300000000000001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53192-2022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44876</v>
      </c>
      <c r="E311" s="1" t="n">
        <v>46284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46284</v>
      </c>
      <c r="F312" t="inlineStr">
        <is>
          <t>VÄRMLANDS LÄN</t>
        </is>
      </c>
      <c r="G312" t="inlineStr">
        <is>
          <t>HAGFORS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24638-2023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45084</v>
      </c>
      <c r="E313" s="1" t="n">
        <v>46284</v>
      </c>
      <c r="F313" t="inlineStr">
        <is>
          <t>VÄRMLANDS LÄN</t>
        </is>
      </c>
      <c r="G313" t="inlineStr">
        <is>
          <t>HAGFORS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46284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61902-2021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44502</v>
      </c>
      <c r="E315" s="1" t="n">
        <v>46284</v>
      </c>
      <c r="F315" t="inlineStr">
        <is>
          <t>VÄRMLANDS LÄN</t>
        </is>
      </c>
      <c r="G315" t="inlineStr">
        <is>
          <t>HAGFORS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46284</v>
      </c>
      <c r="F316" t="inlineStr">
        <is>
          <t>VÄRMLANDS LÄN</t>
        </is>
      </c>
      <c r="G316" t="inlineStr">
        <is>
          <t>HAGFORS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21879-2026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46150</v>
      </c>
      <c r="E317" s="1" t="n">
        <v>46284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45006</v>
      </c>
      <c r="E318" s="1" t="n">
        <v>46284</v>
      </c>
      <c r="F318" t="inlineStr">
        <is>
          <t>VÄRMLANDS LÄN</t>
        </is>
      </c>
      <c r="G318" t="inlineStr">
        <is>
          <t>HAGFORS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45949</v>
      </c>
      <c r="E319" s="1" t="n">
        <v>46284</v>
      </c>
      <c r="F319" t="inlineStr">
        <is>
          <t>VÄRMLANDS LÄN</t>
        </is>
      </c>
      <c r="G319" t="inlineStr">
        <is>
          <t>HAGFORS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21762-2026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46150</v>
      </c>
      <c r="E320" s="1" t="n">
        <v>46284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46284</v>
      </c>
      <c r="F321" t="inlineStr">
        <is>
          <t>VÄRMLANDS LÄN</t>
        </is>
      </c>
      <c r="G321" t="inlineStr">
        <is>
          <t>HAGFORS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17584-2023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45036</v>
      </c>
      <c r="E322" s="1" t="n">
        <v>46284</v>
      </c>
      <c r="F322" t="inlineStr">
        <is>
          <t>VÄRMLANDS LÄN</t>
        </is>
      </c>
      <c r="G322" t="inlineStr">
        <is>
          <t>HAGFORS</t>
        </is>
      </c>
      <c r="H322" t="inlineStr">
        <is>
          <t>Kommuner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52479-2025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45954</v>
      </c>
      <c r="E323" s="1" t="n">
        <v>46284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45954</v>
      </c>
      <c r="E324" s="1" t="n">
        <v>46284</v>
      </c>
      <c r="F324" t="inlineStr">
        <is>
          <t>VÄRMLANDS LÄN</t>
        </is>
      </c>
      <c r="G324" t="inlineStr">
        <is>
          <t>HAGFORS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54929-2024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45618</v>
      </c>
      <c r="E325" s="1" t="n">
        <v>46284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8496-2022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46284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46284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46284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61169-2024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45645</v>
      </c>
      <c r="E329" s="1" t="n">
        <v>46284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46150</v>
      </c>
      <c r="E330" s="1" t="n">
        <v>46284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54001-2025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45961</v>
      </c>
      <c r="E331" s="1" t="n">
        <v>46284</v>
      </c>
      <c r="F331" t="inlineStr">
        <is>
          <t>VÄRMLANDS LÄN</t>
        </is>
      </c>
      <c r="G331" t="inlineStr">
        <is>
          <t>HAGFORS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46284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46284</v>
      </c>
      <c r="F333" t="inlineStr">
        <is>
          <t>VÄRMLANDS LÄN</t>
        </is>
      </c>
      <c r="G333" t="inlineStr">
        <is>
          <t>HAGFORS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45461</v>
      </c>
      <c r="E334" s="1" t="n">
        <v>46284</v>
      </c>
      <c r="F334" t="inlineStr">
        <is>
          <t>VÄRMLANDS LÄN</t>
        </is>
      </c>
      <c r="G334" t="inlineStr">
        <is>
          <t>HAGFORS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46284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8129-2024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45351</v>
      </c>
      <c r="E336" s="1" t="n">
        <v>46284</v>
      </c>
      <c r="F336" t="inlineStr">
        <is>
          <t>VÄRMLANDS LÄN</t>
        </is>
      </c>
      <c r="G336" t="inlineStr">
        <is>
          <t>HAGFORS</t>
        </is>
      </c>
      <c r="H336" t="inlineStr">
        <is>
          <t>Kyrkan</t>
        </is>
      </c>
      <c r="I336" t="n">
        <v>10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45152</v>
      </c>
      <c r="E337" s="1" t="n">
        <v>46284</v>
      </c>
      <c r="F337" t="inlineStr">
        <is>
          <t>VÄRMLANDS LÄN</t>
        </is>
      </c>
      <c r="G337" t="inlineStr">
        <is>
          <t>HAGFORS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46155</v>
      </c>
      <c r="E338" s="1" t="n">
        <v>46284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22588-2026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46155</v>
      </c>
      <c r="E339" s="1" t="n">
        <v>46284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46284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46284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46284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20444-2024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45435</v>
      </c>
      <c r="E343" s="1" t="n">
        <v>46284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45148</v>
      </c>
      <c r="E344" s="1" t="n">
        <v>46284</v>
      </c>
      <c r="F344" t="inlineStr">
        <is>
          <t>VÄRMLANDS LÄN</t>
        </is>
      </c>
      <c r="G344" t="inlineStr">
        <is>
          <t>HAGFORS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55001-2025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45967</v>
      </c>
      <c r="E345" s="1" t="n">
        <v>46284</v>
      </c>
      <c r="F345" t="inlineStr">
        <is>
          <t>VÄRMLANDS LÄN</t>
        </is>
      </c>
      <c r="G345" t="inlineStr">
        <is>
          <t>HAGFORS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45971</v>
      </c>
      <c r="E346" s="1" t="n">
        <v>46284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46155</v>
      </c>
      <c r="E347" s="1" t="n">
        <v>46284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55480-2025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46284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45968</v>
      </c>
      <c r="E349" s="1" t="n">
        <v>46284</v>
      </c>
      <c r="F349" t="inlineStr">
        <is>
          <t>VÄRMLANDS LÄN</t>
        </is>
      </c>
      <c r="G349" t="inlineStr">
        <is>
          <t>HAGFORS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59048-2022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44903</v>
      </c>
      <c r="E350" s="1" t="n">
        <v>46284</v>
      </c>
      <c r="F350" t="inlineStr">
        <is>
          <t>VÄRMLANDS LÄN</t>
        </is>
      </c>
      <c r="G350" t="inlineStr">
        <is>
          <t>HAGFORS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46284</v>
      </c>
      <c r="F351" t="inlineStr">
        <is>
          <t>VÄRMLANDS LÄN</t>
        </is>
      </c>
      <c r="G351" t="inlineStr">
        <is>
          <t>HAGFORS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46284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46284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21155-2023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45057</v>
      </c>
      <c r="E354" s="1" t="n">
        <v>46284</v>
      </c>
      <c r="F354" t="inlineStr">
        <is>
          <t>VÄRMLANDS LÄN</t>
        </is>
      </c>
      <c r="G354" t="inlineStr">
        <is>
          <t>HAGFORS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17884-2025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46284</v>
      </c>
      <c r="F355" t="inlineStr">
        <is>
          <t>VÄRMLANDS LÄN</t>
        </is>
      </c>
      <c r="G355" t="inlineStr">
        <is>
          <t>HAGFORS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46284</v>
      </c>
      <c r="F356" t="inlineStr">
        <is>
          <t>VÄRMLANDS LÄN</t>
        </is>
      </c>
      <c r="G356" t="inlineStr">
        <is>
          <t>HAGFORS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19554-2024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45429</v>
      </c>
      <c r="E357" s="1" t="n">
        <v>46284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46284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57198-2025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46284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30710-2022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44763</v>
      </c>
      <c r="E360" s="1" t="n">
        <v>46284</v>
      </c>
      <c r="F360" t="inlineStr">
        <is>
          <t>VÄRMLANDS LÄN</t>
        </is>
      </c>
      <c r="G360" t="inlineStr">
        <is>
          <t>HAGFORS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52830-2023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45226</v>
      </c>
      <c r="E361" s="1" t="n">
        <v>46284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28087-2024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45476</v>
      </c>
      <c r="E362" s="1" t="n">
        <v>46284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45980</v>
      </c>
      <c r="E363" s="1" t="n">
        <v>46284</v>
      </c>
      <c r="F363" t="inlineStr">
        <is>
          <t>VÄRMLANDS LÄN</t>
        </is>
      </c>
      <c r="G363" t="inlineStr">
        <is>
          <t>HAGFORS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18213-2024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45420</v>
      </c>
      <c r="E364" s="1" t="n">
        <v>46284</v>
      </c>
      <c r="F364" t="inlineStr">
        <is>
          <t>VÄRMLANDS LÄN</t>
        </is>
      </c>
      <c r="G364" t="inlineStr">
        <is>
          <t>HAGFORS</t>
        </is>
      </c>
      <c r="I364" t="n">
        <v>11.5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46284</v>
      </c>
      <c r="F365" t="inlineStr">
        <is>
          <t>VÄRMLANDS LÄN</t>
        </is>
      </c>
      <c r="G365" t="inlineStr">
        <is>
          <t>HAGFORS</t>
        </is>
      </c>
      <c r="H365" t="inlineStr">
        <is>
          <t>Kyrkan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57814-2025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45981</v>
      </c>
      <c r="E366" s="1" t="n">
        <v>46284</v>
      </c>
      <c r="F366" t="inlineStr">
        <is>
          <t>VÄRMLANDS LÄN</t>
        </is>
      </c>
      <c r="G366" t="inlineStr">
        <is>
          <t>HAGFORS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22648-2026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46155</v>
      </c>
      <c r="E367" s="1" t="n">
        <v>46284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46155</v>
      </c>
      <c r="E368" s="1" t="n">
        <v>46284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10.4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58278-2025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46284</v>
      </c>
      <c r="F369" t="inlineStr">
        <is>
          <t>VÄRMLANDS LÄN</t>
        </is>
      </c>
      <c r="G369" t="inlineStr">
        <is>
          <t>HAGFORS</t>
        </is>
      </c>
      <c r="H369" t="inlineStr">
        <is>
          <t>Kyrkan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10382-2025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45720</v>
      </c>
      <c r="E370" s="1" t="n">
        <v>46284</v>
      </c>
      <c r="F370" t="inlineStr">
        <is>
          <t>VÄRMLANDS LÄN</t>
        </is>
      </c>
      <c r="G370" t="inlineStr">
        <is>
          <t>HAGFORS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6437-2024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45338</v>
      </c>
      <c r="E371" s="1" t="n">
        <v>46284</v>
      </c>
      <c r="F371" t="inlineStr">
        <is>
          <t>VÄRMLANDS LÄN</t>
        </is>
      </c>
      <c r="G371" t="inlineStr">
        <is>
          <t>HAGFORS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9795-2023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44984</v>
      </c>
      <c r="E372" s="1" t="n">
        <v>46284</v>
      </c>
      <c r="F372" t="inlineStr">
        <is>
          <t>VÄRMLANDS LÄN</t>
        </is>
      </c>
      <c r="G372" t="inlineStr">
        <is>
          <t>HAGFORS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45525</v>
      </c>
      <c r="E373" s="1" t="n">
        <v>46284</v>
      </c>
      <c r="F373" t="inlineStr">
        <is>
          <t>VÄRMLANDS LÄN</t>
        </is>
      </c>
      <c r="G373" t="inlineStr">
        <is>
          <t>HAGFORS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46284</v>
      </c>
      <c r="F374" t="inlineStr">
        <is>
          <t>VÄRMLANDS LÄN</t>
        </is>
      </c>
      <c r="G374" t="inlineStr">
        <is>
          <t>HAGFORS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46029</v>
      </c>
      <c r="E375" s="1" t="n">
        <v>46284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8.800000000000001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59047-2025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45988</v>
      </c>
      <c r="E376" s="1" t="n">
        <v>46284</v>
      </c>
      <c r="F376" t="inlineStr">
        <is>
          <t>VÄRMLANDS LÄN</t>
        </is>
      </c>
      <c r="G376" t="inlineStr">
        <is>
          <t>HAGFORS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35994-2024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45533</v>
      </c>
      <c r="E377" s="1" t="n">
        <v>46284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65065-2023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45287</v>
      </c>
      <c r="E378" s="1" t="n">
        <v>46284</v>
      </c>
      <c r="F378" t="inlineStr">
        <is>
          <t>VÄRMLANDS LÄN</t>
        </is>
      </c>
      <c r="G378" t="inlineStr">
        <is>
          <t>HAGFORS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23016-2026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46284</v>
      </c>
      <c r="F379" t="inlineStr">
        <is>
          <t>VÄRMLANDS LÄN</t>
        </is>
      </c>
      <c r="G379" t="inlineStr">
        <is>
          <t>HAGFORS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46284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8.699999999999999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22925-2026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46160</v>
      </c>
      <c r="E381" s="1" t="n">
        <v>46284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53443-2024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45614</v>
      </c>
      <c r="E382" s="1" t="n">
        <v>46284</v>
      </c>
      <c r="F382" t="inlineStr">
        <is>
          <t>VÄRMLANDS LÄN</t>
        </is>
      </c>
      <c r="G382" t="inlineStr">
        <is>
          <t>HAGFORS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52923-2023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45226</v>
      </c>
      <c r="E383" s="1" t="n">
        <v>46284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22917-2026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46160</v>
      </c>
      <c r="E384" s="1" t="n">
        <v>46284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19072-2025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45765</v>
      </c>
      <c r="E385" s="1" t="n">
        <v>46284</v>
      </c>
      <c r="F385" t="inlineStr">
        <is>
          <t>VÄRMLANDS LÄN</t>
        </is>
      </c>
      <c r="G385" t="inlineStr">
        <is>
          <t>HAGFORS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31087-2024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45502</v>
      </c>
      <c r="E386" s="1" t="n">
        <v>46284</v>
      </c>
      <c r="F386" t="inlineStr">
        <is>
          <t>VÄRMLANDS LÄN</t>
        </is>
      </c>
      <c r="G386" t="inlineStr">
        <is>
          <t>HAGFORS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23549-2026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46284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51915-2023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45223</v>
      </c>
      <c r="E388" s="1" t="n">
        <v>46284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51015-2025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45947</v>
      </c>
      <c r="E389" s="1" t="n">
        <v>46284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8.9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56165-2024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45624</v>
      </c>
      <c r="E390" s="1" t="n">
        <v>46284</v>
      </c>
      <c r="F390" t="inlineStr">
        <is>
          <t>VÄRMLANDS LÄN</t>
        </is>
      </c>
      <c r="G390" t="inlineStr">
        <is>
          <t>HAGFORS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36494-2025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45869</v>
      </c>
      <c r="E391" s="1" t="n">
        <v>46284</v>
      </c>
      <c r="F391" t="inlineStr">
        <is>
          <t>VÄRMLANDS LÄN</t>
        </is>
      </c>
      <c r="G391" t="inlineStr">
        <is>
          <t>HAGFORS</t>
        </is>
      </c>
      <c r="H391" t="inlineStr">
        <is>
          <t>Kyrkan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14435-2025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45741</v>
      </c>
      <c r="E392" s="1" t="n">
        <v>46284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27826-2024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45475</v>
      </c>
      <c r="E393" s="1" t="n">
        <v>46284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45475</v>
      </c>
      <c r="E394" s="1" t="n">
        <v>46284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45534</v>
      </c>
      <c r="E395" s="1" t="n">
        <v>46284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36228-2024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45534</v>
      </c>
      <c r="E396" s="1" t="n">
        <v>46284</v>
      </c>
      <c r="F396" t="inlineStr">
        <is>
          <t>VÄRMLANDS LÄN</t>
        </is>
      </c>
      <c r="G396" t="inlineStr">
        <is>
          <t>HAGFORS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3149-2022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44582</v>
      </c>
      <c r="E397" s="1" t="n">
        <v>46284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46284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60606-2025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45996</v>
      </c>
      <c r="E399" s="1" t="n">
        <v>46284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60841-2025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46284</v>
      </c>
      <c r="F400" t="inlineStr">
        <is>
          <t>VÄRMLANDS LÄN</t>
        </is>
      </c>
      <c r="G400" t="inlineStr">
        <is>
          <t>HAGFORS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60648-2025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45996</v>
      </c>
      <c r="E401" s="1" t="n">
        <v>46284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23269-2026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46162</v>
      </c>
      <c r="E402" s="1" t="n">
        <v>46284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20103-2024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45434</v>
      </c>
      <c r="E403" s="1" t="n">
        <v>46284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45725</v>
      </c>
      <c r="E404" s="1" t="n">
        <v>46284</v>
      </c>
      <c r="F404" t="inlineStr">
        <is>
          <t>VÄRMLANDS LÄN</t>
        </is>
      </c>
      <c r="G404" t="inlineStr">
        <is>
          <t>HAGFORS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15270-2024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45400</v>
      </c>
      <c r="E405" s="1" t="n">
        <v>46284</v>
      </c>
      <c r="F405" t="inlineStr">
        <is>
          <t>VÄRMLANDS LÄN</t>
        </is>
      </c>
      <c r="G405" t="inlineStr">
        <is>
          <t>HAGFORS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46426-2024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45582</v>
      </c>
      <c r="E406" s="1" t="n">
        <v>46284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15.8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61843-2025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46003</v>
      </c>
      <c r="E407" s="1" t="n">
        <v>46284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46284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23728-2026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46164</v>
      </c>
      <c r="E409" s="1" t="n">
        <v>46284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61718-2025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46002</v>
      </c>
      <c r="E410" s="1" t="n">
        <v>46284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44567</v>
      </c>
      <c r="E411" s="1" t="n">
        <v>46284</v>
      </c>
      <c r="F411" t="inlineStr">
        <is>
          <t>VÄRMLANDS LÄN</t>
        </is>
      </c>
      <c r="G411" t="inlineStr">
        <is>
          <t>HAGFORS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61787-2025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46002</v>
      </c>
      <c r="E412" s="1" t="n">
        <v>46284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34636-2024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45526</v>
      </c>
      <c r="E413" s="1" t="n">
        <v>46284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61998-2025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46003</v>
      </c>
      <c r="E414" s="1" t="n">
        <v>46284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61910-2025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46003</v>
      </c>
      <c r="E415" s="1" t="n">
        <v>46284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62542-2025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46007</v>
      </c>
      <c r="E416" s="1" t="n">
        <v>46284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62240-2025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46006</v>
      </c>
      <c r="E417" s="1" t="n">
        <v>46284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23678-2026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46164</v>
      </c>
      <c r="E418" s="1" t="n">
        <v>46284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62168-2025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46006</v>
      </c>
      <c r="E419" s="1" t="n">
        <v>46284</v>
      </c>
      <c r="F419" t="inlineStr">
        <is>
          <t>VÄRMLANDS LÄN</t>
        </is>
      </c>
      <c r="G419" t="inlineStr">
        <is>
          <t>HAGFORS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46006</v>
      </c>
      <c r="E420" s="1" t="n">
        <v>46284</v>
      </c>
      <c r="F420" t="inlineStr">
        <is>
          <t>VÄRMLANDS LÄN</t>
        </is>
      </c>
      <c r="G420" t="inlineStr">
        <is>
          <t>HAGFORS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62125-2025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46006</v>
      </c>
      <c r="E421" s="1" t="n">
        <v>46284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30635-2025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45831</v>
      </c>
      <c r="E422" s="1" t="n">
        <v>46284</v>
      </c>
      <c r="F422" t="inlineStr">
        <is>
          <t>VÄRMLANDS LÄN</t>
        </is>
      </c>
      <c r="G422" t="inlineStr">
        <is>
          <t>HAGFORS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46284</v>
      </c>
      <c r="F423" t="inlineStr">
        <is>
          <t>VÄRMLANDS LÄN</t>
        </is>
      </c>
      <c r="G423" t="inlineStr">
        <is>
          <t>HAGFORS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45140</v>
      </c>
      <c r="E424" s="1" t="n">
        <v>46284</v>
      </c>
      <c r="F424" t="inlineStr">
        <is>
          <t>VÄRMLANDS LÄN</t>
        </is>
      </c>
      <c r="G424" t="inlineStr">
        <is>
          <t>HAGFORS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45741</v>
      </c>
      <c r="E425" s="1" t="n">
        <v>46284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62632-2025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46008</v>
      </c>
      <c r="E426" s="1" t="n">
        <v>46284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62749-2025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46008</v>
      </c>
      <c r="E427" s="1" t="n">
        <v>46284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54757-2022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44883</v>
      </c>
      <c r="E428" s="1" t="n">
        <v>46284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17.9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46284</v>
      </c>
      <c r="F429" t="inlineStr">
        <is>
          <t>VÄRMLANDS LÄN</t>
        </is>
      </c>
      <c r="G429" t="inlineStr">
        <is>
          <t>HAGFORS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24238-2026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46284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63301-2025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46010</v>
      </c>
      <c r="E431" s="1" t="n">
        <v>46284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63361-2025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46010</v>
      </c>
      <c r="E432" s="1" t="n">
        <v>46284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45238-2024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45575</v>
      </c>
      <c r="E433" s="1" t="n">
        <v>46284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63285-2025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46284</v>
      </c>
      <c r="F434" t="inlineStr">
        <is>
          <t>VÄRMLANDS LÄN</t>
        </is>
      </c>
      <c r="G434" t="inlineStr">
        <is>
          <t>HAGFORS</t>
        </is>
      </c>
      <c r="H434" t="inlineStr">
        <is>
          <t>Bergvik skog väst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59449-2024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45638</v>
      </c>
      <c r="E435" s="1" t="n">
        <v>46284</v>
      </c>
      <c r="F435" t="inlineStr">
        <is>
          <t>VÄRMLANDS LÄN</t>
        </is>
      </c>
      <c r="G435" t="inlineStr">
        <is>
          <t>HAGFORS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45155</v>
      </c>
      <c r="E436" s="1" t="n">
        <v>46284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24240-2026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46284</v>
      </c>
      <c r="F437" t="inlineStr">
        <is>
          <t>VÄRMLANDS LÄN</t>
        </is>
      </c>
      <c r="G437" t="inlineStr">
        <is>
          <t>HAGFORS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37463-2022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44809</v>
      </c>
      <c r="E438" s="1" t="n">
        <v>46284</v>
      </c>
      <c r="F438" t="inlineStr">
        <is>
          <t>VÄRMLANDS LÄN</t>
        </is>
      </c>
      <c r="G438" t="inlineStr">
        <is>
          <t>HAGFORS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62461-2023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45268</v>
      </c>
      <c r="E439" s="1" t="n">
        <v>46284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45057</v>
      </c>
      <c r="E440" s="1" t="n">
        <v>46284</v>
      </c>
      <c r="F440" t="inlineStr">
        <is>
          <t>VÄRMLANDS LÄN</t>
        </is>
      </c>
      <c r="G440" t="inlineStr">
        <is>
          <t>HAGFORS</t>
        </is>
      </c>
      <c r="H440" t="inlineStr">
        <is>
          <t>Kyrkan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63834-2025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46020</v>
      </c>
      <c r="E441" s="1" t="n">
        <v>46284</v>
      </c>
      <c r="F441" t="inlineStr">
        <is>
          <t>VÄRMLANDS LÄN</t>
        </is>
      </c>
      <c r="G441" t="inlineStr">
        <is>
          <t>HAGFORS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53813-2024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45615</v>
      </c>
      <c r="E442" s="1" t="n">
        <v>46284</v>
      </c>
      <c r="F442" t="inlineStr">
        <is>
          <t>VÄRMLANDS LÄN</t>
        </is>
      </c>
      <c r="G442" t="inlineStr">
        <is>
          <t>HAGFORS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63831-2025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46020</v>
      </c>
      <c r="E443" s="1" t="n">
        <v>46284</v>
      </c>
      <c r="F443" t="inlineStr">
        <is>
          <t>VÄRMLANDS LÄN</t>
        </is>
      </c>
      <c r="G443" t="inlineStr">
        <is>
          <t>HAGFORS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46018</v>
      </c>
      <c r="E444" s="1" t="n">
        <v>46284</v>
      </c>
      <c r="F444" t="inlineStr">
        <is>
          <t>VÄRMLANDS LÄN</t>
        </is>
      </c>
      <c r="G444" t="inlineStr">
        <is>
          <t>HAGFORS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63765-2025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46018</v>
      </c>
      <c r="E445" s="1" t="n">
        <v>46284</v>
      </c>
      <c r="F445" t="inlineStr">
        <is>
          <t>VÄRMLANDS LÄN</t>
        </is>
      </c>
      <c r="G445" t="inlineStr">
        <is>
          <t>HAGFORS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26859-2024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45470</v>
      </c>
      <c r="E446" s="1" t="n">
        <v>46284</v>
      </c>
      <c r="F446" t="inlineStr">
        <is>
          <t>VÄRMLANDS LÄN</t>
        </is>
      </c>
      <c r="G446" t="inlineStr">
        <is>
          <t>HAGFORS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63875-2025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46020</v>
      </c>
      <c r="E447" s="1" t="n">
        <v>46284</v>
      </c>
      <c r="F447" t="inlineStr">
        <is>
          <t>VÄRMLANDS LÄN</t>
        </is>
      </c>
      <c r="G447" t="inlineStr">
        <is>
          <t>HAGFORS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42175-2024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45562</v>
      </c>
      <c r="E448" s="1" t="n">
        <v>46284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25258-2023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45079</v>
      </c>
      <c r="E449" s="1" t="n">
        <v>46284</v>
      </c>
      <c r="F449" t="inlineStr">
        <is>
          <t>VÄRMLANDS LÄN</t>
        </is>
      </c>
      <c r="G449" t="inlineStr">
        <is>
          <t>HAGFORS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48807-2025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45937</v>
      </c>
      <c r="E450" s="1" t="n">
        <v>46284</v>
      </c>
      <c r="F450" t="inlineStr">
        <is>
          <t>VÄRMLANDS LÄN</t>
        </is>
      </c>
      <c r="G450" t="inlineStr">
        <is>
          <t>HAGFORS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46029</v>
      </c>
      <c r="E451" s="1" t="n">
        <v>46284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22.7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24625-2026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46171</v>
      </c>
      <c r="E452" s="1" t="n">
        <v>46284</v>
      </c>
      <c r="F452" t="inlineStr">
        <is>
          <t>VÄRMLANDS LÄN</t>
        </is>
      </c>
      <c r="G452" t="inlineStr">
        <is>
          <t>HAGFORS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45441</v>
      </c>
      <c r="E453" s="1" t="n">
        <v>46284</v>
      </c>
      <c r="F453" t="inlineStr">
        <is>
          <t>VÄRMLANDS LÄN</t>
        </is>
      </c>
      <c r="G453" t="inlineStr">
        <is>
          <t>HAGFORS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975-2026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46030</v>
      </c>
      <c r="E454" s="1" t="n">
        <v>46284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46284</v>
      </c>
      <c r="F455" t="inlineStr">
        <is>
          <t>VÄRMLANDS LÄN</t>
        </is>
      </c>
      <c r="G455" t="inlineStr">
        <is>
          <t>HAGFORS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32147-2023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45107</v>
      </c>
      <c r="E456" s="1" t="n">
        <v>46284</v>
      </c>
      <c r="F456" t="inlineStr">
        <is>
          <t>VÄRMLANDS LÄN</t>
        </is>
      </c>
      <c r="G456" t="inlineStr">
        <is>
          <t>HAGFORS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24862-2026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46284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9.699999999999999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46284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16.8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24677-2026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46171</v>
      </c>
      <c r="E459" s="1" t="n">
        <v>46284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24761-2026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46171</v>
      </c>
      <c r="E460" s="1" t="n">
        <v>46284</v>
      </c>
      <c r="F460" t="inlineStr">
        <is>
          <t>VÄRMLANDS LÄN</t>
        </is>
      </c>
      <c r="G460" t="inlineStr">
        <is>
          <t>HAGFORS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49766-2023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45212</v>
      </c>
      <c r="E461" s="1" t="n">
        <v>46284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24628-2026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46171</v>
      </c>
      <c r="E462" s="1" t="n">
        <v>46284</v>
      </c>
      <c r="F462" t="inlineStr">
        <is>
          <t>VÄRMLANDS LÄN</t>
        </is>
      </c>
      <c r="G462" t="inlineStr">
        <is>
          <t>HAGFORS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47516-2023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45203</v>
      </c>
      <c r="E463" s="1" t="n">
        <v>46284</v>
      </c>
      <c r="F463" t="inlineStr">
        <is>
          <t>VÄRMLANDS LÄN</t>
        </is>
      </c>
      <c r="G463" t="inlineStr">
        <is>
          <t>HAGFORS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31657-2024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45506</v>
      </c>
      <c r="E464" s="1" t="n">
        <v>46284</v>
      </c>
      <c r="F464" t="inlineStr">
        <is>
          <t>VÄRMLANDS LÄN</t>
        </is>
      </c>
      <c r="G464" t="inlineStr">
        <is>
          <t>HAGFORS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24778-2026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46171</v>
      </c>
      <c r="E465" s="1" t="n">
        <v>46284</v>
      </c>
      <c r="F465" t="inlineStr">
        <is>
          <t>VÄRMLANDS LÄN</t>
        </is>
      </c>
      <c r="G465" t="inlineStr">
        <is>
          <t>HAGFORS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24699-2026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46171</v>
      </c>
      <c r="E466" s="1" t="n">
        <v>46284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44951</v>
      </c>
      <c r="E467" s="1" t="n">
        <v>46284</v>
      </c>
      <c r="F467" t="inlineStr">
        <is>
          <t>VÄRMLANDS LÄN</t>
        </is>
      </c>
      <c r="G467" t="inlineStr">
        <is>
          <t>HAGFORS</t>
        </is>
      </c>
      <c r="H467" t="inlineStr">
        <is>
          <t>Kommuner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64936-2023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45282</v>
      </c>
      <c r="E468" s="1" t="n">
        <v>46284</v>
      </c>
      <c r="F468" t="inlineStr">
        <is>
          <t>VÄRMLANDS LÄN</t>
        </is>
      </c>
      <c r="G468" t="inlineStr">
        <is>
          <t>HAGFORS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3996-2025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45684</v>
      </c>
      <c r="E469" s="1" t="n">
        <v>46284</v>
      </c>
      <c r="F469" t="inlineStr">
        <is>
          <t>VÄRMLANDS LÄN</t>
        </is>
      </c>
      <c r="G469" t="inlineStr">
        <is>
          <t>HAGFORS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45436</v>
      </c>
      <c r="E470" s="1" t="n">
        <v>46284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3426-2023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44949</v>
      </c>
      <c r="E471" s="1" t="n">
        <v>46284</v>
      </c>
      <c r="F471" t="inlineStr">
        <is>
          <t>VÄRMLANDS LÄN</t>
        </is>
      </c>
      <c r="G471" t="inlineStr">
        <is>
          <t>HAGFORS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44906-2024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45575</v>
      </c>
      <c r="E472" s="1" t="n">
        <v>46284</v>
      </c>
      <c r="F472" t="inlineStr">
        <is>
          <t>VÄRMLANDS LÄN</t>
        </is>
      </c>
      <c r="G472" t="inlineStr">
        <is>
          <t>HAGFORS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24626-2026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46171</v>
      </c>
      <c r="E473" s="1" t="n">
        <v>46284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46048</v>
      </c>
      <c r="E474" s="1" t="n">
        <v>46284</v>
      </c>
      <c r="F474" t="inlineStr">
        <is>
          <t>VÄRMLANDS LÄN</t>
        </is>
      </c>
      <c r="G474" t="inlineStr">
        <is>
          <t>HAGFORS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30327-2022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44760</v>
      </c>
      <c r="E475" s="1" t="n">
        <v>46284</v>
      </c>
      <c r="F475" t="inlineStr">
        <is>
          <t>VÄRMLANDS LÄN</t>
        </is>
      </c>
      <c r="G475" t="inlineStr">
        <is>
          <t>HAGFORS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24713-2026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46171</v>
      </c>
      <c r="E476" s="1" t="n">
        <v>46284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46048</v>
      </c>
      <c r="E477" s="1" t="n">
        <v>46284</v>
      </c>
      <c r="F477" t="inlineStr">
        <is>
          <t>VÄRMLANDS LÄN</t>
        </is>
      </c>
      <c r="G477" t="inlineStr">
        <is>
          <t>HAGFORS</t>
        </is>
      </c>
      <c r="I477" t="n">
        <v>13.1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46284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6.8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19583-2023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45050</v>
      </c>
      <c r="E479" s="1" t="n">
        <v>46284</v>
      </c>
      <c r="F479" t="inlineStr">
        <is>
          <t>VÄRMLANDS LÄN</t>
        </is>
      </c>
      <c r="G479" t="inlineStr">
        <is>
          <t>HAGFORS</t>
        </is>
      </c>
      <c r="H479" t="inlineStr">
        <is>
          <t>Kommuner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46050</v>
      </c>
      <c r="E480" s="1" t="n">
        <v>46284</v>
      </c>
      <c r="F480" t="inlineStr">
        <is>
          <t>VÄRMLANDS LÄN</t>
        </is>
      </c>
      <c r="G480" t="inlineStr">
        <is>
          <t>HAGFORS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5371-2026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46050</v>
      </c>
      <c r="E481" s="1" t="n">
        <v>46284</v>
      </c>
      <c r="F481" t="inlineStr">
        <is>
          <t>VÄRMLANDS LÄN</t>
        </is>
      </c>
      <c r="G481" t="inlineStr">
        <is>
          <t>HAGFORS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46050</v>
      </c>
      <c r="E482" s="1" t="n">
        <v>46284</v>
      </c>
      <c r="F482" t="inlineStr">
        <is>
          <t>VÄRMLANDS LÄN</t>
        </is>
      </c>
      <c r="G482" t="inlineStr">
        <is>
          <t>HAGFORS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5263-2026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46050</v>
      </c>
      <c r="E483" s="1" t="n">
        <v>46284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46050</v>
      </c>
      <c r="E484" s="1" t="n">
        <v>46284</v>
      </c>
      <c r="F484" t="inlineStr">
        <is>
          <t>VÄRMLANDS LÄN</t>
        </is>
      </c>
      <c r="G484" t="inlineStr">
        <is>
          <t>HAGFORS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5298-2026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46050</v>
      </c>
      <c r="E485" s="1" t="n">
        <v>46284</v>
      </c>
      <c r="F485" t="inlineStr">
        <is>
          <t>VÄRMLANDS LÄN</t>
        </is>
      </c>
      <c r="G485" t="inlineStr">
        <is>
          <t>HAGFORS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46176</v>
      </c>
      <c r="E486" s="1" t="n">
        <v>46284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25583-2026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46177</v>
      </c>
      <c r="E487" s="1" t="n">
        <v>46284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46284</v>
      </c>
      <c r="F488" t="inlineStr">
        <is>
          <t>VÄRMLANDS LÄN</t>
        </is>
      </c>
      <c r="G488" t="inlineStr">
        <is>
          <t>HAGFORS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46178</v>
      </c>
      <c r="E489" s="1" t="n">
        <v>46284</v>
      </c>
      <c r="F489" t="inlineStr">
        <is>
          <t>VÄRMLANDS LÄN</t>
        </is>
      </c>
      <c r="G489" t="inlineStr">
        <is>
          <t>HAGFORS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39029-2022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44817</v>
      </c>
      <c r="E490" s="1" t="n">
        <v>46284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3669-2025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45681</v>
      </c>
      <c r="E491" s="1" t="n">
        <v>46284</v>
      </c>
      <c r="F491" t="inlineStr">
        <is>
          <t>VÄRMLANDS LÄN</t>
        </is>
      </c>
      <c r="G491" t="inlineStr">
        <is>
          <t>HAGFORS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15228-2024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45400</v>
      </c>
      <c r="E492" s="1" t="n">
        <v>46284</v>
      </c>
      <c r="F492" t="inlineStr">
        <is>
          <t>VÄRMLANDS LÄN</t>
        </is>
      </c>
      <c r="G492" t="inlineStr">
        <is>
          <t>HAGFORS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7000-2026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46057</v>
      </c>
      <c r="E493" s="1" t="n">
        <v>46284</v>
      </c>
      <c r="F493" t="inlineStr">
        <is>
          <t>VÄRMLANDS LÄN</t>
        </is>
      </c>
      <c r="G493" t="inlineStr">
        <is>
          <t>HAGFORS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45373</v>
      </c>
      <c r="E494" s="1" t="n">
        <v>46284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34541-2024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45525</v>
      </c>
      <c r="E495" s="1" t="n">
        <v>46284</v>
      </c>
      <c r="F495" t="inlineStr">
        <is>
          <t>VÄRMLANDS LÄN</t>
        </is>
      </c>
      <c r="G495" t="inlineStr">
        <is>
          <t>HAGFORS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25589-2026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46284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25560-2026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46284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8555-2026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46065</v>
      </c>
      <c r="E498" s="1" t="n">
        <v>46284</v>
      </c>
      <c r="F498" t="inlineStr">
        <is>
          <t>VÄRMLANDS LÄN</t>
        </is>
      </c>
      <c r="G498" t="inlineStr">
        <is>
          <t>HAGFORS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26342-2026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46284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36.8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26012-2026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46284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26019-2026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46181</v>
      </c>
      <c r="E501" s="1" t="n">
        <v>46284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30180-2023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45110</v>
      </c>
      <c r="E502" s="1" t="n">
        <v>46284</v>
      </c>
      <c r="F502" t="inlineStr">
        <is>
          <t>VÄRMLANDS LÄN</t>
        </is>
      </c>
      <c r="G502" t="inlineStr">
        <is>
          <t>HAGFORS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58808-2022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44903</v>
      </c>
      <c r="E503" s="1" t="n">
        <v>46284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26265-2026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46284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9769-2026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46284</v>
      </c>
      <c r="F505" t="inlineStr">
        <is>
          <t>VÄRMLANDS LÄN</t>
        </is>
      </c>
      <c r="G505" t="inlineStr">
        <is>
          <t>HAGFORS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26350-2026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46284</v>
      </c>
      <c r="F506" t="inlineStr">
        <is>
          <t>VÄRMLANDS LÄN</t>
        </is>
      </c>
      <c r="G506" t="inlineStr">
        <is>
          <t>HAGFORS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20652-2022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44700</v>
      </c>
      <c r="E507" s="1" t="n">
        <v>46284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46284</v>
      </c>
      <c r="F508" t="inlineStr">
        <is>
          <t>VÄRMLANDS LÄN</t>
        </is>
      </c>
      <c r="G508" t="inlineStr">
        <is>
          <t>HAGFORS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46284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46284</v>
      </c>
      <c r="F510" t="inlineStr">
        <is>
          <t>VÄRMLANDS LÄN</t>
        </is>
      </c>
      <c r="G510" t="inlineStr">
        <is>
          <t>HAGFORS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18170-2024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45420</v>
      </c>
      <c r="E511" s="1" t="n">
        <v>46284</v>
      </c>
      <c r="F511" t="inlineStr">
        <is>
          <t>VÄRMLANDS LÄN</t>
        </is>
      </c>
      <c r="G511" t="inlineStr">
        <is>
          <t>HAGFORS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58132-2024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45632</v>
      </c>
      <c r="E512" s="1" t="n">
        <v>46284</v>
      </c>
      <c r="F512" t="inlineStr">
        <is>
          <t>VÄRMLANDS LÄN</t>
        </is>
      </c>
      <c r="G512" t="inlineStr">
        <is>
          <t>HAGFORS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45679</v>
      </c>
      <c r="E513" s="1" t="n">
        <v>46284</v>
      </c>
      <c r="F513" t="inlineStr">
        <is>
          <t>VÄRMLANDS LÄN</t>
        </is>
      </c>
      <c r="G513" t="inlineStr">
        <is>
          <t>HAGFORS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26740-2026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46184</v>
      </c>
      <c r="E514" s="1" t="n">
        <v>46284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9.5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26660-2026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46184</v>
      </c>
      <c r="E515" s="1" t="n">
        <v>46284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14897-2024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45398</v>
      </c>
      <c r="E516" s="1" t="n">
        <v>46284</v>
      </c>
      <c r="F516" t="inlineStr">
        <is>
          <t>VÄRMLANDS LÄN</t>
        </is>
      </c>
      <c r="G516" t="inlineStr">
        <is>
          <t>HAGFORS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26612-2026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46184</v>
      </c>
      <c r="E517" s="1" t="n">
        <v>46284</v>
      </c>
      <c r="F517" t="inlineStr">
        <is>
          <t>VÄRMLANDS LÄN</t>
        </is>
      </c>
      <c r="G517" t="inlineStr">
        <is>
          <t>HAGFORS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27280-2026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46284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26859-2026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46185</v>
      </c>
      <c r="E519" s="1" t="n">
        <v>46284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46284</v>
      </c>
      <c r="F520" t="inlineStr">
        <is>
          <t>VÄRMLANDS LÄN</t>
        </is>
      </c>
      <c r="G520" t="inlineStr">
        <is>
          <t>HAGFORS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46284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17.2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46284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12295-2026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46284</v>
      </c>
      <c r="F523" t="inlineStr">
        <is>
          <t>VÄRMLANDS LÄN</t>
        </is>
      </c>
      <c r="G523" t="inlineStr">
        <is>
          <t>HAGFORS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46188</v>
      </c>
      <c r="E524" s="1" t="n">
        <v>46284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26864-2026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46185</v>
      </c>
      <c r="E525" s="1" t="n">
        <v>46284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56808-2023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45244</v>
      </c>
      <c r="E526" s="1" t="n">
        <v>46284</v>
      </c>
      <c r="F526" t="inlineStr">
        <is>
          <t>VÄRMLANDS LÄN</t>
        </is>
      </c>
      <c r="G526" t="inlineStr">
        <is>
          <t>HAGFORS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5749-2022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44596</v>
      </c>
      <c r="E527" s="1" t="n">
        <v>46284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26846-2026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46185</v>
      </c>
      <c r="E528" s="1" t="n">
        <v>46284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18.2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26858-2026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46284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20.5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46284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27472-2026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46189</v>
      </c>
      <c r="E531" s="1" t="n">
        <v>46284</v>
      </c>
      <c r="F531" t="inlineStr">
        <is>
          <t>VÄRMLANDS LÄN</t>
        </is>
      </c>
      <c r="G531" t="inlineStr">
        <is>
          <t>HAGFORS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13338-2026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46284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13360-2026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46094</v>
      </c>
      <c r="E533" s="1" t="n">
        <v>46284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13419-2026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46094</v>
      </c>
      <c r="E534" s="1" t="n">
        <v>46284</v>
      </c>
      <c r="F534" t="inlineStr">
        <is>
          <t>VÄRMLANDS LÄN</t>
        </is>
      </c>
      <c r="G534" t="inlineStr">
        <is>
          <t>HAGFORS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52378-2021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44465</v>
      </c>
      <c r="E535" s="1" t="n">
        <v>46284</v>
      </c>
      <c r="F535" t="inlineStr">
        <is>
          <t>VÄRMLANDS LÄN</t>
        </is>
      </c>
      <c r="G535" t="inlineStr">
        <is>
          <t>HAGFORS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13411-2026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46094</v>
      </c>
      <c r="E536" s="1" t="n">
        <v>46284</v>
      </c>
      <c r="F536" t="inlineStr">
        <is>
          <t>VÄRMLANDS LÄN</t>
        </is>
      </c>
      <c r="G536" t="inlineStr">
        <is>
          <t>HAGFORS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13466-2026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46094</v>
      </c>
      <c r="E537" s="1" t="n">
        <v>46284</v>
      </c>
      <c r="F537" t="inlineStr">
        <is>
          <t>VÄRMLANDS LÄN</t>
        </is>
      </c>
      <c r="G537" t="inlineStr">
        <is>
          <t>HAGFORS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20060-2023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45054</v>
      </c>
      <c r="E538" s="1" t="n">
        <v>46284</v>
      </c>
      <c r="F538" t="inlineStr">
        <is>
          <t>VÄRMLANDS LÄN</t>
        </is>
      </c>
      <c r="G538" t="inlineStr">
        <is>
          <t>HAGFORS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13926-2026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46098</v>
      </c>
      <c r="E539" s="1" t="n">
        <v>46284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46189</v>
      </c>
      <c r="E540" s="1" t="n">
        <v>46284</v>
      </c>
      <c r="F540" t="inlineStr">
        <is>
          <t>VÄRMLANDS LÄN</t>
        </is>
      </c>
      <c r="G540" t="inlineStr">
        <is>
          <t>HAGFORS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13809-2026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46098</v>
      </c>
      <c r="E541" s="1" t="n">
        <v>46284</v>
      </c>
      <c r="F541" t="inlineStr">
        <is>
          <t>VÄRMLANDS LÄN</t>
        </is>
      </c>
      <c r="G541" t="inlineStr">
        <is>
          <t>HAGFORS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49753-2023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45212</v>
      </c>
      <c r="E542" s="1" t="n">
        <v>46284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13987-2026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46098</v>
      </c>
      <c r="E543" s="1" t="n">
        <v>46284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27929-2026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46191</v>
      </c>
      <c r="E544" s="1" t="n">
        <v>46284</v>
      </c>
      <c r="F544" t="inlineStr">
        <is>
          <t>VÄRMLANDS LÄN</t>
        </is>
      </c>
      <c r="G544" t="inlineStr">
        <is>
          <t>HAGFORS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14284-2026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46099</v>
      </c>
      <c r="E545" s="1" t="n">
        <v>46284</v>
      </c>
      <c r="F545" t="inlineStr">
        <is>
          <t>VÄRMLANDS LÄN</t>
        </is>
      </c>
      <c r="G545" t="inlineStr">
        <is>
          <t>HAGFORS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46284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46099</v>
      </c>
      <c r="E547" s="1" t="n">
        <v>46284</v>
      </c>
      <c r="F547" t="inlineStr">
        <is>
          <t>VÄRMLANDS LÄN</t>
        </is>
      </c>
      <c r="G547" t="inlineStr">
        <is>
          <t>HAGFORS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60991-2024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45645</v>
      </c>
      <c r="E548" s="1" t="n">
        <v>46284</v>
      </c>
      <c r="F548" t="inlineStr">
        <is>
          <t>VÄRMLANDS LÄN</t>
        </is>
      </c>
      <c r="G548" t="inlineStr">
        <is>
          <t>HAGFORS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56888-2023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45244</v>
      </c>
      <c r="E549" s="1" t="n">
        <v>46284</v>
      </c>
      <c r="F549" t="inlineStr">
        <is>
          <t>VÄRMLANDS LÄN</t>
        </is>
      </c>
      <c r="G549" t="inlineStr">
        <is>
          <t>HAGFORS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14832-2026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46104</v>
      </c>
      <c r="E550" s="1" t="n">
        <v>46284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14667-2026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46101</v>
      </c>
      <c r="E551" s="1" t="n">
        <v>46284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8304-2022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44610</v>
      </c>
      <c r="E552" s="1" t="n">
        <v>46284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46104</v>
      </c>
      <c r="E553" s="1" t="n">
        <v>46284</v>
      </c>
      <c r="F553" t="inlineStr">
        <is>
          <t>VÄRMLANDS LÄN</t>
        </is>
      </c>
      <c r="G553" t="inlineStr">
        <is>
          <t>HAGFORS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28185-2026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46284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9.6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14574-2026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46101</v>
      </c>
      <c r="E555" s="1" t="n">
        <v>46284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15656-2026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46284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5.1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15504-2026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46106</v>
      </c>
      <c r="E557" s="1" t="n">
        <v>46284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15639-2026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46106</v>
      </c>
      <c r="E558" s="1" t="n">
        <v>46284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15491-2026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46106</v>
      </c>
      <c r="E559" s="1" t="n">
        <v>46284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15666-2026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46284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15213-2026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46105</v>
      </c>
      <c r="E561" s="1" t="n">
        <v>46284</v>
      </c>
      <c r="F561" t="inlineStr">
        <is>
          <t>VÄRMLANDS LÄN</t>
        </is>
      </c>
      <c r="G561" t="inlineStr">
        <is>
          <t>HAGFORS</t>
        </is>
      </c>
      <c r="H561" t="inlineStr">
        <is>
          <t>Kyrkan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15554-2026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46284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10.4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15577-2026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46106</v>
      </c>
      <c r="E563" s="1" t="n">
        <v>46284</v>
      </c>
      <c r="F563" t="inlineStr">
        <is>
          <t>VÄRMLANDS LÄN</t>
        </is>
      </c>
      <c r="G563" t="inlineStr">
        <is>
          <t>HAGFORS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16146-2026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46108</v>
      </c>
      <c r="E564" s="1" t="n">
        <v>46284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28788-2026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46284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9.699999999999999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3557-2023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44950</v>
      </c>
      <c r="E566" s="1" t="n">
        <v>46284</v>
      </c>
      <c r="F566" t="inlineStr">
        <is>
          <t>VÄRMLANDS LÄN</t>
        </is>
      </c>
      <c r="G566" t="inlineStr">
        <is>
          <t>HAGFORS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3566-2023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44950</v>
      </c>
      <c r="E567" s="1" t="n">
        <v>46284</v>
      </c>
      <c r="F567" t="inlineStr">
        <is>
          <t>VÄRMLANDS LÄN</t>
        </is>
      </c>
      <c r="G567" t="inlineStr">
        <is>
          <t>HAGFORS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28720-2026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46198</v>
      </c>
      <c r="E568" s="1" t="n">
        <v>46284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28748-2026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46198</v>
      </c>
      <c r="E569" s="1" t="n">
        <v>46284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28625-2026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46284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16157-2026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46108</v>
      </c>
      <c r="E571" s="1" t="n">
        <v>46284</v>
      </c>
      <c r="F571" t="inlineStr">
        <is>
          <t>VÄRMLANDS LÄN</t>
        </is>
      </c>
      <c r="G571" t="inlineStr">
        <is>
          <t>HAGFORS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16284-2026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46111</v>
      </c>
      <c r="E572" s="1" t="n">
        <v>46284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29102-2026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46200</v>
      </c>
      <c r="E573" s="1" t="n">
        <v>46284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29103-2026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46200</v>
      </c>
      <c r="E574" s="1" t="n">
        <v>46284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27855-2026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46191</v>
      </c>
      <c r="E575" s="1" t="n">
        <v>46284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45518</v>
      </c>
      <c r="E576" s="1" t="n">
        <v>46284</v>
      </c>
      <c r="F576" t="inlineStr">
        <is>
          <t>VÄRMLANDS LÄN</t>
        </is>
      </c>
      <c r="G576" t="inlineStr">
        <is>
          <t>HAGFORS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42223-2022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44830</v>
      </c>
      <c r="E577" s="1" t="n">
        <v>46284</v>
      </c>
      <c r="F577" t="inlineStr">
        <is>
          <t>VÄRMLANDS LÄN</t>
        </is>
      </c>
      <c r="G577" t="inlineStr">
        <is>
          <t>HAGFORS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19125-2024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45428</v>
      </c>
      <c r="E578" s="1" t="n">
        <v>46284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19.5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15587-2026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46106</v>
      </c>
      <c r="E579" s="1" t="n">
        <v>46284</v>
      </c>
      <c r="F579" t="inlineStr">
        <is>
          <t>VÄRMLANDS LÄN</t>
        </is>
      </c>
      <c r="G579" t="inlineStr">
        <is>
          <t>HAGFORS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46284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17843-2026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46122</v>
      </c>
      <c r="E581" s="1" t="n">
        <v>46284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17778-2026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46122</v>
      </c>
      <c r="E582" s="1" t="n">
        <v>46284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11241-2024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45371</v>
      </c>
      <c r="E583" s="1" t="n">
        <v>46284</v>
      </c>
      <c r="F583" t="inlineStr">
        <is>
          <t>VÄRMLANDS LÄN</t>
        </is>
      </c>
      <c r="G583" t="inlineStr">
        <is>
          <t>HAGFORS</t>
        </is>
      </c>
      <c r="I583" t="n">
        <v>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18585-2025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45763</v>
      </c>
      <c r="E584" s="1" t="n">
        <v>46284</v>
      </c>
      <c r="F584" t="inlineStr">
        <is>
          <t>VÄRMLANDS LÄN</t>
        </is>
      </c>
      <c r="G584" t="inlineStr">
        <is>
          <t>HAGFORS</t>
        </is>
      </c>
      <c r="H584" t="inlineStr">
        <is>
          <t>Kyrkan</t>
        </is>
      </c>
      <c r="I584" t="n">
        <v>7.9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18217-2026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46126</v>
      </c>
      <c r="E585" s="1" t="n">
        <v>46284</v>
      </c>
      <c r="F585" t="inlineStr">
        <is>
          <t>VÄRMLANDS LÄN</t>
        </is>
      </c>
      <c r="G585" t="inlineStr">
        <is>
          <t>HAGFORS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18895-2026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46129</v>
      </c>
      <c r="E586" s="1" t="n">
        <v>46284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18528-2026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46127</v>
      </c>
      <c r="E587" s="1" t="n">
        <v>46284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46129</v>
      </c>
      <c r="E588" s="1" t="n">
        <v>46284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33073-2026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46245</v>
      </c>
      <c r="E589" s="1" t="n">
        <v>46284</v>
      </c>
      <c r="F589" t="inlineStr">
        <is>
          <t>VÄRMLANDS LÄN</t>
        </is>
      </c>
      <c r="G589" t="inlineStr">
        <is>
          <t>HAGFORS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46284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47019-2023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45201</v>
      </c>
      <c r="E591" s="1" t="n">
        <v>46284</v>
      </c>
      <c r="F591" t="inlineStr">
        <is>
          <t>VÄRMLANDS LÄN</t>
        </is>
      </c>
      <c r="G591" t="inlineStr">
        <is>
          <t>HAGFORS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29580-2026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46204</v>
      </c>
      <c r="E592" s="1" t="n">
        <v>46284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19363-2026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46284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19339-2026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46284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60664-2023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45259</v>
      </c>
      <c r="E595" s="1" t="n">
        <v>46284</v>
      </c>
      <c r="F595" t="inlineStr">
        <is>
          <t>VÄRMLANDS LÄN</t>
        </is>
      </c>
      <c r="G595" t="inlineStr">
        <is>
          <t>HAGFORS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35775-2024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45532</v>
      </c>
      <c r="E596" s="1" t="n">
        <v>46284</v>
      </c>
      <c r="F596" t="inlineStr">
        <is>
          <t>VÄRMLANDS LÄN</t>
        </is>
      </c>
      <c r="G596" t="inlineStr">
        <is>
          <t>HAGFORS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19307-2026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46133</v>
      </c>
      <c r="E597" s="1" t="n">
        <v>46284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19350-2026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46133</v>
      </c>
      <c r="E598" s="1" t="n">
        <v>46284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19056-2026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46132</v>
      </c>
      <c r="E599" s="1" t="n">
        <v>46284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19421-2026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46133</v>
      </c>
      <c r="E600" s="1" t="n">
        <v>46284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19548-2026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46134</v>
      </c>
      <c r="E601" s="1" t="n">
        <v>46284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50929-2023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45211</v>
      </c>
      <c r="E602" s="1" t="n">
        <v>46284</v>
      </c>
      <c r="F602" t="inlineStr">
        <is>
          <t>VÄRMLANDS LÄN</t>
        </is>
      </c>
      <c r="G602" t="inlineStr">
        <is>
          <t>HAGFORS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57359-2022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44896</v>
      </c>
      <c r="E603" s="1" t="n">
        <v>46284</v>
      </c>
      <c r="F603" t="inlineStr">
        <is>
          <t>VÄRMLANDS LÄN</t>
        </is>
      </c>
      <c r="G603" t="inlineStr">
        <is>
          <t>HAGFORS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41092-2024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45559</v>
      </c>
      <c r="E604" s="1" t="n">
        <v>46284</v>
      </c>
      <c r="F604" t="inlineStr">
        <is>
          <t>VÄRMLANDS LÄN</t>
        </is>
      </c>
      <c r="G604" t="inlineStr">
        <is>
          <t>HAGFORS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19530-2026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46284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19459-2026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46133</v>
      </c>
      <c r="E606" s="1" t="n">
        <v>46284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46203</v>
      </c>
      <c r="E607" s="1" t="n">
        <v>46284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29430-2026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46203</v>
      </c>
      <c r="E608" s="1" t="n">
        <v>46284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29428-2026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46203</v>
      </c>
      <c r="E609" s="1" t="n">
        <v>46284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12.4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20260-2026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46139</v>
      </c>
      <c r="E610" s="1" t="n">
        <v>46284</v>
      </c>
      <c r="F610" t="inlineStr">
        <is>
          <t>VÄRMLANDS LÄN</t>
        </is>
      </c>
      <c r="G610" t="inlineStr">
        <is>
          <t>HAGFORS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29427-2026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46203</v>
      </c>
      <c r="E611" s="1" t="n">
        <v>46284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46020</v>
      </c>
      <c r="E612" s="1" t="n">
        <v>46284</v>
      </c>
      <c r="F612" t="inlineStr">
        <is>
          <t>VÄRMLANDS LÄN</t>
        </is>
      </c>
      <c r="G612" t="inlineStr">
        <is>
          <t>HAGFORS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45632</v>
      </c>
      <c r="E613" s="1" t="n">
        <v>46284</v>
      </c>
      <c r="F613" t="inlineStr">
        <is>
          <t>VÄRMLANDS LÄN</t>
        </is>
      </c>
      <c r="G613" t="inlineStr">
        <is>
          <t>HAGFORS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19702-2022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44694</v>
      </c>
      <c r="E614" s="1" t="n">
        <v>46284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24.6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29438-2026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46203</v>
      </c>
      <c r="E615" s="1" t="n">
        <v>46284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29400-2026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46203</v>
      </c>
      <c r="E616" s="1" t="n">
        <v>46284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11.8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22503-2024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45447</v>
      </c>
      <c r="E617" s="1" t="n">
        <v>46284</v>
      </c>
      <c r="F617" t="inlineStr">
        <is>
          <t>VÄRMLANDS LÄN</t>
        </is>
      </c>
      <c r="G617" t="inlineStr">
        <is>
          <t>HAGFORS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4279-2024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45324</v>
      </c>
      <c r="E618" s="1" t="n">
        <v>46284</v>
      </c>
      <c r="F618" t="inlineStr">
        <is>
          <t>VÄRMLANDS LÄN</t>
        </is>
      </c>
      <c r="G618" t="inlineStr">
        <is>
          <t>HAGFORS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920-2022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44571</v>
      </c>
      <c r="E619" s="1" t="n">
        <v>46284</v>
      </c>
      <c r="F619" t="inlineStr">
        <is>
          <t>VÄRMLANDS LÄN</t>
        </is>
      </c>
      <c r="G619" t="inlineStr">
        <is>
          <t>HAGFORS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22332-2024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45446</v>
      </c>
      <c r="E620" s="1" t="n">
        <v>46284</v>
      </c>
      <c r="F620" t="inlineStr">
        <is>
          <t>VÄRMLANDS LÄN</t>
        </is>
      </c>
      <c r="G620" t="inlineStr">
        <is>
          <t>HAGFORS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12426-2024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45379</v>
      </c>
      <c r="E621" s="1" t="n">
        <v>46284</v>
      </c>
      <c r="F621" t="inlineStr">
        <is>
          <t>VÄRMLANDS LÄN</t>
        </is>
      </c>
      <c r="G621" t="inlineStr">
        <is>
          <t>HAGFORS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8922-2025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45713</v>
      </c>
      <c r="E622" s="1" t="n">
        <v>46284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33833-2026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46251</v>
      </c>
      <c r="E623" s="1" t="n">
        <v>46284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33635-2026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46248</v>
      </c>
      <c r="E624" s="1" t="n">
        <v>46284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46284</v>
      </c>
      <c r="F625" t="inlineStr">
        <is>
          <t>VÄRMLANDS LÄN</t>
        </is>
      </c>
      <c r="G625" t="inlineStr">
        <is>
          <t>HAGFORS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46205</v>
      </c>
      <c r="E626" s="1" t="n">
        <v>46284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33627-2026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46248</v>
      </c>
      <c r="E627" s="1" t="n">
        <v>46284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30167-2026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46206</v>
      </c>
      <c r="E628" s="1" t="n">
        <v>46284</v>
      </c>
      <c r="F628" t="inlineStr">
        <is>
          <t>VÄRMLANDS LÄN</t>
        </is>
      </c>
      <c r="G628" t="inlineStr">
        <is>
          <t>HAGFORS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17882-2025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45758</v>
      </c>
      <c r="E629" s="1" t="n">
        <v>46284</v>
      </c>
      <c r="F629" t="inlineStr">
        <is>
          <t>VÄRMLANDS LÄN</t>
        </is>
      </c>
      <c r="G629" t="inlineStr">
        <is>
          <t>HAGFORS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7332-2025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45703</v>
      </c>
      <c r="E630" s="1" t="n">
        <v>46284</v>
      </c>
      <c r="F630" t="inlineStr">
        <is>
          <t>VÄRMLANDS LÄN</t>
        </is>
      </c>
      <c r="G630" t="inlineStr">
        <is>
          <t>HAGFORS</t>
        </is>
      </c>
      <c r="H630" t="inlineStr">
        <is>
          <t>Kyrkan</t>
        </is>
      </c>
      <c r="I630" t="n">
        <v>15.9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17329-2024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45414</v>
      </c>
      <c r="E631" s="1" t="n">
        <v>46284</v>
      </c>
      <c r="F631" t="inlineStr">
        <is>
          <t>VÄRMLANDS LÄN</t>
        </is>
      </c>
      <c r="G631" t="inlineStr">
        <is>
          <t>HAGFORS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46251</v>
      </c>
      <c r="E632" s="1" t="n">
        <v>46284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14.4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3980-2025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45684</v>
      </c>
      <c r="E633" s="1" t="n">
        <v>46284</v>
      </c>
      <c r="F633" t="inlineStr">
        <is>
          <t>VÄRMLANDS LÄN</t>
        </is>
      </c>
      <c r="G633" t="inlineStr">
        <is>
          <t>HAGFORS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52924-2023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45226</v>
      </c>
      <c r="E634" s="1" t="n">
        <v>46284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30153-2026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46284</v>
      </c>
      <c r="F635" t="inlineStr">
        <is>
          <t>VÄRMLANDS LÄN</t>
        </is>
      </c>
      <c r="G635" t="inlineStr">
        <is>
          <t>HAGFORS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33515-2026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46248</v>
      </c>
      <c r="E636" s="1" t="n">
        <v>46284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6.5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1710-2025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45671</v>
      </c>
      <c r="E637" s="1" t="n">
        <v>46284</v>
      </c>
      <c r="F637" t="inlineStr">
        <is>
          <t>VÄRMLANDS LÄN</t>
        </is>
      </c>
      <c r="G637" t="inlineStr">
        <is>
          <t>HAGFORS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30436-2026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46209</v>
      </c>
      <c r="E638" s="1" t="n">
        <v>46284</v>
      </c>
      <c r="F638" t="inlineStr">
        <is>
          <t>VÄRMLANDS LÄN</t>
        </is>
      </c>
      <c r="G638" t="inlineStr">
        <is>
          <t>HAGFORS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30437-2026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46209</v>
      </c>
      <c r="E639" s="1" t="n">
        <v>46284</v>
      </c>
      <c r="F639" t="inlineStr">
        <is>
          <t>VÄRMLANDS LÄN</t>
        </is>
      </c>
      <c r="G639" t="inlineStr">
        <is>
          <t>HAGFORS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48276-2024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45590</v>
      </c>
      <c r="E640" s="1" t="n">
        <v>46284</v>
      </c>
      <c r="F640" t="inlineStr">
        <is>
          <t>VÄRMLANDS LÄN</t>
        </is>
      </c>
      <c r="G640" t="inlineStr">
        <is>
          <t>HAGFORS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54751-2022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44883</v>
      </c>
      <c r="E641" s="1" t="n">
        <v>46284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32149-2023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45107</v>
      </c>
      <c r="E642" s="1" t="n">
        <v>46284</v>
      </c>
      <c r="F642" t="inlineStr">
        <is>
          <t>VÄRMLANDS LÄN</t>
        </is>
      </c>
      <c r="G642" t="inlineStr">
        <is>
          <t>HAGFORS</t>
        </is>
      </c>
      <c r="I642" t="n">
        <v>9.1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34014-2026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46252</v>
      </c>
      <c r="E643" s="1" t="n">
        <v>46284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52494-2024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45609</v>
      </c>
      <c r="E644" s="1" t="n">
        <v>46284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5338-2025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45692</v>
      </c>
      <c r="E645" s="1" t="n">
        <v>46284</v>
      </c>
      <c r="F645" t="inlineStr">
        <is>
          <t>VÄRMLANDS LÄN</t>
        </is>
      </c>
      <c r="G645" t="inlineStr">
        <is>
          <t>HAGFORS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10562-2024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45366</v>
      </c>
      <c r="E646" s="1" t="n">
        <v>46284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5482-2022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44595</v>
      </c>
      <c r="E647" s="1" t="n">
        <v>46284</v>
      </c>
      <c r="F647" t="inlineStr">
        <is>
          <t>VÄRMLANDS LÄN</t>
        </is>
      </c>
      <c r="G647" t="inlineStr">
        <is>
          <t>HAGFORS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30433-2026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46209</v>
      </c>
      <c r="E648" s="1" t="n">
        <v>46284</v>
      </c>
      <c r="F648" t="inlineStr">
        <is>
          <t>VÄRMLANDS LÄN</t>
        </is>
      </c>
      <c r="G648" t="inlineStr">
        <is>
          <t>HAGFORS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34523-2026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46255</v>
      </c>
      <c r="E649" s="1" t="n">
        <v>46284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34399-2026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46254</v>
      </c>
      <c r="E650" s="1" t="n">
        <v>46284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15.8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60167-2023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45258</v>
      </c>
      <c r="E651" s="1" t="n">
        <v>46284</v>
      </c>
      <c r="F651" t="inlineStr">
        <is>
          <t>VÄRMLANDS LÄN</t>
        </is>
      </c>
      <c r="G651" t="inlineStr">
        <is>
          <t>HAGFORS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60178-2023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45258</v>
      </c>
      <c r="E652" s="1" t="n">
        <v>46284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4748-2024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45328</v>
      </c>
      <c r="E653" s="1" t="n">
        <v>46284</v>
      </c>
      <c r="F653" t="inlineStr">
        <is>
          <t>VÄRMLANDS LÄN</t>
        </is>
      </c>
      <c r="G653" t="inlineStr">
        <is>
          <t>HAGFORS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34522-2026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46255</v>
      </c>
      <c r="E654" s="1" t="n">
        <v>46284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16525-2023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45029</v>
      </c>
      <c r="E655" s="1" t="n">
        <v>46284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41603-2023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45175</v>
      </c>
      <c r="E656" s="1" t="n">
        <v>46284</v>
      </c>
      <c r="F656" t="inlineStr">
        <is>
          <t>VÄRMLANDS LÄN</t>
        </is>
      </c>
      <c r="G656" t="inlineStr">
        <is>
          <t>HAGFORS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34443-2026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46254</v>
      </c>
      <c r="E657" s="1" t="n">
        <v>46284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46284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30629-2026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46211</v>
      </c>
      <c r="E659" s="1" t="n">
        <v>46284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34456-2026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46254</v>
      </c>
      <c r="E660" s="1" t="n">
        <v>46284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8.800000000000001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11367-2025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45726</v>
      </c>
      <c r="E661" s="1" t="n">
        <v>46284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56895-2023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45244</v>
      </c>
      <c r="E662" s="1" t="n">
        <v>46284</v>
      </c>
      <c r="F662" t="inlineStr">
        <is>
          <t>VÄRMLANDS LÄN</t>
        </is>
      </c>
      <c r="G662" t="inlineStr">
        <is>
          <t>HAGFORS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45673</v>
      </c>
      <c r="E663" s="1" t="n">
        <v>46284</v>
      </c>
      <c r="F663" t="inlineStr">
        <is>
          <t>VÄRMLANDS LÄN</t>
        </is>
      </c>
      <c r="G663" t="inlineStr">
        <is>
          <t>HAGFORS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30914-2026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46213</v>
      </c>
      <c r="E664" s="1" t="n">
        <v>46284</v>
      </c>
      <c r="F664" t="inlineStr">
        <is>
          <t>VÄRMLANDS LÄN</t>
        </is>
      </c>
      <c r="G664" t="inlineStr">
        <is>
          <t>HAGFORS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42150-2024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45562</v>
      </c>
      <c r="E665" s="1" t="n">
        <v>46284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40835-2023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45172</v>
      </c>
      <c r="E666" s="1" t="n">
        <v>46284</v>
      </c>
      <c r="F666" t="inlineStr">
        <is>
          <t>VÄRMLANDS LÄN</t>
        </is>
      </c>
      <c r="G666" t="inlineStr">
        <is>
          <t>HAGFORS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47028-2023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45201</v>
      </c>
      <c r="E667" s="1" t="n">
        <v>46284</v>
      </c>
      <c r="F667" t="inlineStr">
        <is>
          <t>VÄRMLANDS LÄN</t>
        </is>
      </c>
      <c r="G667" t="inlineStr">
        <is>
          <t>HAGFORS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30520-2024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45492</v>
      </c>
      <c r="E668" s="1" t="n">
        <v>46284</v>
      </c>
      <c r="F668" t="inlineStr">
        <is>
          <t>VÄRMLANDS LÄN</t>
        </is>
      </c>
      <c r="G668" t="inlineStr">
        <is>
          <t>HAGFORS</t>
        </is>
      </c>
      <c r="H668" t="inlineStr">
        <is>
          <t>Kyrkan</t>
        </is>
      </c>
      <c r="I668" t="n">
        <v>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33399-2024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45519</v>
      </c>
      <c r="E669" s="1" t="n">
        <v>46284</v>
      </c>
      <c r="F669" t="inlineStr">
        <is>
          <t>VÄRMLANDS LÄN</t>
        </is>
      </c>
      <c r="G669" t="inlineStr">
        <is>
          <t>HAGFORS</t>
        </is>
      </c>
      <c r="I669" t="n">
        <v>8.4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10236-2022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44622</v>
      </c>
      <c r="E670" s="1" t="n">
        <v>46284</v>
      </c>
      <c r="F670" t="inlineStr">
        <is>
          <t>VÄRMLANDS LÄN</t>
        </is>
      </c>
      <c r="G670" t="inlineStr">
        <is>
          <t>HAGFORS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34797-2026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46258</v>
      </c>
      <c r="E671" s="1" t="n">
        <v>46284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6.8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35184-2026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46260</v>
      </c>
      <c r="E672" s="1" t="n">
        <v>46284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35186-2026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46260</v>
      </c>
      <c r="E673" s="1" t="n">
        <v>46284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46792-2022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44851</v>
      </c>
      <c r="E674" s="1" t="n">
        <v>46284</v>
      </c>
      <c r="F674" t="inlineStr">
        <is>
          <t>VÄRMLANDS LÄN</t>
        </is>
      </c>
      <c r="G674" t="inlineStr">
        <is>
          <t>HAGFORS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32033-2024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45510</v>
      </c>
      <c r="E675" s="1" t="n">
        <v>46284</v>
      </c>
      <c r="F675" t="inlineStr">
        <is>
          <t>VÄRMLANDS LÄN</t>
        </is>
      </c>
      <c r="G675" t="inlineStr">
        <is>
          <t>HAGFORS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35386-2026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46261</v>
      </c>
      <c r="E676" s="1" t="n">
        <v>46284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54744-2024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45618</v>
      </c>
      <c r="E677" s="1" t="n">
        <v>46284</v>
      </c>
      <c r="F677" t="inlineStr">
        <is>
          <t>VÄRMLANDS LÄN</t>
        </is>
      </c>
      <c r="G677" t="inlineStr">
        <is>
          <t>HAGFORS</t>
        </is>
      </c>
      <c r="H677" t="inlineStr">
        <is>
          <t>Kyrkan</t>
        </is>
      </c>
      <c r="I677" t="n">
        <v>8.800000000000001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35310-2026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46261</v>
      </c>
      <c r="E678" s="1" t="n">
        <v>46284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14.9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39640-2022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44817</v>
      </c>
      <c r="E679" s="1" t="n">
        <v>46284</v>
      </c>
      <c r="F679" t="inlineStr">
        <is>
          <t>VÄRMLANDS LÄN</t>
        </is>
      </c>
      <c r="G679" t="inlineStr">
        <is>
          <t>HAGFORS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35173-2026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46260</v>
      </c>
      <c r="E680" s="1" t="n">
        <v>46284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18.2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1931-2024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45308</v>
      </c>
      <c r="E681" s="1" t="n">
        <v>46284</v>
      </c>
      <c r="F681" t="inlineStr">
        <is>
          <t>VÄRMLANDS LÄN</t>
        </is>
      </c>
      <c r="G681" t="inlineStr">
        <is>
          <t>HAGFORS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57159-2024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45629</v>
      </c>
      <c r="E682" s="1" t="n">
        <v>46284</v>
      </c>
      <c r="F682" t="inlineStr">
        <is>
          <t>VÄRMLANDS LÄN</t>
        </is>
      </c>
      <c r="G682" t="inlineStr">
        <is>
          <t>HAGFORS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34404-2023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45132</v>
      </c>
      <c r="E683" s="1" t="n">
        <v>46284</v>
      </c>
      <c r="F683" t="inlineStr">
        <is>
          <t>VÄRMLANDS LÄN</t>
        </is>
      </c>
      <c r="G683" t="inlineStr">
        <is>
          <t>HAGFORS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11160-2025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45723</v>
      </c>
      <c r="E684" s="1" t="n">
        <v>46284</v>
      </c>
      <c r="F684" t="inlineStr">
        <is>
          <t>VÄRMLANDS LÄN</t>
        </is>
      </c>
      <c r="G684" t="inlineStr">
        <is>
          <t>HAGFORS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43998-2024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45572</v>
      </c>
      <c r="E685" s="1" t="n">
        <v>46284</v>
      </c>
      <c r="F685" t="inlineStr">
        <is>
          <t>VÄRMLANDS LÄN</t>
        </is>
      </c>
      <c r="G685" t="inlineStr">
        <is>
          <t>HAGFORS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13282-2024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45386</v>
      </c>
      <c r="E686" s="1" t="n">
        <v>46284</v>
      </c>
      <c r="F686" t="inlineStr">
        <is>
          <t>VÄRMLANDS LÄN</t>
        </is>
      </c>
      <c r="G686" t="inlineStr">
        <is>
          <t>HAGFORS</t>
        </is>
      </c>
      <c r="H686" t="inlineStr">
        <is>
          <t>Kommuner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35781-2026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46265</v>
      </c>
      <c r="E687" s="1" t="n">
        <v>46284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44728-2023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45190</v>
      </c>
      <c r="E688" s="1" t="n">
        <v>46284</v>
      </c>
      <c r="F688" t="inlineStr">
        <is>
          <t>VÄRMLANDS LÄN</t>
        </is>
      </c>
      <c r="G688" t="inlineStr">
        <is>
          <t>HAGFORS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42168-2024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45562</v>
      </c>
      <c r="E689" s="1" t="n">
        <v>46284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42170-2024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45562</v>
      </c>
      <c r="E690" s="1" t="n">
        <v>46284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42171-2024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45562</v>
      </c>
      <c r="E691" s="1" t="n">
        <v>46284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42243-2024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45562</v>
      </c>
      <c r="E692" s="1" t="n">
        <v>46284</v>
      </c>
      <c r="F692" t="inlineStr">
        <is>
          <t>VÄRMLANDS LÄN</t>
        </is>
      </c>
      <c r="G692" t="inlineStr">
        <is>
          <t>HAGFORS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6980-2022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44603</v>
      </c>
      <c r="E693" s="1" t="n">
        <v>46284</v>
      </c>
      <c r="F693" t="inlineStr">
        <is>
          <t>VÄRMLANDS LÄN</t>
        </is>
      </c>
      <c r="G693" t="inlineStr">
        <is>
          <t>HAGFORS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35749-2026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46265</v>
      </c>
      <c r="E694" s="1" t="n">
        <v>46284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35574-2026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46262</v>
      </c>
      <c r="E695" s="1" t="n">
        <v>46284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36013-2023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45149</v>
      </c>
      <c r="E696" s="1" t="n">
        <v>46284</v>
      </c>
      <c r="F696" t="inlineStr">
        <is>
          <t>VÄRMLANDS LÄN</t>
        </is>
      </c>
      <c r="G696" t="inlineStr">
        <is>
          <t>HAGFORS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36055-2026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46267</v>
      </c>
      <c r="E697" s="1" t="n">
        <v>46284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9.699999999999999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61311-2023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45264</v>
      </c>
      <c r="E698" s="1" t="n">
        <v>46284</v>
      </c>
      <c r="F698" t="inlineStr">
        <is>
          <t>VÄRMLANDS LÄN</t>
        </is>
      </c>
      <c r="G698" t="inlineStr">
        <is>
          <t>HAGFORS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61315-2023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45264</v>
      </c>
      <c r="E699" s="1" t="n">
        <v>46284</v>
      </c>
      <c r="F699" t="inlineStr">
        <is>
          <t>VÄRMLANDS LÄN</t>
        </is>
      </c>
      <c r="G699" t="inlineStr">
        <is>
          <t>HAGFORS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18907-2025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45764</v>
      </c>
      <c r="E700" s="1" t="n">
        <v>46284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36448-2026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46269</v>
      </c>
      <c r="E701" s="1" t="n">
        <v>46284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36240-2026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46268</v>
      </c>
      <c r="E702" s="1" t="n">
        <v>46284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8.800000000000001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36281-2026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46268</v>
      </c>
      <c r="E703" s="1" t="n">
        <v>46284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7.6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36556-2026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46269</v>
      </c>
      <c r="E704" s="1" t="n">
        <v>46284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17305-2023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45035</v>
      </c>
      <c r="E705" s="1" t="n">
        <v>46284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31178-2022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44770</v>
      </c>
      <c r="E706" s="1" t="n">
        <v>46284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10.1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59552-2024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45638</v>
      </c>
      <c r="E707" s="1" t="n">
        <v>46284</v>
      </c>
      <c r="F707" t="inlineStr">
        <is>
          <t>VÄRMLANDS LÄN</t>
        </is>
      </c>
      <c r="G707" t="inlineStr">
        <is>
          <t>HAGFORS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31691-2026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46226</v>
      </c>
      <c r="E708" s="1" t="n">
        <v>46284</v>
      </c>
      <c r="F708" t="inlineStr">
        <is>
          <t>VÄRMLANDS LÄN</t>
        </is>
      </c>
      <c r="G708" t="inlineStr">
        <is>
          <t>HAGFORS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46225</v>
      </c>
      <c r="E709" s="1" t="n">
        <v>46284</v>
      </c>
      <c r="F709" t="inlineStr">
        <is>
          <t>VÄRMLANDS LÄN</t>
        </is>
      </c>
      <c r="G709" t="inlineStr">
        <is>
          <t>HAGFORS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21067-2025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45777</v>
      </c>
      <c r="E710" s="1" t="n">
        <v>46284</v>
      </c>
      <c r="F710" t="inlineStr">
        <is>
          <t>VÄRMLANDS LÄN</t>
        </is>
      </c>
      <c r="G710" t="inlineStr">
        <is>
          <t>HAGFORS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31672-2026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46225</v>
      </c>
      <c r="E711" s="1" t="n">
        <v>46284</v>
      </c>
      <c r="F711" t="inlineStr">
        <is>
          <t>VÄRMLANDS LÄN</t>
        </is>
      </c>
      <c r="G711" t="inlineStr">
        <is>
          <t>HAGFORS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36446-2026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46269</v>
      </c>
      <c r="E712" s="1" t="n">
        <v>46284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36642-2026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46272</v>
      </c>
      <c r="E713" s="1" t="n">
        <v>46284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8.800000000000001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36721-2026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46272</v>
      </c>
      <c r="E714" s="1" t="n">
        <v>46284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21723-2025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45783</v>
      </c>
      <c r="E715" s="1" t="n">
        <v>46284</v>
      </c>
      <c r="F715" t="inlineStr">
        <is>
          <t>VÄRMLANDS LÄN</t>
        </is>
      </c>
      <c r="G715" t="inlineStr">
        <is>
          <t>HAGFORS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36676-2026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46272</v>
      </c>
      <c r="E716" s="1" t="n">
        <v>46284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36728-2026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46272</v>
      </c>
      <c r="E717" s="1" t="n">
        <v>46284</v>
      </c>
      <c r="F717" t="inlineStr">
        <is>
          <t>VÄRMLANDS LÄN</t>
        </is>
      </c>
      <c r="G717" t="inlineStr">
        <is>
          <t>HAGFORS</t>
        </is>
      </c>
      <c r="H717" t="inlineStr">
        <is>
          <t>Kyrkan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24680-2024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45460</v>
      </c>
      <c r="E718" s="1" t="n">
        <v>46284</v>
      </c>
      <c r="F718" t="inlineStr">
        <is>
          <t>VÄRMLANDS LÄN</t>
        </is>
      </c>
      <c r="G718" t="inlineStr">
        <is>
          <t>HAGFORS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17833-2022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44683</v>
      </c>
      <c r="E719" s="1" t="n">
        <v>46284</v>
      </c>
      <c r="F719" t="inlineStr">
        <is>
          <t>VÄRMLANDS LÄN</t>
        </is>
      </c>
      <c r="G719" t="inlineStr">
        <is>
          <t>HAGFORS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36221-2026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46268</v>
      </c>
      <c r="E720" s="1" t="n">
        <v>46284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36542-2026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46269</v>
      </c>
      <c r="E721" s="1" t="n">
        <v>46284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36447-2026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46269</v>
      </c>
      <c r="E722" s="1" t="n">
        <v>46284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37497-2026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46275</v>
      </c>
      <c r="E723" s="1" t="n">
        <v>46284</v>
      </c>
      <c r="F723" t="inlineStr">
        <is>
          <t>VÄRMLANDS LÄN</t>
        </is>
      </c>
      <c r="G723" t="inlineStr">
        <is>
          <t>HAGFORS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37157-2026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46274</v>
      </c>
      <c r="E724" s="1" t="n">
        <v>46284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7.1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37172-2026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46274</v>
      </c>
      <c r="E725" s="1" t="n">
        <v>46284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8.699999999999999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47425-2024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45587</v>
      </c>
      <c r="E726" s="1" t="n">
        <v>46284</v>
      </c>
      <c r="F726" t="inlineStr">
        <is>
          <t>VÄRMLANDS LÄN</t>
        </is>
      </c>
      <c r="G726" t="inlineStr">
        <is>
          <t>HAGFORS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37389-2026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46275</v>
      </c>
      <c r="E727" s="1" t="n">
        <v>46284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37269-2026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46274</v>
      </c>
      <c r="E728" s="1" t="n">
        <v>46284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36110-2026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46267</v>
      </c>
      <c r="E729" s="1" t="n">
        <v>46284</v>
      </c>
      <c r="F729" t="inlineStr">
        <is>
          <t>VÄRMLANDS LÄN</t>
        </is>
      </c>
      <c r="G729" t="inlineStr">
        <is>
          <t>HAGFORS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37399-2026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46275</v>
      </c>
      <c r="E730" s="1" t="n">
        <v>46284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40332-2023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45169</v>
      </c>
      <c r="E731" s="1" t="n">
        <v>46284</v>
      </c>
      <c r="F731" t="inlineStr">
        <is>
          <t>VÄRMLANDS LÄN</t>
        </is>
      </c>
      <c r="G731" t="inlineStr">
        <is>
          <t>HAGFORS</t>
        </is>
      </c>
      <c r="I731" t="n">
        <v>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32043-2026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46233</v>
      </c>
      <c r="E732" s="1" t="n">
        <v>46284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32036-2026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46233</v>
      </c>
      <c r="E733" s="1" t="n">
        <v>46284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8.300000000000001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37685-2026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46279</v>
      </c>
      <c r="E734" s="1" t="n">
        <v>46284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22799-2025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45789</v>
      </c>
      <c r="E735" s="1" t="n">
        <v>46284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37842-2026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46279</v>
      </c>
      <c r="E736" s="1" t="n">
        <v>46284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22461-2025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45786</v>
      </c>
      <c r="E737" s="1" t="n">
        <v>46284</v>
      </c>
      <c r="F737" t="inlineStr">
        <is>
          <t>VÄRMLANDS LÄN</t>
        </is>
      </c>
      <c r="G737" t="inlineStr">
        <is>
          <t>HAGFORS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38050-2026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46280</v>
      </c>
      <c r="E738" s="1" t="n">
        <v>46284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38053-2026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46280</v>
      </c>
      <c r="E739" s="1" t="n">
        <v>46284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37963-2026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46280</v>
      </c>
      <c r="E740" s="1" t="n">
        <v>46284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13.7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23268-2025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45791</v>
      </c>
      <c r="E741" s="1" t="n">
        <v>46284</v>
      </c>
      <c r="F741" t="inlineStr">
        <is>
          <t>VÄRMLANDS LÄN</t>
        </is>
      </c>
      <c r="G741" t="inlineStr">
        <is>
          <t>HAGFORS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22917-2025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45790</v>
      </c>
      <c r="E742" s="1" t="n">
        <v>46284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38031-2026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46280</v>
      </c>
      <c r="E743" s="1" t="n">
        <v>46284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6.7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37924-2026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46280</v>
      </c>
      <c r="E744" s="1" t="n">
        <v>46284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8.5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38239-2024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45545</v>
      </c>
      <c r="E745" s="1" t="n">
        <v>46284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37914-2026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46280</v>
      </c>
      <c r="E746" s="1" t="n">
        <v>46284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37922-2026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46280</v>
      </c>
      <c r="E747" s="1" t="n">
        <v>46284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22964-2025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45790</v>
      </c>
      <c r="E748" s="1" t="n">
        <v>46284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38244-2026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46281</v>
      </c>
      <c r="E749" s="1" t="n">
        <v>46284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55950-2024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45623</v>
      </c>
      <c r="E750" s="1" t="n">
        <v>46284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23556-2025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45792</v>
      </c>
      <c r="E751" s="1" t="n">
        <v>46284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23525-2025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45792</v>
      </c>
      <c r="E752" s="1" t="n">
        <v>46284</v>
      </c>
      <c r="F752" t="inlineStr">
        <is>
          <t>VÄRMLANDS LÄN</t>
        </is>
      </c>
      <c r="G752" t="inlineStr">
        <is>
          <t>HAGFORS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23674-2025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45793</v>
      </c>
      <c r="E753" s="1" t="n">
        <v>46284</v>
      </c>
      <c r="F753" t="inlineStr">
        <is>
          <t>VÄRMLANDS LÄN</t>
        </is>
      </c>
      <c r="G753" t="inlineStr">
        <is>
          <t>HAGFORS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23712-2025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45793</v>
      </c>
      <c r="E754" s="1" t="n">
        <v>46284</v>
      </c>
      <c r="F754" t="inlineStr">
        <is>
          <t>VÄRMLANDS LÄN</t>
        </is>
      </c>
      <c r="G754" t="inlineStr">
        <is>
          <t>HAGFORS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38410-2026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46282</v>
      </c>
      <c r="E755" s="1" t="n">
        <v>46284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54008-2024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45615</v>
      </c>
      <c r="E756" s="1" t="n">
        <v>46284</v>
      </c>
      <c r="F756" t="inlineStr">
        <is>
          <t>VÄRMLANDS LÄN</t>
        </is>
      </c>
      <c r="G756" t="inlineStr">
        <is>
          <t>HAGFORS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38573-2026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46283</v>
      </c>
      <c r="E757" s="1" t="n">
        <v>46284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16798-2025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45754</v>
      </c>
      <c r="E758" s="1" t="n">
        <v>46284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32721-2026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46241</v>
      </c>
      <c r="E759" s="1" t="n">
        <v>46284</v>
      </c>
      <c r="F759" t="inlineStr">
        <is>
          <t>VÄRMLANDS LÄN</t>
        </is>
      </c>
      <c r="G759" t="inlineStr">
        <is>
          <t>HAGFORS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38404-2026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46282</v>
      </c>
      <c r="E760" s="1" t="n">
        <v>46284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11.4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38687-2026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46283</v>
      </c>
      <c r="E761" s="1" t="n">
        <v>46284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6.1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32507-2026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46239</v>
      </c>
      <c r="E762" s="1" t="n">
        <v>46284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38477-2026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46282</v>
      </c>
      <c r="E763" s="1" t="n">
        <v>46284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32483-2026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46239</v>
      </c>
      <c r="E764" s="1" t="n">
        <v>46284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32490-2026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46239</v>
      </c>
      <c r="E765" s="1" t="n">
        <v>46284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15643-2024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45404</v>
      </c>
      <c r="E766" s="1" t="n">
        <v>46284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6.1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38645-2026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46283</v>
      </c>
      <c r="E767" s="1" t="n">
        <v>46284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18.6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24434-2025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45797</v>
      </c>
      <c r="E768" s="1" t="n">
        <v>46284</v>
      </c>
      <c r="F768" t="inlineStr">
        <is>
          <t>VÄRMLANDS LÄN</t>
        </is>
      </c>
      <c r="G768" t="inlineStr">
        <is>
          <t>HAGFORS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24435-2025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45797</v>
      </c>
      <c r="E769" s="1" t="n">
        <v>46284</v>
      </c>
      <c r="F769" t="inlineStr">
        <is>
          <t>VÄRMLANDS LÄN</t>
        </is>
      </c>
      <c r="G769" t="inlineStr">
        <is>
          <t>HAGFORS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24438-2025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45797</v>
      </c>
      <c r="E770" s="1" t="n">
        <v>46284</v>
      </c>
      <c r="F770" t="inlineStr">
        <is>
          <t>VÄRMLANDS LÄN</t>
        </is>
      </c>
      <c r="G770" t="inlineStr">
        <is>
          <t>HAGFORS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13524-2025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45736</v>
      </c>
      <c r="E771" s="1" t="n">
        <v>46284</v>
      </c>
      <c r="F771" t="inlineStr">
        <is>
          <t>VÄRMLANDS LÄN</t>
        </is>
      </c>
      <c r="G771" t="inlineStr">
        <is>
          <t>HAGFORS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32712-2026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46241</v>
      </c>
      <c r="E772" s="1" t="n">
        <v>46284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32713-2026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46241</v>
      </c>
      <c r="E773" s="1" t="n">
        <v>46284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7.5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24895-2025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45799</v>
      </c>
      <c r="E774" s="1" t="n">
        <v>46284</v>
      </c>
      <c r="F774" t="inlineStr">
        <is>
          <t>VÄRMLANDS LÄN</t>
        </is>
      </c>
      <c r="G774" t="inlineStr">
        <is>
          <t>HAGFORS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24793-2025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45799</v>
      </c>
      <c r="E775" s="1" t="n">
        <v>46284</v>
      </c>
      <c r="F775" t="inlineStr">
        <is>
          <t>VÄRMLANDS LÄN</t>
        </is>
      </c>
      <c r="G775" t="inlineStr">
        <is>
          <t>HAGFORS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25031-2025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45799</v>
      </c>
      <c r="E776" s="1" t="n">
        <v>46284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32535-2026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46239</v>
      </c>
      <c r="E777" s="1" t="n">
        <v>46284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38342-2026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46282</v>
      </c>
      <c r="E778" s="1" t="n">
        <v>46284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38412-2026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46282</v>
      </c>
      <c r="E779" s="1" t="n">
        <v>46284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38411-2026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46282</v>
      </c>
      <c r="E780" s="1" t="n">
        <v>46284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16.6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33823-2025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45842</v>
      </c>
      <c r="E781" s="1" t="n">
        <v>46284</v>
      </c>
      <c r="F781" t="inlineStr">
        <is>
          <t>VÄRMLANDS LÄN</t>
        </is>
      </c>
      <c r="G781" t="inlineStr">
        <is>
          <t>HAGFORS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26463-2025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45807</v>
      </c>
      <c r="E782" s="1" t="n">
        <v>46284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16755-2025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45754</v>
      </c>
      <c r="E783" s="1" t="n">
        <v>46284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7.7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38474-2024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45546</v>
      </c>
      <c r="E784" s="1" t="n">
        <v>46284</v>
      </c>
      <c r="F784" t="inlineStr">
        <is>
          <t>VÄRMLANDS LÄN</t>
        </is>
      </c>
      <c r="G784" t="inlineStr">
        <is>
          <t>HAGFORS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27071-2025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45811</v>
      </c>
      <c r="E785" s="1" t="n">
        <v>46284</v>
      </c>
      <c r="F785" t="inlineStr">
        <is>
          <t>VÄRMLANDS LÄN</t>
        </is>
      </c>
      <c r="G785" t="inlineStr">
        <is>
          <t>HAGFORS</t>
        </is>
      </c>
      <c r="I785" t="n">
        <v>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52383-2024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45608</v>
      </c>
      <c r="E786" s="1" t="n">
        <v>46284</v>
      </c>
      <c r="F786" t="inlineStr">
        <is>
          <t>VÄRMLANDS LÄN</t>
        </is>
      </c>
      <c r="G786" t="inlineStr">
        <is>
          <t>HAGFORS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26617-2025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45810</v>
      </c>
      <c r="E787" s="1" t="n">
        <v>46284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26980-2025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45811</v>
      </c>
      <c r="E788" s="1" t="n">
        <v>46284</v>
      </c>
      <c r="F788" t="inlineStr">
        <is>
          <t>VÄRMLANDS LÄN</t>
        </is>
      </c>
      <c r="G788" t="inlineStr">
        <is>
          <t>HAGFORS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26982-2025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45811</v>
      </c>
      <c r="E789" s="1" t="n">
        <v>46284</v>
      </c>
      <c r="F789" t="inlineStr">
        <is>
          <t>VÄRMLANDS LÄN</t>
        </is>
      </c>
      <c r="G789" t="inlineStr">
        <is>
          <t>HAGFORS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27263-2025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45812</v>
      </c>
      <c r="E790" s="1" t="n">
        <v>46284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27229-2025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45812</v>
      </c>
      <c r="E791" s="1" t="n">
        <v>46284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27319-2025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45812</v>
      </c>
      <c r="E792" s="1" t="n">
        <v>46284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4.7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27119-2025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45811</v>
      </c>
      <c r="E793" s="1" t="n">
        <v>46284</v>
      </c>
      <c r="F793" t="inlineStr">
        <is>
          <t>VÄRMLANDS LÄN</t>
        </is>
      </c>
      <c r="G793" t="inlineStr">
        <is>
          <t>HAGFORS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27181-2025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45812</v>
      </c>
      <c r="E794" s="1" t="n">
        <v>46284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27195-2025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45812</v>
      </c>
      <c r="E795" s="1" t="n">
        <v>46284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50922-2023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45211</v>
      </c>
      <c r="E796" s="1" t="n">
        <v>46284</v>
      </c>
      <c r="F796" t="inlineStr">
        <is>
          <t>VÄRMLANDS LÄN</t>
        </is>
      </c>
      <c r="G796" t="inlineStr">
        <is>
          <t>HAGFORS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28437-2025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45819</v>
      </c>
      <c r="E797" s="1" t="n">
        <v>46284</v>
      </c>
      <c r="F797" t="inlineStr">
        <is>
          <t>VÄRMLANDS LÄN</t>
        </is>
      </c>
      <c r="G797" t="inlineStr">
        <is>
          <t>HAGFORS</t>
        </is>
      </c>
      <c r="H797" t="inlineStr">
        <is>
          <t>Kyrkan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28309-2025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45818</v>
      </c>
      <c r="E798" s="1" t="n">
        <v>46284</v>
      </c>
      <c r="F798" t="inlineStr">
        <is>
          <t>VÄRMLANDS LÄN</t>
        </is>
      </c>
      <c r="G798" t="inlineStr">
        <is>
          <t>HAGFORS</t>
        </is>
      </c>
      <c r="H798" t="inlineStr">
        <is>
          <t>Kyrkan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29149-2025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45821</v>
      </c>
      <c r="E799" s="1" t="n">
        <v>46284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29115-2025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45821</v>
      </c>
      <c r="E800" s="1" t="n">
        <v>46284</v>
      </c>
      <c r="F800" t="inlineStr">
        <is>
          <t>VÄRMLANDS LÄN</t>
        </is>
      </c>
      <c r="G800" t="inlineStr">
        <is>
          <t>HAGFORS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30124-2025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45826</v>
      </c>
      <c r="E801" s="1" t="n">
        <v>46284</v>
      </c>
      <c r="F801" t="inlineStr">
        <is>
          <t>VÄRMLANDS LÄN</t>
        </is>
      </c>
      <c r="G801" t="inlineStr">
        <is>
          <t>HAGFORS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29949-2025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45826</v>
      </c>
      <c r="E802" s="1" t="n">
        <v>46284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15.9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29958-2025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45826</v>
      </c>
      <c r="E803" s="1" t="n">
        <v>46284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30778-2025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45831</v>
      </c>
      <c r="E804" s="1" t="n">
        <v>46284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33364-2025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45841</v>
      </c>
      <c r="E805" s="1" t="n">
        <v>46284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33440-2025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45841</v>
      </c>
      <c r="E806" s="1" t="n">
        <v>46284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33454-2025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45841</v>
      </c>
      <c r="E807" s="1" t="n">
        <v>46284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34107-2025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45845</v>
      </c>
      <c r="E808" s="1" t="n">
        <v>46284</v>
      </c>
      <c r="F808" t="inlineStr">
        <is>
          <t>VÄRMLANDS LÄN</t>
        </is>
      </c>
      <c r="G808" t="inlineStr">
        <is>
          <t>HAGFORS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34133-2025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45845</v>
      </c>
      <c r="E809" s="1" t="n">
        <v>46284</v>
      </c>
      <c r="F809" t="inlineStr">
        <is>
          <t>VÄRMLANDS LÄN</t>
        </is>
      </c>
      <c r="G809" t="inlineStr">
        <is>
          <t>HAGFORS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34149-2025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46284</v>
      </c>
      <c r="F810" t="inlineStr">
        <is>
          <t>VÄRMLANDS LÄN</t>
        </is>
      </c>
      <c r="G810" t="inlineStr">
        <is>
          <t>HAGFORS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19515-2025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45770</v>
      </c>
      <c r="E811" s="1" t="n">
        <v>46284</v>
      </c>
      <c r="F811" t="inlineStr">
        <is>
          <t>VÄRMLANDS LÄN</t>
        </is>
      </c>
      <c r="G811" t="inlineStr">
        <is>
          <t>HAGFORS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42801-2024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45565</v>
      </c>
      <c r="E812" s="1" t="n">
        <v>46284</v>
      </c>
      <c r="F812" t="inlineStr">
        <is>
          <t>VÄRMLANDS LÄN</t>
        </is>
      </c>
      <c r="G812" t="inlineStr">
        <is>
          <t>HAGFORS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21954-2025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45784</v>
      </c>
      <c r="E813" s="1" t="n">
        <v>46284</v>
      </c>
      <c r="F813" t="inlineStr">
        <is>
          <t>VÄRMLANDS LÄN</t>
        </is>
      </c>
      <c r="G813" t="inlineStr">
        <is>
          <t>HAGFORS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35312-2025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45854</v>
      </c>
      <c r="E814" s="1" t="n">
        <v>46284</v>
      </c>
      <c r="F814" t="inlineStr">
        <is>
          <t>VÄRMLANDS LÄN</t>
        </is>
      </c>
      <c r="G814" t="inlineStr">
        <is>
          <t>HAGFORS</t>
        </is>
      </c>
      <c r="H814" t="inlineStr">
        <is>
          <t>Kyrkan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35289-2025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45854</v>
      </c>
      <c r="E815" s="1" t="n">
        <v>46284</v>
      </c>
      <c r="F815" t="inlineStr">
        <is>
          <t>VÄRMLANDS LÄN</t>
        </is>
      </c>
      <c r="G815" t="inlineStr">
        <is>
          <t>HAGFORS</t>
        </is>
      </c>
      <c r="H815" t="inlineStr">
        <is>
          <t>Kyrkan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23813-2025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45793</v>
      </c>
      <c r="E816" s="1" t="n">
        <v>46284</v>
      </c>
      <c r="F816" t="inlineStr">
        <is>
          <t>VÄRMLANDS LÄN</t>
        </is>
      </c>
      <c r="G816" t="inlineStr">
        <is>
          <t>HAGFORS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32604-2025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45838</v>
      </c>
      <c r="E817" s="1" t="n">
        <v>46284</v>
      </c>
      <c r="F817" t="inlineStr">
        <is>
          <t>VÄRMLANDS LÄN</t>
        </is>
      </c>
      <c r="G817" t="inlineStr">
        <is>
          <t>HAGFORS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29269-2025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45824</v>
      </c>
      <c r="E818" s="1" t="n">
        <v>46284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37027-2025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45874</v>
      </c>
      <c r="E819" s="1" t="n">
        <v>46284</v>
      </c>
      <c r="F819" t="inlineStr">
        <is>
          <t>VÄRMLANDS LÄN</t>
        </is>
      </c>
      <c r="G819" t="inlineStr">
        <is>
          <t>HAGFORS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43558-2024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45569</v>
      </c>
      <c r="E820" s="1" t="n">
        <v>46284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8830-2024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45356</v>
      </c>
      <c r="E821" s="1" t="n">
        <v>46284</v>
      </c>
      <c r="F821" t="inlineStr">
        <is>
          <t>VÄRMLANDS LÄN</t>
        </is>
      </c>
      <c r="G821" t="inlineStr">
        <is>
          <t>HAGFORS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16153-2025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45750</v>
      </c>
      <c r="E822" s="1" t="n">
        <v>46284</v>
      </c>
      <c r="F822" t="inlineStr">
        <is>
          <t>VÄRMLANDS LÄN</t>
        </is>
      </c>
      <c r="G822" t="inlineStr">
        <is>
          <t>HAGFORS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27185-2025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45812</v>
      </c>
      <c r="E823" s="1" t="n">
        <v>46284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2225-2020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44127</v>
      </c>
      <c r="E824" s="1" t="n">
        <v>46284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2050-2022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44671</v>
      </c>
      <c r="E825" s="1" t="n">
        <v>46284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4419-2023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45266</v>
      </c>
      <c r="E826" s="1" t="n">
        <v>46284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35.6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4420-2023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45266</v>
      </c>
      <c r="E827" s="1" t="n">
        <v>46284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44.2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937-2022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44606</v>
      </c>
      <c r="E828" s="1" t="n">
        <v>46284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59.4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4426-2023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46284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9.699999999999999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5512-2022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44834</v>
      </c>
      <c r="E830" s="1" t="n">
        <v>46284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29.9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931-2022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44606</v>
      </c>
      <c r="E831" s="1" t="n">
        <v>46284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49.5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4415-2023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45266</v>
      </c>
      <c r="E832" s="1" t="n">
        <v>46284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9.199999999999999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262-2022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44578</v>
      </c>
      <c r="E833" s="1" t="n">
        <v>46284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78.90000000000001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6970-2022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44901</v>
      </c>
      <c r="E834" s="1" t="n">
        <v>46284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29.3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4408-2023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45266</v>
      </c>
      <c r="E835" s="1" t="n">
        <v>46284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6968-2022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44901</v>
      </c>
      <c r="E836" s="1" t="n">
        <v>46284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19.3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4423-2023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45266</v>
      </c>
      <c r="E837" s="1" t="n">
        <v>46284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4418-2023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45266</v>
      </c>
      <c r="E838" s="1" t="n">
        <v>46284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19.1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907-2022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44606</v>
      </c>
      <c r="E839" s="1" t="n">
        <v>46284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43.5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651-2024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45356</v>
      </c>
      <c r="E840" s="1" t="n">
        <v>46284</v>
      </c>
      <c r="F840" t="inlineStr">
        <is>
          <t>VÄRMLANDS LÄN</t>
        </is>
      </c>
      <c r="G840" t="inlineStr">
        <is>
          <t>HAGFORS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913-2022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44606</v>
      </c>
      <c r="E841" s="1" t="n">
        <v>46284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22.4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4145-2023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45247</v>
      </c>
      <c r="E842" s="1" t="n">
        <v>46284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26.1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6967-2022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44901</v>
      </c>
      <c r="E843" s="1" t="n">
        <v>46284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27.1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89-2025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45316</v>
      </c>
      <c r="E844" s="1" t="n">
        <v>46284</v>
      </c>
      <c r="F844" t="inlineStr">
        <is>
          <t>VÄRMLANDS LÄN</t>
        </is>
      </c>
      <c r="G844" t="inlineStr">
        <is>
          <t>HAGFORS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6969-2022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44901</v>
      </c>
      <c r="E845" s="1" t="n">
        <v>46284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24.3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220-2025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45680</v>
      </c>
      <c r="E846" s="1" t="n">
        <v>46284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23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898-2022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44606</v>
      </c>
      <c r="E847" s="1" t="n">
        <v>46284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24.9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4150-2023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45247</v>
      </c>
      <c r="E848" s="1" t="n">
        <v>46284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34.4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4410-2023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45266</v>
      </c>
      <c r="E849" s="1" t="n">
        <v>46284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39.3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900-2022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44606</v>
      </c>
      <c r="E850" s="1" t="n">
        <v>46284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27.3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914-2022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44606</v>
      </c>
      <c r="E851" s="1" t="n">
        <v>46284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19.3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4409-2023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45266</v>
      </c>
      <c r="E852" s="1" t="n">
        <v>46284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24.9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4155-2023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45247</v>
      </c>
      <c r="E853" s="1" t="n">
        <v>46284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40.9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4140-2023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45247</v>
      </c>
      <c r="E854" s="1" t="n">
        <v>46284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36.5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6977-2022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44901</v>
      </c>
      <c r="E855" s="1" t="n">
        <v>46284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25.2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6973-2022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44901</v>
      </c>
      <c r="E856" s="1" t="n">
        <v>46284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30.1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4143-2023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45247</v>
      </c>
      <c r="E857" s="1" t="n">
        <v>46284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4407-2023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45266</v>
      </c>
      <c r="E858" s="1" t="n">
        <v>46284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12.1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6965-2022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44901</v>
      </c>
      <c r="E859" s="1" t="n">
        <v>46284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21.4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662-2025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45716</v>
      </c>
      <c r="E860" s="1" t="n">
        <v>46284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52.4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108-2026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46037</v>
      </c>
      <c r="E861" s="1" t="n">
        <v>46284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204.4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102-2026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46036</v>
      </c>
      <c r="E862" s="1" t="n">
        <v>46284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57.9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60-2026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46013</v>
      </c>
      <c r="E863" s="1" t="n">
        <v>46284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10.6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>
      <c r="A864" t="inlineStr">
        <is>
          <t>S 382-2025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45691</v>
      </c>
      <c r="E864" s="1" t="n">
        <v>46284</v>
      </c>
      <c r="F864" t="inlineStr">
        <is>
          <t>VÄRMLANDS LÄN</t>
        </is>
      </c>
      <c r="G864" t="inlineStr">
        <is>
          <t>HAGFORS</t>
        </is>
      </c>
      <c r="I864" t="n">
        <v>5.8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2026-09-19T02:05:58Z</dcterms:created>
  <dcterms:modified xmlns:dcterms="http://purl.org/dc/terms/" xmlns:xsi="http://www.w3.org/2001/XMLSchema-instance" xsi:type="dcterms:W3CDTF">2026-09-19T02:05:59Z</dcterms:modified>
</cp:coreProperties>
</file>