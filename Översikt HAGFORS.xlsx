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46292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46292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46292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46292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46292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46292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46292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46292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46292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46292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46292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46292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46292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46292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46292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46292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46292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46292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46292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46292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46292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46292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46292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46292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46292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46292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46292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46292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46292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46292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46292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46292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62954-2025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46292</v>
      </c>
      <c r="F34" t="inlineStr">
        <is>
          <t>VÄRMLANDS LÄN</t>
        </is>
      </c>
      <c r="G34" t="inlineStr">
        <is>
          <t>HAGFORS</t>
        </is>
      </c>
      <c r="I34" t="n">
        <v>9.1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Kråka</t>
        </is>
      </c>
      <c r="W34">
        <f>HYPERLINK("https://klasma.github.io/Logging_1783/artfynd/A 62954-2025 artfynd.xlsx", "A 62954-2025")</f>
        <v/>
      </c>
      <c r="X34">
        <f>HYPERLINK("https://klasma.github.io/Logging_1783/kartor/A 62954-2025 karta.png", "A 62954-2025")</f>
        <v/>
      </c>
      <c r="Y34">
        <f>HYPERLINK("https://klasma.github.io/Logging_1783/kartor_geotiff/A 62954-2025 georefererad karta.tif", "A 62954-2025")</f>
        <v/>
      </c>
      <c r="AA34">
        <f>HYPERLINK("https://klasma.github.io/Logging_1783/klagomål/A 62954-2025 FSC-klagomål.docx", "A 62954-2025")</f>
        <v/>
      </c>
      <c r="AB34">
        <f>HYPERLINK("https://klasma.github.io/Logging_1783/klagomålsmail/A 62954-2025 FSC-klagomål mail.docx", "A 62954-2025")</f>
        <v/>
      </c>
      <c r="AC34">
        <f>HYPERLINK("https://klasma.github.io/Logging_1783/tillsyn/A 62954-2025 tillsynsbegäran.docx", "A 62954-2025")</f>
        <v/>
      </c>
      <c r="AD34">
        <f>HYPERLINK("https://klasma.github.io/Logging_1783/tillsynsmail/A 62954-2025 tillsynsbegäran mail.docx", "A 62954-2025")</f>
        <v/>
      </c>
    </row>
    <row r="35" ht="15" customHeight="1">
      <c r="A35" t="inlineStr">
        <is>
          <t>A 24885-2025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46292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husmossa</t>
        </is>
      </c>
      <c r="W35">
        <f>HYPERLINK("https://klasma.github.io/Logging_1783/artfynd/A 24885-2025 artfynd.xlsx", "A 24885-2025")</f>
        <v/>
      </c>
      <c r="X35">
        <f>HYPERLINK("https://klasma.github.io/Logging_1783/kartor/A 24885-2025 karta.png", "A 24885-2025")</f>
        <v/>
      </c>
      <c r="Y35">
        <f>HYPERLINK("https://klasma.github.io/Logging_1783/kartor_geotiff/A 24885-2025 georefererad karta.tif", "A 24885-2025")</f>
        <v/>
      </c>
      <c r="AA35">
        <f>HYPERLINK("https://klasma.github.io/Logging_1783/klagomål/A 24885-2025 FSC-klagomål.docx", "A 24885-2025")</f>
        <v/>
      </c>
      <c r="AB35">
        <f>HYPERLINK("https://klasma.github.io/Logging_1783/klagomålsmail/A 24885-2025 FSC-klagomål mail.docx", "A 24885-2025")</f>
        <v/>
      </c>
      <c r="AC35">
        <f>HYPERLINK("https://klasma.github.io/Logging_1783/tillsyn/A 24885-2025 tillsynsbegäran.docx", "A 24885-2025")</f>
        <v/>
      </c>
      <c r="AD35">
        <f>HYPERLINK("https://klasma.github.io/Logging_1783/tillsynsmail/A 24885-2025 tillsynsbegäran mail.docx", "A 24885-2025")</f>
        <v/>
      </c>
    </row>
    <row r="36" ht="15" customHeight="1">
      <c r="A36" t="inlineStr">
        <is>
          <t>A 38267-2024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46292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4.3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HYPERLINK("https://klasma.github.io/Logging_1783/artfynd/A 38267-2024 artfynd.xlsx", "A 38267-2024")</f>
        <v/>
      </c>
      <c r="X36">
        <f>HYPERLINK("https://klasma.github.io/Logging_1783/kartor/A 38267-2024 karta.png", "A 38267-2024")</f>
        <v/>
      </c>
      <c r="Y36">
        <f>HYPERLINK("https://klasma.github.io/Logging_1783/kartor_geotiff/A 38267-2024 georefererad karta.tif", "A 38267-2024")</f>
        <v/>
      </c>
      <c r="AA36">
        <f>HYPERLINK("https://klasma.github.io/Logging_1783/klagomål/A 38267-2024 FSC-klagomål.docx", "A 38267-2024")</f>
        <v/>
      </c>
      <c r="AB36">
        <f>HYPERLINK("https://klasma.github.io/Logging_1783/klagomålsmail/A 38267-2024 FSC-klagomål mail.docx", "A 38267-2024")</f>
        <v/>
      </c>
      <c r="AC36">
        <f>HYPERLINK("https://klasma.github.io/Logging_1783/tillsyn/A 38267-2024 tillsynsbegäran.docx", "A 38267-2024")</f>
        <v/>
      </c>
      <c r="AD36">
        <f>HYPERLINK("https://klasma.github.io/Logging_1783/tillsynsmail/A 38267-2024 tillsynsbegäran mail.docx", "A 38267-2024")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46292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46292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8254-2026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46292</v>
      </c>
      <c r="F39" t="inlineStr">
        <is>
          <t>VÄRMLANDS LÄN</t>
        </is>
      </c>
      <c r="G39" t="inlineStr">
        <is>
          <t>HAGFORS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HYPERLINK("https://klasma.github.io/Logging_1783/artfynd/A 8254-2026 artfynd.xlsx", "A 8254-2026")</f>
        <v/>
      </c>
      <c r="X39">
        <f>HYPERLINK("https://klasma.github.io/Logging_1783/kartor/A 8254-2026 karta.png", "A 8254-2026")</f>
        <v/>
      </c>
      <c r="Y39">
        <f>HYPERLINK("https://klasma.github.io/Logging_1783/kartor_geotiff/A 8254-2026 georefererad karta.tif", "A 8254-2026")</f>
        <v/>
      </c>
      <c r="AA39">
        <f>HYPERLINK("https://klasma.github.io/Logging_1783/klagomål/A 8254-2026 FSC-klagomål.docx", "A 8254-2026")</f>
        <v/>
      </c>
      <c r="AB39">
        <f>HYPERLINK("https://klasma.github.io/Logging_1783/klagomålsmail/A 8254-2026 FSC-klagomål mail.docx", "A 8254-2026")</f>
        <v/>
      </c>
      <c r="AC39">
        <f>HYPERLINK("https://klasma.github.io/Logging_1783/tillsyn/A 8254-2026 tillsynsbegäran.docx", "A 8254-2026")</f>
        <v/>
      </c>
      <c r="AD39">
        <f>HYPERLINK("https://klasma.github.io/Logging_1783/tillsynsmail/A 8254-2026 tillsynsbegäran mail.docx", "A 8254-2026")</f>
        <v/>
      </c>
    </row>
    <row r="40" ht="15" customHeight="1">
      <c r="A40" t="inlineStr">
        <is>
          <t>A 12445-2026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46292</v>
      </c>
      <c r="F40" t="inlineStr">
        <is>
          <t>VÄRMLANDS LÄN</t>
        </is>
      </c>
      <c r="G40" t="inlineStr">
        <is>
          <t>HAGFORS</t>
        </is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12445-2026 artfynd.xlsx", "A 12445-2026")</f>
        <v/>
      </c>
      <c r="X40">
        <f>HYPERLINK("https://klasma.github.io/Logging_1783/kartor/A 12445-2026 karta.png", "A 12445-2026")</f>
        <v/>
      </c>
      <c r="Y40">
        <f>HYPERLINK("https://klasma.github.io/Logging_1783/kartor_geotiff/A 12445-2026 georefererad karta.tif", "A 12445-2026")</f>
        <v/>
      </c>
      <c r="AA40">
        <f>HYPERLINK("https://klasma.github.io/Logging_1783/klagomål/A 12445-2026 FSC-klagomål.docx", "A 12445-2026")</f>
        <v/>
      </c>
      <c r="AB40">
        <f>HYPERLINK("https://klasma.github.io/Logging_1783/klagomålsmail/A 12445-2026 FSC-klagomål mail.docx", "A 12445-2026")</f>
        <v/>
      </c>
      <c r="AC40">
        <f>HYPERLINK("https://klasma.github.io/Logging_1783/tillsyn/A 12445-2026 tillsynsbegäran.docx", "A 12445-2026")</f>
        <v/>
      </c>
      <c r="AD40">
        <f>HYPERLINK("https://klasma.github.io/Logging_1783/tillsynsmail/A 12445-2026 tillsynsbegäran mail.docx", "A 12445-2026")</f>
        <v/>
      </c>
      <c r="AE40">
        <f>HYPERLINK("https://klasma.github.io/Logging_1783/fåglar/A 12445-2026 prioriterade fågelarter.docx", "A 12445-2026")</f>
        <v/>
      </c>
    </row>
    <row r="41" ht="15" customHeight="1">
      <c r="A41" t="inlineStr">
        <is>
          <t>A 26624-2025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45810</v>
      </c>
      <c r="E41" s="1" t="n">
        <v>46292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HYPERLINK("https://klasma.github.io/Logging_1783/artfynd/A 26624-2025 artfynd.xlsx", "A 26624-2025")</f>
        <v/>
      </c>
      <c r="X41">
        <f>HYPERLINK("https://klasma.github.io/Logging_1783/kartor/A 26624-2025 karta.png", "A 26624-2025")</f>
        <v/>
      </c>
      <c r="Y41">
        <f>HYPERLINK("https://klasma.github.io/Logging_1783/kartor_geotiff/A 26624-2025 georefererad karta.tif", "A 26624-2025")</f>
        <v/>
      </c>
      <c r="AA41">
        <f>HYPERLINK("https://klasma.github.io/Logging_1783/klagomål/A 26624-2025 FSC-klagomål.docx", "A 26624-2025")</f>
        <v/>
      </c>
      <c r="AB41">
        <f>HYPERLINK("https://klasma.github.io/Logging_1783/klagomålsmail/A 26624-2025 FSC-klagomål mail.docx", "A 26624-2025")</f>
        <v/>
      </c>
      <c r="AC41">
        <f>HYPERLINK("https://klasma.github.io/Logging_1783/tillsyn/A 26624-2025 tillsynsbegäran.docx", "A 26624-2025")</f>
        <v/>
      </c>
      <c r="AD41">
        <f>HYPERLINK("https://klasma.github.io/Logging_1783/tillsynsmail/A 26624-2025 tillsynsbegäran mail.docx", "A 26624-2025")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46292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46292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19362-2026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46133</v>
      </c>
      <c r="E44" s="1" t="n">
        <v>46292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19362-2026 artfynd.xlsx", "A 19362-2026")</f>
        <v/>
      </c>
      <c r="X44">
        <f>HYPERLINK("https://klasma.github.io/Logging_1783/kartor/A 19362-2026 karta.png", "A 19362-2026")</f>
        <v/>
      </c>
      <c r="Y44">
        <f>HYPERLINK("https://klasma.github.io/Logging_1783/kartor_geotiff/A 19362-2026 georefererad karta.tif", "A 19362-2026")</f>
        <v/>
      </c>
      <c r="AA44">
        <f>HYPERLINK("https://klasma.github.io/Logging_1783/klagomål/A 19362-2026 FSC-klagomål.docx", "A 19362-2026")</f>
        <v/>
      </c>
      <c r="AB44">
        <f>HYPERLINK("https://klasma.github.io/Logging_1783/klagomålsmail/A 19362-2026 FSC-klagomål mail.docx", "A 19362-2026")</f>
        <v/>
      </c>
      <c r="AC44">
        <f>HYPERLINK("https://klasma.github.io/Logging_1783/tillsyn/A 19362-2026 tillsynsbegäran.docx", "A 19362-2026")</f>
        <v/>
      </c>
      <c r="AD44">
        <f>HYPERLINK("https://klasma.github.io/Logging_1783/tillsynsmail/A 19362-2026 tillsynsbegäran mail.docx", "A 19362-2026")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46292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34158-2025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45845</v>
      </c>
      <c r="E46" s="1" t="n">
        <v>46292</v>
      </c>
      <c r="F46" t="inlineStr">
        <is>
          <t>VÄRMLANDS LÄN</t>
        </is>
      </c>
      <c r="G46" t="inlineStr">
        <is>
          <t>HAGFORS</t>
        </is>
      </c>
      <c r="I46" t="n">
        <v>5.8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Korallblylav</t>
        </is>
      </c>
      <c r="W46">
        <f>HYPERLINK("https://klasma.github.io/Logging_1783/artfynd/A 34158-2025 artfynd.xlsx", "A 34158-2025")</f>
        <v/>
      </c>
      <c r="X46">
        <f>HYPERLINK("https://klasma.github.io/Logging_1783/kartor/A 34158-2025 karta.png", "A 34158-2025")</f>
        <v/>
      </c>
      <c r="Y46">
        <f>HYPERLINK("https://klasma.github.io/Logging_1783/kartor_geotiff/A 34158-2025 georefererad karta.tif", "A 34158-2025")</f>
        <v/>
      </c>
      <c r="AA46">
        <f>HYPERLINK("https://klasma.github.io/Logging_1783/klagomål/A 34158-2025 FSC-klagomål.docx", "A 34158-2025")</f>
        <v/>
      </c>
      <c r="AB46">
        <f>HYPERLINK("https://klasma.github.io/Logging_1783/klagomålsmail/A 34158-2025 FSC-klagomål mail.docx", "A 34158-2025")</f>
        <v/>
      </c>
      <c r="AC46">
        <f>HYPERLINK("https://klasma.github.io/Logging_1783/tillsyn/A 34158-2025 tillsynsbegäran.docx", "A 34158-2025")</f>
        <v/>
      </c>
      <c r="AD46">
        <f>HYPERLINK("https://klasma.github.io/Logging_1783/tillsynsmail/A 34158-2025 tillsynsbegäran mail.docx", "A 34158-2025")</f>
        <v/>
      </c>
    </row>
    <row r="47" ht="15" customHeight="1">
      <c r="A47" t="inlineStr">
        <is>
          <t>A 33848-2025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45842</v>
      </c>
      <c r="E47" s="1" t="n">
        <v>46292</v>
      </c>
      <c r="F47" t="inlineStr">
        <is>
          <t>VÄRMLANDS LÄN</t>
        </is>
      </c>
      <c r="G47" t="inlineStr">
        <is>
          <t>HAGFORS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33848-2025 artfynd.xlsx", "A 33848-2025")</f>
        <v/>
      </c>
      <c r="X47">
        <f>HYPERLINK("https://klasma.github.io/Logging_1783/kartor/A 33848-2025 karta.png", "A 33848-2025")</f>
        <v/>
      </c>
      <c r="Y47">
        <f>HYPERLINK("https://klasma.github.io/Logging_1783/kartor_geotiff/A 33848-2025 georefererad karta.tif", "A 33848-2025")</f>
        <v/>
      </c>
      <c r="AA47">
        <f>HYPERLINK("https://klasma.github.io/Logging_1783/klagomål/A 33848-2025 FSC-klagomål.docx", "A 33848-2025")</f>
        <v/>
      </c>
      <c r="AB47">
        <f>HYPERLINK("https://klasma.github.io/Logging_1783/klagomålsmail/A 33848-2025 FSC-klagomål mail.docx", "A 33848-2025")</f>
        <v/>
      </c>
      <c r="AC47">
        <f>HYPERLINK("https://klasma.github.io/Logging_1783/tillsyn/A 33848-2025 tillsynsbegäran.docx", "A 33848-2025")</f>
        <v/>
      </c>
      <c r="AD47">
        <f>HYPERLINK("https://klasma.github.io/Logging_1783/tillsynsmail/A 33848-2025 tillsynsbegäran mail.docx", "A 33848-2025")</f>
        <v/>
      </c>
    </row>
    <row r="48" ht="15" customHeight="1">
      <c r="A48" t="inlineStr">
        <is>
          <t>A 24659-2026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46171</v>
      </c>
      <c r="E48" s="1" t="n">
        <v>46292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Garnlav</t>
        </is>
      </c>
      <c r="W48">
        <f>HYPERLINK("https://klasma.github.io/Logging_1783/artfynd/A 24659-2026 artfynd.xlsx", "A 24659-2026")</f>
        <v/>
      </c>
      <c r="X48">
        <f>HYPERLINK("https://klasma.github.io/Logging_1783/kartor/A 24659-2026 karta.png", "A 24659-2026")</f>
        <v/>
      </c>
      <c r="Y48">
        <f>HYPERLINK("https://klasma.github.io/Logging_1783/kartor_geotiff/A 24659-2026 georefererad karta.tif", "A 24659-2026")</f>
        <v/>
      </c>
      <c r="AA48">
        <f>HYPERLINK("https://klasma.github.io/Logging_1783/klagomål/A 24659-2026 FSC-klagomål.docx", "A 24659-2026")</f>
        <v/>
      </c>
      <c r="AB48">
        <f>HYPERLINK("https://klasma.github.io/Logging_1783/klagomålsmail/A 24659-2026 FSC-klagomål mail.docx", "A 24659-2026")</f>
        <v/>
      </c>
      <c r="AC48">
        <f>HYPERLINK("https://klasma.github.io/Logging_1783/tillsyn/A 24659-2026 tillsynsbegäran.docx", "A 24659-2026")</f>
        <v/>
      </c>
      <c r="AD48">
        <f>HYPERLINK("https://klasma.github.io/Logging_1783/tillsynsmail/A 24659-2026 tillsynsbegäran mail.docx", "A 24659-2026")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46292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20119-2025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46292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4.1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HYPERLINK("https://klasma.github.io/Logging_1783/artfynd/A 20119-2025 artfynd.xlsx", "A 20119-2025")</f>
        <v/>
      </c>
      <c r="X50">
        <f>HYPERLINK("https://klasma.github.io/Logging_1783/kartor/A 20119-2025 karta.png", "A 20119-2025")</f>
        <v/>
      </c>
      <c r="Y50">
        <f>HYPERLINK("https://klasma.github.io/Logging_1783/kartor_geotiff/A 20119-2025 georefererad karta.tif", "A 20119-2025")</f>
        <v/>
      </c>
      <c r="AA50">
        <f>HYPERLINK("https://klasma.github.io/Logging_1783/klagomål/A 20119-2025 FSC-klagomål.docx", "A 20119-2025")</f>
        <v/>
      </c>
      <c r="AB50">
        <f>HYPERLINK("https://klasma.github.io/Logging_1783/klagomålsmail/A 20119-2025 FSC-klagomål mail.docx", "A 20119-2025")</f>
        <v/>
      </c>
      <c r="AC50">
        <f>HYPERLINK("https://klasma.github.io/Logging_1783/tillsyn/A 20119-2025 tillsynsbegäran.docx", "A 20119-2025")</f>
        <v/>
      </c>
      <c r="AD50">
        <f>HYPERLINK("https://klasma.github.io/Logging_1783/tillsynsmail/A 20119-2025 tillsynsbegäran mail.docx", "A 20119-2025")</f>
        <v/>
      </c>
      <c r="AE50">
        <f>HYPERLINK("https://klasma.github.io/Logging_1783/fåglar/A 20119-2025 prioriterade fågelarter.docx", "A 20119-2025")</f>
        <v/>
      </c>
    </row>
    <row r="51" ht="15" customHeight="1">
      <c r="A51" t="inlineStr">
        <is>
          <t>A 33905-2025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45842</v>
      </c>
      <c r="E51" s="1" t="n">
        <v>46292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7.8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33905-2025 artfynd.xlsx", "A 33905-2025")</f>
        <v/>
      </c>
      <c r="X51">
        <f>HYPERLINK("https://klasma.github.io/Logging_1783/kartor/A 33905-2025 karta.png", "A 33905-2025")</f>
        <v/>
      </c>
      <c r="Y51">
        <f>HYPERLINK("https://klasma.github.io/Logging_1783/kartor_geotiff/A 33905-2025 georefererad karta.tif", "A 33905-2025")</f>
        <v/>
      </c>
      <c r="AA51">
        <f>HYPERLINK("https://klasma.github.io/Logging_1783/klagomål/A 33905-2025 FSC-klagomål.docx", "A 33905-2025")</f>
        <v/>
      </c>
      <c r="AB51">
        <f>HYPERLINK("https://klasma.github.io/Logging_1783/klagomålsmail/A 33905-2025 FSC-klagomål mail.docx", "A 33905-2025")</f>
        <v/>
      </c>
      <c r="AC51">
        <f>HYPERLINK("https://klasma.github.io/Logging_1783/tillsyn/A 33905-2025 tillsynsbegäran.docx", "A 33905-2025")</f>
        <v/>
      </c>
      <c r="AD51">
        <f>HYPERLINK("https://klasma.github.io/Logging_1783/tillsynsmail/A 33905-2025 tillsynsbegäran mail.docx", "A 33905-2025")</f>
        <v/>
      </c>
    </row>
    <row r="52" ht="15" customHeight="1">
      <c r="A52" t="inlineStr">
        <is>
          <t>A 6986-2022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46292</v>
      </c>
      <c r="F52" t="inlineStr">
        <is>
          <t>VÄRMLANDS LÄN</t>
        </is>
      </c>
      <c r="G52" t="inlineStr">
        <is>
          <t>HAGFORS</t>
        </is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Vedticka</t>
        </is>
      </c>
      <c r="W52">
        <f>HYPERLINK("https://klasma.github.io/Logging_1783/artfynd/A 6986-2022 artfynd.xlsx", "A 6986-2022")</f>
        <v/>
      </c>
      <c r="X52">
        <f>HYPERLINK("https://klasma.github.io/Logging_1783/kartor/A 6986-2022 karta.png", "A 6986-2022")</f>
        <v/>
      </c>
      <c r="Y52">
        <f>HYPERLINK("https://klasma.github.io/Logging_1783/kartor_geotiff/A 6986-2022 georefererad karta.tif", "A 6986-2022")</f>
        <v/>
      </c>
      <c r="AA52">
        <f>HYPERLINK("https://klasma.github.io/Logging_1783/klagomål/A 6986-2022 FSC-klagomål.docx", "A 6986-2022")</f>
        <v/>
      </c>
      <c r="AB52">
        <f>HYPERLINK("https://klasma.github.io/Logging_1783/klagomålsmail/A 6986-2022 FSC-klagomål mail.docx", "A 6986-2022")</f>
        <v/>
      </c>
      <c r="AC52">
        <f>HYPERLINK("https://klasma.github.io/Logging_1783/tillsyn/A 6986-2022 tillsynsbegäran.docx", "A 6986-2022")</f>
        <v/>
      </c>
      <c r="AD52">
        <f>HYPERLINK("https://klasma.github.io/Logging_1783/tillsynsmail/A 6986-2022 tillsynsbegäran mail.docx", "A 6986-2022")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46292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29432-2026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46292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3.1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Vedtrappmossa</t>
        </is>
      </c>
      <c r="W54">
        <f>HYPERLINK("https://klasma.github.io/Logging_1783/artfynd/A 29432-2026 artfynd.xlsx", "A 29432-2026")</f>
        <v/>
      </c>
      <c r="X54">
        <f>HYPERLINK("https://klasma.github.io/Logging_1783/kartor/A 29432-2026 karta.png", "A 29432-2026")</f>
        <v/>
      </c>
      <c r="Y54">
        <f>HYPERLINK("https://klasma.github.io/Logging_1783/kartor_geotiff/A 29432-2026 georefererad karta.tif", "A 29432-2026")</f>
        <v/>
      </c>
      <c r="AA54">
        <f>HYPERLINK("https://klasma.github.io/Logging_1783/klagomål/A 29432-2026 FSC-klagomål.docx", "A 29432-2026")</f>
        <v/>
      </c>
      <c r="AB54">
        <f>HYPERLINK("https://klasma.github.io/Logging_1783/klagomålsmail/A 29432-2026 FSC-klagomål mail.docx", "A 29432-2026")</f>
        <v/>
      </c>
      <c r="AC54">
        <f>HYPERLINK("https://klasma.github.io/Logging_1783/tillsyn/A 29432-2026 tillsynsbegäran.docx", "A 29432-2026")</f>
        <v/>
      </c>
      <c r="AD54">
        <f>HYPERLINK("https://klasma.github.io/Logging_1783/tillsynsmail/A 29432-2026 tillsynsbegäran mail.docx", "A 29432-2026")</f>
        <v/>
      </c>
    </row>
    <row r="55" ht="15" customHeight="1">
      <c r="A55" t="inlineStr">
        <is>
          <t>A 30524-2022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44762</v>
      </c>
      <c r="E55" s="1" t="n">
        <v>46292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Kolflarnlav</t>
        </is>
      </c>
      <c r="W55">
        <f>HYPERLINK("https://klasma.github.io/Logging_1783/artfynd/A 30524-2022 artfynd.xlsx", "A 30524-2022")</f>
        <v/>
      </c>
      <c r="X55">
        <f>HYPERLINK("https://klasma.github.io/Logging_1783/kartor/A 30524-2022 karta.png", "A 30524-2022")</f>
        <v/>
      </c>
      <c r="Y55">
        <f>HYPERLINK("https://klasma.github.io/Logging_1783/kartor_geotiff/A 30524-2022 georefererad karta.tif", "A 30524-2022")</f>
        <v/>
      </c>
      <c r="AA55">
        <f>HYPERLINK("https://klasma.github.io/Logging_1783/klagomål/A 30524-2022 FSC-klagomål.docx", "A 30524-2022")</f>
        <v/>
      </c>
      <c r="AB55">
        <f>HYPERLINK("https://klasma.github.io/Logging_1783/klagomålsmail/A 30524-2022 FSC-klagomål mail.docx", "A 30524-2022")</f>
        <v/>
      </c>
      <c r="AC55">
        <f>HYPERLINK("https://klasma.github.io/Logging_1783/tillsyn/A 30524-2022 tillsynsbegäran.docx", "A 30524-2022")</f>
        <v/>
      </c>
      <c r="AD55">
        <f>HYPERLINK("https://klasma.github.io/Logging_1783/tillsynsmail/A 30524-2022 tillsynsbegäran mail.docx", "A 30524-2022")</f>
        <v/>
      </c>
    </row>
    <row r="56" ht="15" customHeight="1">
      <c r="A56" t="inlineStr">
        <is>
          <t>A 44095-2023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46292</v>
      </c>
      <c r="F56" t="inlineStr">
        <is>
          <t>VÄRMLANDS LÄN</t>
        </is>
      </c>
      <c r="G56" t="inlineStr">
        <is>
          <t>HAGFORS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HYPERLINK("https://klasma.github.io/Logging_1783/artfynd/A 44095-2023 artfynd.xlsx", "A 44095-2023")</f>
        <v/>
      </c>
      <c r="X56">
        <f>HYPERLINK("https://klasma.github.io/Logging_1783/kartor/A 44095-2023 karta.png", "A 44095-2023")</f>
        <v/>
      </c>
      <c r="Y56">
        <f>HYPERLINK("https://klasma.github.io/Logging_1783/kartor_geotiff/A 44095-2023 georefererad karta.tif", "A 44095-2023")</f>
        <v/>
      </c>
      <c r="AA56">
        <f>HYPERLINK("https://klasma.github.io/Logging_1783/klagomål/A 44095-2023 FSC-klagomål.docx", "A 44095-2023")</f>
        <v/>
      </c>
      <c r="AB56">
        <f>HYPERLINK("https://klasma.github.io/Logging_1783/klagomålsmail/A 44095-2023 FSC-klagomål mail.docx", "A 44095-2023")</f>
        <v/>
      </c>
      <c r="AC56">
        <f>HYPERLINK("https://klasma.github.io/Logging_1783/tillsyn/A 44095-2023 tillsynsbegäran.docx", "A 44095-2023")</f>
        <v/>
      </c>
      <c r="AD56">
        <f>HYPERLINK("https://klasma.github.io/Logging_1783/tillsynsmail/A 44095-2023 tillsynsbegäran mail.docx", "A 44095-2023")</f>
        <v/>
      </c>
    </row>
    <row r="57" ht="15" customHeight="1">
      <c r="A57" t="inlineStr">
        <is>
          <t>A 35679-2026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46265</v>
      </c>
      <c r="E57" s="1" t="n">
        <v>46292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HYPERLINK("https://klasma.github.io/Logging_1783/artfynd/A 35679-2026 artfynd.xlsx", "A 35679-2026")</f>
        <v/>
      </c>
      <c r="X57">
        <f>HYPERLINK("https://klasma.github.io/Logging_1783/kartor/A 35679-2026 karta.png", "A 35679-2026")</f>
        <v/>
      </c>
      <c r="Y57">
        <f>HYPERLINK("https://klasma.github.io/Logging_1783/kartor_geotiff/A 35679-2026 georefererad karta.tif", "A 35679-2026")</f>
        <v/>
      </c>
      <c r="AA57">
        <f>HYPERLINK("https://klasma.github.io/Logging_1783/klagomål/A 35679-2026 FSC-klagomål.docx", "A 35679-2026")</f>
        <v/>
      </c>
      <c r="AB57">
        <f>HYPERLINK("https://klasma.github.io/Logging_1783/klagomålsmail/A 35679-2026 FSC-klagomål mail.docx", "A 35679-2026")</f>
        <v/>
      </c>
      <c r="AC57">
        <f>HYPERLINK("https://klasma.github.io/Logging_1783/tillsyn/A 35679-2026 tillsynsbegäran.docx", "A 35679-2026")</f>
        <v/>
      </c>
      <c r="AD57">
        <f>HYPERLINK("https://klasma.github.io/Logging_1783/tillsynsmail/A 35679-2026 tillsynsbegäran mail.docx", "A 35679-2026")</f>
        <v/>
      </c>
      <c r="AE57">
        <f>HYPERLINK("https://klasma.github.io/Logging_1783/fåglar/A 35679-2026 prioriterade fågelarter.docx", "A 35679-2026")</f>
        <v/>
      </c>
    </row>
    <row r="58" ht="15" customHeight="1">
      <c r="A58" t="inlineStr">
        <is>
          <t>A 36223-2026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46268</v>
      </c>
      <c r="E58" s="1" t="n">
        <v>46292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Gråspett</t>
        </is>
      </c>
      <c r="W58">
        <f>HYPERLINK("https://klasma.github.io/Logging_1783/artfynd/A 36223-2026 artfynd.xlsx", "A 36223-2026")</f>
        <v/>
      </c>
      <c r="X58">
        <f>HYPERLINK("https://klasma.github.io/Logging_1783/kartor/A 36223-2026 karta.png", "A 36223-2026")</f>
        <v/>
      </c>
      <c r="Y58">
        <f>HYPERLINK("https://klasma.github.io/Logging_1783/kartor_geotiff/A 36223-2026 georefererad karta.tif", "A 36223-2026")</f>
        <v/>
      </c>
      <c r="AA58">
        <f>HYPERLINK("https://klasma.github.io/Logging_1783/klagomål/A 36223-2026 FSC-klagomål.docx", "A 36223-2026")</f>
        <v/>
      </c>
      <c r="AB58">
        <f>HYPERLINK("https://klasma.github.io/Logging_1783/klagomålsmail/A 36223-2026 FSC-klagomål mail.docx", "A 36223-2026")</f>
        <v/>
      </c>
      <c r="AC58">
        <f>HYPERLINK("https://klasma.github.io/Logging_1783/tillsyn/A 36223-2026 tillsynsbegäran.docx", "A 36223-2026")</f>
        <v/>
      </c>
      <c r="AD58">
        <f>HYPERLINK("https://klasma.github.io/Logging_1783/tillsynsmail/A 36223-2026 tillsynsbegäran mail.docx", "A 36223-2026")</f>
        <v/>
      </c>
      <c r="AE58">
        <f>HYPERLINK("https://klasma.github.io/Logging_1783/fåglar/A 36223-2026 prioriterade fågelarter.docx", "A 36223-2026")</f>
        <v/>
      </c>
    </row>
    <row r="59" ht="15" customHeight="1">
      <c r="A59" t="inlineStr">
        <is>
          <t>A 31742-2026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46227</v>
      </c>
      <c r="E59" s="1" t="n">
        <v>46292</v>
      </c>
      <c r="F59" t="inlineStr">
        <is>
          <t>VÄRMLANDS LÄN</t>
        </is>
      </c>
      <c r="G59" t="inlineStr">
        <is>
          <t>HAGFORS</t>
        </is>
      </c>
      <c r="I59" t="n">
        <v>4.2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Motaggsvamp</t>
        </is>
      </c>
      <c r="W59">
        <f>HYPERLINK("https://klasma.github.io/Logging_1783/artfynd/A 31742-2026 artfynd.xlsx", "A 31742-2026")</f>
        <v/>
      </c>
      <c r="X59">
        <f>HYPERLINK("https://klasma.github.io/Logging_1783/kartor/A 31742-2026 karta.png", "A 31742-2026")</f>
        <v/>
      </c>
      <c r="Y59">
        <f>HYPERLINK("https://klasma.github.io/Logging_1783/kartor_geotiff/A 31742-2026 georefererad karta.tif", "A 31742-2026")</f>
        <v/>
      </c>
      <c r="AA59">
        <f>HYPERLINK("https://klasma.github.io/Logging_1783/klagomål/A 31742-2026 FSC-klagomål.docx", "A 31742-2026")</f>
        <v/>
      </c>
      <c r="AB59">
        <f>HYPERLINK("https://klasma.github.io/Logging_1783/klagomålsmail/A 31742-2026 FSC-klagomål mail.docx", "A 31742-2026")</f>
        <v/>
      </c>
      <c r="AC59">
        <f>HYPERLINK("https://klasma.github.io/Logging_1783/tillsyn/A 31742-2026 tillsynsbegäran.docx", "A 31742-2026")</f>
        <v/>
      </c>
      <c r="AD59">
        <f>HYPERLINK("https://klasma.github.io/Logging_1783/tillsynsmail/A 31742-2026 tillsynsbegäran mail.docx", "A 31742-2026")</f>
        <v/>
      </c>
    </row>
    <row r="60" ht="15" customHeight="1">
      <c r="A60" t="inlineStr">
        <is>
          <t>A 51194-2022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46292</v>
      </c>
      <c r="F60" t="inlineStr">
        <is>
          <t>VÄRMLANDS LÄN</t>
        </is>
      </c>
      <c r="G60" t="inlineStr">
        <is>
          <t>HAGFORS</t>
        </is>
      </c>
      <c r="I60" t="n">
        <v>1.6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HYPERLINK("https://klasma.github.io/Logging_1783/artfynd/A 51194-2022 artfynd.xlsx", "A 51194-2022")</f>
        <v/>
      </c>
      <c r="X60">
        <f>HYPERLINK("https://klasma.github.io/Logging_1783/kartor/A 51194-2022 karta.png", "A 51194-2022")</f>
        <v/>
      </c>
      <c r="Y60">
        <f>HYPERLINK("https://klasma.github.io/Logging_1783/kartor_geotiff/A 51194-2022 georefererad karta.tif", "A 51194-2022")</f>
        <v/>
      </c>
      <c r="AA60">
        <f>HYPERLINK("https://klasma.github.io/Logging_1783/klagomål/A 51194-2022 FSC-klagomål.docx", "A 51194-2022")</f>
        <v/>
      </c>
      <c r="AB60">
        <f>HYPERLINK("https://klasma.github.io/Logging_1783/klagomålsmail/A 51194-2022 FSC-klagomål mail.docx", "A 51194-2022")</f>
        <v/>
      </c>
      <c r="AC60">
        <f>HYPERLINK("https://klasma.github.io/Logging_1783/tillsyn/A 51194-2022 tillsynsbegäran.docx", "A 51194-2022")</f>
        <v/>
      </c>
      <c r="AD60">
        <f>HYPERLINK("https://klasma.github.io/Logging_1783/tillsynsmail/A 51194-2022 tillsynsbegäran mail.docx", "A 51194-2022")</f>
        <v/>
      </c>
    </row>
    <row r="61" ht="15" customHeight="1">
      <c r="A61" t="inlineStr">
        <is>
          <t>A 35256-2026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46261</v>
      </c>
      <c r="E61" s="1" t="n">
        <v>46292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35256-2026 artfynd.xlsx", "A 35256-2026")</f>
        <v/>
      </c>
      <c r="X61">
        <f>HYPERLINK("https://klasma.github.io/Logging_1783/kartor/A 35256-2026 karta.png", "A 35256-2026")</f>
        <v/>
      </c>
      <c r="Y61">
        <f>HYPERLINK("https://klasma.github.io/Logging_1783/kartor_geotiff/A 35256-2026 georefererad karta.tif", "A 35256-2026")</f>
        <v/>
      </c>
      <c r="AA61">
        <f>HYPERLINK("https://klasma.github.io/Logging_1783/klagomål/A 35256-2026 FSC-klagomål.docx", "A 35256-2026")</f>
        <v/>
      </c>
      <c r="AB61">
        <f>HYPERLINK("https://klasma.github.io/Logging_1783/klagomålsmail/A 35256-2026 FSC-klagomål mail.docx", "A 35256-2026")</f>
        <v/>
      </c>
      <c r="AC61">
        <f>HYPERLINK("https://klasma.github.io/Logging_1783/tillsyn/A 35256-2026 tillsynsbegäran.docx", "A 35256-2026")</f>
        <v/>
      </c>
      <c r="AD61">
        <f>HYPERLINK("https://klasma.github.io/Logging_1783/tillsynsmail/A 35256-2026 tillsynsbegäran mail.docx", "A 35256-2026")</f>
        <v/>
      </c>
    </row>
    <row r="62" ht="15" customHeight="1">
      <c r="A62" t="inlineStr">
        <is>
          <t>A 32592-2026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46240</v>
      </c>
      <c r="E62" s="1" t="n">
        <v>46292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HYPERLINK("https://klasma.github.io/Logging_1783/artfynd/A 32592-2026 artfynd.xlsx", "A 32592-2026")</f>
        <v/>
      </c>
      <c r="X62">
        <f>HYPERLINK("https://klasma.github.io/Logging_1783/kartor/A 32592-2026 karta.png", "A 32592-2026")</f>
        <v/>
      </c>
      <c r="Y62">
        <f>HYPERLINK("https://klasma.github.io/Logging_1783/kartor_geotiff/A 32592-2026 georefererad karta.tif", "A 32592-2026")</f>
        <v/>
      </c>
      <c r="AA62">
        <f>HYPERLINK("https://klasma.github.io/Logging_1783/klagomål/A 32592-2026 FSC-klagomål.docx", "A 32592-2026")</f>
        <v/>
      </c>
      <c r="AB62">
        <f>HYPERLINK("https://klasma.github.io/Logging_1783/klagomålsmail/A 32592-2026 FSC-klagomål mail.docx", "A 32592-2026")</f>
        <v/>
      </c>
      <c r="AC62">
        <f>HYPERLINK("https://klasma.github.io/Logging_1783/tillsyn/A 32592-2026 tillsynsbegäran.docx", "A 32592-2026")</f>
        <v/>
      </c>
      <c r="AD62">
        <f>HYPERLINK("https://klasma.github.io/Logging_1783/tillsynsmail/A 32592-2026 tillsynsbegäran mail.docx", "A 32592-2026")</f>
        <v/>
      </c>
    </row>
    <row r="63" ht="15" customHeight="1">
      <c r="A63" t="inlineStr">
        <is>
          <t>A 14850-2025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45743</v>
      </c>
      <c r="E63" s="1" t="n">
        <v>46292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HYPERLINK("https://klasma.github.io/Logging_1783/artfynd/A 14850-2025 artfynd.xlsx", "A 14850-2025")</f>
        <v/>
      </c>
      <c r="X63">
        <f>HYPERLINK("https://klasma.github.io/Logging_1783/kartor/A 14850-2025 karta.png", "A 14850-2025")</f>
        <v/>
      </c>
      <c r="Y63">
        <f>HYPERLINK("https://klasma.github.io/Logging_1783/kartor_geotiff/A 14850-2025 georefererad karta.tif", "A 14850-2025")</f>
        <v/>
      </c>
      <c r="AA63">
        <f>HYPERLINK("https://klasma.github.io/Logging_1783/klagomål/A 14850-2025 FSC-klagomål.docx", "A 14850-2025")</f>
        <v/>
      </c>
      <c r="AB63">
        <f>HYPERLINK("https://klasma.github.io/Logging_1783/klagomålsmail/A 14850-2025 FSC-klagomål mail.docx", "A 14850-2025")</f>
        <v/>
      </c>
      <c r="AC63">
        <f>HYPERLINK("https://klasma.github.io/Logging_1783/tillsyn/A 14850-2025 tillsynsbegäran.docx", "A 14850-2025")</f>
        <v/>
      </c>
      <c r="AD63">
        <f>HYPERLINK("https://klasma.github.io/Logging_1783/tillsynsmail/A 14850-2025 tillsynsbegäran mail.docx", "A 14850-2025")</f>
        <v/>
      </c>
    </row>
    <row r="64" ht="15" customHeight="1">
      <c r="A64" t="inlineStr">
        <is>
          <t>A 21309-2023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45062</v>
      </c>
      <c r="E64" s="1" t="n">
        <v>46292</v>
      </c>
      <c r="F64" t="inlineStr">
        <is>
          <t>VÄRMLANDS LÄN</t>
        </is>
      </c>
      <c r="G64" t="inlineStr">
        <is>
          <t>HAGFORS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3</v>
      </c>
      <c r="V64" s="2" t="inlineStr">
        <is>
          <t>Kattfot</t>
        </is>
      </c>
      <c r="W64">
        <f>HYPERLINK("https://klasma.github.io/Logging_1783/artfynd/A 21309-2023 artfynd.xlsx", "A 21309-2023")</f>
        <v/>
      </c>
      <c r="X64">
        <f>HYPERLINK("https://klasma.github.io/Logging_1783/kartor/A 21309-2023 karta.png", "A 21309-2023")</f>
        <v/>
      </c>
      <c r="Y64">
        <f>HYPERLINK("https://klasma.github.io/Logging_1783/kartor_geotiff/A 21309-2023 georefererad karta.tif", "A 21309-2023")</f>
        <v/>
      </c>
      <c r="AA64">
        <f>HYPERLINK("https://klasma.github.io/Logging_1783/klagomål/A 21309-2023 FSC-klagomål.docx", "A 21309-2023")</f>
        <v/>
      </c>
      <c r="AB64">
        <f>HYPERLINK("https://klasma.github.io/Logging_1783/klagomålsmail/A 21309-2023 FSC-klagomål mail.docx", "A 21309-2023")</f>
        <v/>
      </c>
      <c r="AC64">
        <f>HYPERLINK("https://klasma.github.io/Logging_1783/tillsyn/A 21309-2023 tillsynsbegäran.docx", "A 21309-2023")</f>
        <v/>
      </c>
      <c r="AD64">
        <f>HYPERLINK("https://klasma.github.io/Logging_1783/tillsynsmail/A 21309-2023 tillsynsbegäran mail.docx", "A 21309-2023")</f>
        <v/>
      </c>
    </row>
    <row r="65" ht="15" customHeight="1">
      <c r="A65" t="inlineStr">
        <is>
          <t>A 22484-2025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45786</v>
      </c>
      <c r="E65" s="1" t="n">
        <v>46292</v>
      </c>
      <c r="F65" t="inlineStr">
        <is>
          <t>VÄRMLANDS LÄN</t>
        </is>
      </c>
      <c r="G65" t="inlineStr">
        <is>
          <t>HAGFORS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Rödlånke</t>
        </is>
      </c>
      <c r="W65">
        <f>HYPERLINK("https://klasma.github.io/Logging_1783/artfynd/A 22484-2025 artfynd.xlsx", "A 22484-2025")</f>
        <v/>
      </c>
      <c r="X65">
        <f>HYPERLINK("https://klasma.github.io/Logging_1783/kartor/A 22484-2025 karta.png", "A 22484-2025")</f>
        <v/>
      </c>
      <c r="Y65">
        <f>HYPERLINK("https://klasma.github.io/Logging_1783/kartor_geotiff/A 22484-2025 georefererad karta.tif", "A 22484-2025")</f>
        <v/>
      </c>
      <c r="AA65">
        <f>HYPERLINK("https://klasma.github.io/Logging_1783/klagomål/A 22484-2025 FSC-klagomål.docx", "A 22484-2025")</f>
        <v/>
      </c>
      <c r="AB65">
        <f>HYPERLINK("https://klasma.github.io/Logging_1783/klagomålsmail/A 22484-2025 FSC-klagomål mail.docx", "A 22484-2025")</f>
        <v/>
      </c>
      <c r="AC65">
        <f>HYPERLINK("https://klasma.github.io/Logging_1783/tillsyn/A 22484-2025 tillsynsbegäran.docx", "A 22484-2025")</f>
        <v/>
      </c>
      <c r="AD65">
        <f>HYPERLINK("https://klasma.github.io/Logging_1783/tillsynsmail/A 22484-2025 tillsynsbegäran mail.docx", "A 22484-2025")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46292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46292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46292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46292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44465</v>
      </c>
      <c r="E70" s="1" t="n">
        <v>46292</v>
      </c>
      <c r="F70" t="inlineStr">
        <is>
          <t>VÄRMLANDS LÄN</t>
        </is>
      </c>
      <c r="G70" t="inlineStr">
        <is>
          <t>HAGFORS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46292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65299-2021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46292</v>
      </c>
      <c r="F72" t="inlineStr">
        <is>
          <t>VÄRMLANDS LÄN</t>
        </is>
      </c>
      <c r="G72" t="inlineStr">
        <is>
          <t>HAGFORS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46292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46292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46292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46292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46292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46292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46292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46292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46292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46292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46292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46292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46292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46292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46292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46292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46292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46292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46292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46292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46292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46292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46292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46292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46292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46292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46292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46292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46292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46292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46292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46292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46292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46292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46292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46292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65565-2021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46292</v>
      </c>
      <c r="F109" t="inlineStr">
        <is>
          <t>VÄRMLANDS LÄN</t>
        </is>
      </c>
      <c r="G109" t="inlineStr">
        <is>
          <t>HAGFORS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46292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46292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46292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46292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46292</v>
      </c>
      <c r="F114" t="inlineStr">
        <is>
          <t>VÄRMLANDS LÄN</t>
        </is>
      </c>
      <c r="G114" t="inlineStr">
        <is>
          <t>HAGFORS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46292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46292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45414</v>
      </c>
      <c r="E117" s="1" t="n">
        <v>46292</v>
      </c>
      <c r="F117" t="inlineStr">
        <is>
          <t>VÄRMLANDS LÄN</t>
        </is>
      </c>
      <c r="G117" t="inlineStr">
        <is>
          <t>HAGFORS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45414</v>
      </c>
      <c r="E118" s="1" t="n">
        <v>46292</v>
      </c>
      <c r="F118" t="inlineStr">
        <is>
          <t>VÄRMLANDS LÄN</t>
        </is>
      </c>
      <c r="G118" t="inlineStr">
        <is>
          <t>HAGFORS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45373</v>
      </c>
      <c r="E119" s="1" t="n">
        <v>46292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45338</v>
      </c>
      <c r="E120" s="1" t="n">
        <v>46292</v>
      </c>
      <c r="F120" t="inlineStr">
        <is>
          <t>VÄRMLANDS LÄN</t>
        </is>
      </c>
      <c r="G120" t="inlineStr">
        <is>
          <t>HAGFORS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46292</v>
      </c>
      <c r="F121" t="inlineStr">
        <is>
          <t>VÄRMLANDS LÄN</t>
        </is>
      </c>
      <c r="G121" t="inlineStr">
        <is>
          <t>HAGFORS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45400</v>
      </c>
      <c r="E122" s="1" t="n">
        <v>46292</v>
      </c>
      <c r="F122" t="inlineStr">
        <is>
          <t>VÄRMLANDS LÄN</t>
        </is>
      </c>
      <c r="G122" t="inlineStr">
        <is>
          <t>HAGFORS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44770</v>
      </c>
      <c r="E123" s="1" t="n">
        <v>46292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10.1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15538-2024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45401</v>
      </c>
      <c r="E124" s="1" t="n">
        <v>46292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46292</v>
      </c>
      <c r="F125" t="inlineStr">
        <is>
          <t>VÄRMLANDS LÄN</t>
        </is>
      </c>
      <c r="G125" t="inlineStr">
        <is>
          <t>HAGFORS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45441</v>
      </c>
      <c r="E126" s="1" t="n">
        <v>46292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46292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46292</v>
      </c>
      <c r="F128" t="inlineStr">
        <is>
          <t>VÄRMLANDS LÄN</t>
        </is>
      </c>
      <c r="G128" t="inlineStr">
        <is>
          <t>HAGFORS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46292</v>
      </c>
      <c r="F129" t="inlineStr">
        <is>
          <t>VÄRMLANDS LÄN</t>
        </is>
      </c>
      <c r="G129" t="inlineStr">
        <is>
          <t>HAGFORS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46292</v>
      </c>
      <c r="F130" t="inlineStr">
        <is>
          <t>VÄRMLANDS LÄN</t>
        </is>
      </c>
      <c r="G130" t="inlineStr">
        <is>
          <t>HAGFORS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46292</v>
      </c>
      <c r="F131" t="inlineStr">
        <is>
          <t>VÄRMLANDS LÄN</t>
        </is>
      </c>
      <c r="G131" t="inlineStr">
        <is>
          <t>HAGFORS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46292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46292</v>
      </c>
      <c r="F133" t="inlineStr">
        <is>
          <t>VÄRMLANDS LÄN</t>
        </is>
      </c>
      <c r="G133" t="inlineStr">
        <is>
          <t>HAGFORS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46292</v>
      </c>
      <c r="F134" t="inlineStr">
        <is>
          <t>VÄRMLANDS LÄN</t>
        </is>
      </c>
      <c r="G134" t="inlineStr">
        <is>
          <t>HAGFORS</t>
        </is>
      </c>
      <c r="H134" t="inlineStr">
        <is>
          <t>Kyrkan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45420</v>
      </c>
      <c r="E135" s="1" t="n">
        <v>46292</v>
      </c>
      <c r="F135" t="inlineStr">
        <is>
          <t>VÄRMLANDS LÄN</t>
        </is>
      </c>
      <c r="G135" t="inlineStr">
        <is>
          <t>HAGFORS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46292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46292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46292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46292</v>
      </c>
      <c r="F139" t="inlineStr">
        <is>
          <t>VÄRMLANDS LÄN</t>
        </is>
      </c>
      <c r="G139" t="inlineStr">
        <is>
          <t>HAGFORS</t>
        </is>
      </c>
      <c r="H139" t="inlineStr">
        <is>
          <t>Kyrkan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46292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39211-2022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46292</v>
      </c>
      <c r="F141" t="inlineStr">
        <is>
          <t>VÄRMLANDS LÄN</t>
        </is>
      </c>
      <c r="G141" t="inlineStr">
        <is>
          <t>HAGFORS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46292</v>
      </c>
      <c r="F142" t="inlineStr">
        <is>
          <t>VÄRMLANDS LÄN</t>
        </is>
      </c>
      <c r="G142" t="inlineStr">
        <is>
          <t>HAGFORS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35994-2024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46292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60167-2023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45258</v>
      </c>
      <c r="E144" s="1" t="n">
        <v>46292</v>
      </c>
      <c r="F144" t="inlineStr">
        <is>
          <t>VÄRMLANDS LÄN</t>
        </is>
      </c>
      <c r="G144" t="inlineStr">
        <is>
          <t>HAGFORS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46292</v>
      </c>
      <c r="F145" t="inlineStr">
        <is>
          <t>VÄRMLANDS LÄN</t>
        </is>
      </c>
      <c r="G145" t="inlineStr">
        <is>
          <t>HAGFORS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46292</v>
      </c>
      <c r="F146" t="inlineStr">
        <is>
          <t>VÄRMLANDS LÄN</t>
        </is>
      </c>
      <c r="G146" t="inlineStr">
        <is>
          <t>HAGFORS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45623</v>
      </c>
      <c r="E147" s="1" t="n">
        <v>46292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46292</v>
      </c>
      <c r="F148" t="inlineStr">
        <is>
          <t>VÄRMLANDS LÄN</t>
        </is>
      </c>
      <c r="G148" t="inlineStr">
        <is>
          <t>HAGFORS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46292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46292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46020</v>
      </c>
      <c r="E151" s="1" t="n">
        <v>46292</v>
      </c>
      <c r="F151" t="inlineStr">
        <is>
          <t>VÄRMLANDS LÄN</t>
        </is>
      </c>
      <c r="G151" t="inlineStr">
        <is>
          <t>HAGFORS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46018</v>
      </c>
      <c r="E152" s="1" t="n">
        <v>46292</v>
      </c>
      <c r="F152" t="inlineStr">
        <is>
          <t>VÄRMLANDS LÄN</t>
        </is>
      </c>
      <c r="G152" t="inlineStr">
        <is>
          <t>HAGFORS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46018</v>
      </c>
      <c r="E153" s="1" t="n">
        <v>46292</v>
      </c>
      <c r="F153" t="inlineStr">
        <is>
          <t>VÄRMLANDS LÄN</t>
        </is>
      </c>
      <c r="G153" t="inlineStr">
        <is>
          <t>HAGFORS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46020</v>
      </c>
      <c r="E154" s="1" t="n">
        <v>46292</v>
      </c>
      <c r="F154" t="inlineStr">
        <is>
          <t>VÄRMLANDS LÄN</t>
        </is>
      </c>
      <c r="G154" t="inlineStr">
        <is>
          <t>HAGFORS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46292</v>
      </c>
      <c r="F155" t="inlineStr">
        <is>
          <t>VÄRMLANDS LÄN</t>
        </is>
      </c>
      <c r="G155" t="inlineStr">
        <is>
          <t>HAGFORS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34529-2023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45140</v>
      </c>
      <c r="E156" s="1" t="n">
        <v>46292</v>
      </c>
      <c r="F156" t="inlineStr">
        <is>
          <t>VÄRMLANDS LÄN</t>
        </is>
      </c>
      <c r="G156" t="inlineStr">
        <is>
          <t>HAGFORS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45793</v>
      </c>
      <c r="E157" s="1" t="n">
        <v>46292</v>
      </c>
      <c r="F157" t="inlineStr">
        <is>
          <t>VÄRMLANDS LÄN</t>
        </is>
      </c>
      <c r="G157" t="inlineStr">
        <is>
          <t>HAGFORS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48807-2025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45937</v>
      </c>
      <c r="E158" s="1" t="n">
        <v>46292</v>
      </c>
      <c r="F158" t="inlineStr">
        <is>
          <t>VÄRMLANDS LÄN</t>
        </is>
      </c>
      <c r="G158" t="inlineStr">
        <is>
          <t>HAGFORS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15643-2024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45404</v>
      </c>
      <c r="E159" s="1" t="n">
        <v>46292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975-2026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46030</v>
      </c>
      <c r="E160" s="1" t="n">
        <v>46292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46292</v>
      </c>
      <c r="F161" t="inlineStr">
        <is>
          <t>VÄRMLANDS LÄN</t>
        </is>
      </c>
      <c r="G161" t="inlineStr">
        <is>
          <t>HAGFORS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24435-2025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45797</v>
      </c>
      <c r="E162" s="1" t="n">
        <v>46292</v>
      </c>
      <c r="F162" t="inlineStr">
        <is>
          <t>VÄRMLANDS LÄN</t>
        </is>
      </c>
      <c r="G162" t="inlineStr">
        <is>
          <t>HAGFORS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46292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58808-2022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46292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24434-2025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45797</v>
      </c>
      <c r="E165" s="1" t="n">
        <v>46292</v>
      </c>
      <c r="F165" t="inlineStr">
        <is>
          <t>VÄRMLANDS LÄN</t>
        </is>
      </c>
      <c r="G165" t="inlineStr">
        <is>
          <t>HAGFORS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46292</v>
      </c>
      <c r="F166" t="inlineStr">
        <is>
          <t>VÄRMLANDS LÄN</t>
        </is>
      </c>
      <c r="G166" t="inlineStr">
        <is>
          <t>HAGFORS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24438-2025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45797</v>
      </c>
      <c r="E167" s="1" t="n">
        <v>46292</v>
      </c>
      <c r="F167" t="inlineStr">
        <is>
          <t>VÄRMLANDS LÄN</t>
        </is>
      </c>
      <c r="G167" t="inlineStr">
        <is>
          <t>HAGFORS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46292</v>
      </c>
      <c r="F168" t="inlineStr">
        <is>
          <t>VÄRMLANDS LÄN</t>
        </is>
      </c>
      <c r="G168" t="inlineStr">
        <is>
          <t>HAGFORS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46292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46292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61169-2024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45645</v>
      </c>
      <c r="E171" s="1" t="n">
        <v>46292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46292</v>
      </c>
      <c r="F172" t="inlineStr">
        <is>
          <t>VÄRMLANDS LÄN</t>
        </is>
      </c>
      <c r="G172" t="inlineStr">
        <is>
          <t>HAGFORS</t>
        </is>
      </c>
      <c r="H172" t="inlineStr">
        <is>
          <t>Kyrkan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71447-2021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44540</v>
      </c>
      <c r="E173" s="1" t="n">
        <v>46292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46292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46292</v>
      </c>
      <c r="F175" t="inlineStr">
        <is>
          <t>VÄRMLANDS LÄN</t>
        </is>
      </c>
      <c r="G175" t="inlineStr">
        <is>
          <t>HAGFORS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46292</v>
      </c>
      <c r="F176" t="inlineStr">
        <is>
          <t>VÄRMLANDS LÄN</t>
        </is>
      </c>
      <c r="G176" t="inlineStr">
        <is>
          <t>HAGFORS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46292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46292</v>
      </c>
      <c r="F178" t="inlineStr">
        <is>
          <t>VÄRMLANDS LÄN</t>
        </is>
      </c>
      <c r="G178" t="inlineStr">
        <is>
          <t>HAGFORS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46292</v>
      </c>
      <c r="F179" t="inlineStr">
        <is>
          <t>VÄRMLANDS LÄN</t>
        </is>
      </c>
      <c r="G179" t="inlineStr">
        <is>
          <t>HAGFORS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46292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25031-2025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46292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45729</v>
      </c>
      <c r="E182" s="1" t="n">
        <v>46292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46292</v>
      </c>
      <c r="F183" t="inlineStr">
        <is>
          <t>VÄRMLANDS LÄN</t>
        </is>
      </c>
      <c r="G183" t="inlineStr">
        <is>
          <t>HAGFORS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45739</v>
      </c>
      <c r="E184" s="1" t="n">
        <v>46292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45575</v>
      </c>
      <c r="E185" s="1" t="n">
        <v>46292</v>
      </c>
      <c r="F185" t="inlineStr">
        <is>
          <t>VÄRMLANDS LÄN</t>
        </is>
      </c>
      <c r="G185" t="inlineStr">
        <is>
          <t>HAGFORS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46292</v>
      </c>
      <c r="F186" t="inlineStr">
        <is>
          <t>VÄRMLANDS LÄN</t>
        </is>
      </c>
      <c r="G186" t="inlineStr">
        <is>
          <t>HAGFORS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46292</v>
      </c>
      <c r="F187" t="inlineStr">
        <is>
          <t>VÄRMLANDS LÄN</t>
        </is>
      </c>
      <c r="G187" t="inlineStr">
        <is>
          <t>HAGFORS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46292</v>
      </c>
      <c r="F188" t="inlineStr">
        <is>
          <t>VÄRMLANDS LÄN</t>
        </is>
      </c>
      <c r="G188" t="inlineStr">
        <is>
          <t>HAGFORS</t>
        </is>
      </c>
      <c r="I188" t="n">
        <v>13.1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41739-2025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45902</v>
      </c>
      <c r="E189" s="1" t="n">
        <v>46292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35888-2023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46292</v>
      </c>
      <c r="F190" t="inlineStr">
        <is>
          <t>VÄRMLANDS LÄN</t>
        </is>
      </c>
      <c r="G190" t="inlineStr">
        <is>
          <t>HAGFORS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46292</v>
      </c>
      <c r="F191" t="inlineStr">
        <is>
          <t>VÄRMLANDS LÄN</t>
        </is>
      </c>
      <c r="G191" t="inlineStr">
        <is>
          <t>HAGFORS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46292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45475</v>
      </c>
      <c r="E193" s="1" t="n">
        <v>46292</v>
      </c>
      <c r="F193" t="inlineStr">
        <is>
          <t>VÄRMLANDS LÄN</t>
        </is>
      </c>
      <c r="G193" t="inlineStr">
        <is>
          <t>HAGFORS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46292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45902</v>
      </c>
      <c r="E195" s="1" t="n">
        <v>46292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46292</v>
      </c>
      <c r="F196" t="inlineStr">
        <is>
          <t>VÄRMLANDS LÄN</t>
        </is>
      </c>
      <c r="G196" t="inlineStr">
        <is>
          <t>HAGFORS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46292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46292</v>
      </c>
      <c r="F198" t="inlineStr">
        <is>
          <t>VÄRMLANDS LÄN</t>
        </is>
      </c>
      <c r="G198" t="inlineStr">
        <is>
          <t>HAGFORS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46292</v>
      </c>
      <c r="F199" t="inlineStr">
        <is>
          <t>VÄRMLANDS LÄN</t>
        </is>
      </c>
      <c r="G199" t="inlineStr">
        <is>
          <t>HAGFORS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46292</v>
      </c>
      <c r="F200" t="inlineStr">
        <is>
          <t>VÄRMLANDS LÄN</t>
        </is>
      </c>
      <c r="G200" t="inlineStr">
        <is>
          <t>HAGFORS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46050</v>
      </c>
      <c r="E201" s="1" t="n">
        <v>46292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46050</v>
      </c>
      <c r="E202" s="1" t="n">
        <v>46292</v>
      </c>
      <c r="F202" t="inlineStr">
        <is>
          <t>VÄRMLANDS LÄN</t>
        </is>
      </c>
      <c r="G202" t="inlineStr">
        <is>
          <t>HAGFORS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45050</v>
      </c>
      <c r="E203" s="1" t="n">
        <v>46292</v>
      </c>
      <c r="F203" t="inlineStr">
        <is>
          <t>VÄRMLANDS LÄN</t>
        </is>
      </c>
      <c r="G203" t="inlineStr">
        <is>
          <t>HAGFORS</t>
        </is>
      </c>
      <c r="H203" t="inlineStr">
        <is>
          <t>Kommuner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45905</v>
      </c>
      <c r="E204" s="1" t="n">
        <v>46292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45905</v>
      </c>
      <c r="E205" s="1" t="n">
        <v>46292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45905</v>
      </c>
      <c r="E206" s="1" t="n">
        <v>46292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46052</v>
      </c>
      <c r="E207" s="1" t="n">
        <v>46292</v>
      </c>
      <c r="F207" t="inlineStr">
        <is>
          <t>VÄRMLANDS LÄN</t>
        </is>
      </c>
      <c r="G207" t="inlineStr">
        <is>
          <t>HAGFORS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46292</v>
      </c>
      <c r="F208" t="inlineStr">
        <is>
          <t>VÄRMLANDS LÄN</t>
        </is>
      </c>
      <c r="G208" t="inlineStr">
        <is>
          <t>HAGFORS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46292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46292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46057</v>
      </c>
      <c r="E211" s="1" t="n">
        <v>46292</v>
      </c>
      <c r="F211" t="inlineStr">
        <is>
          <t>VÄRMLANDS LÄN</t>
        </is>
      </c>
      <c r="G211" t="inlineStr">
        <is>
          <t>HAGFORS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44938</v>
      </c>
      <c r="E212" s="1" t="n">
        <v>46292</v>
      </c>
      <c r="F212" t="inlineStr">
        <is>
          <t>VÄRMLANDS LÄN</t>
        </is>
      </c>
      <c r="G212" t="inlineStr">
        <is>
          <t>HAGFORS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49766-2023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45212</v>
      </c>
      <c r="E213" s="1" t="n">
        <v>46292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45562</v>
      </c>
      <c r="E214" s="1" t="n">
        <v>46292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42171-2024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46292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45562</v>
      </c>
      <c r="E216" s="1" t="n">
        <v>46292</v>
      </c>
      <c r="F216" t="inlineStr">
        <is>
          <t>VÄRMLANDS LÄN</t>
        </is>
      </c>
      <c r="G216" t="inlineStr">
        <is>
          <t>HAGFORS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46292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45492</v>
      </c>
      <c r="E218" s="1" t="n">
        <v>46292</v>
      </c>
      <c r="F218" t="inlineStr">
        <is>
          <t>VÄRMLANDS LÄN</t>
        </is>
      </c>
      <c r="G218" t="inlineStr">
        <is>
          <t>HAGFORS</t>
        </is>
      </c>
      <c r="H218" t="inlineStr">
        <is>
          <t>Kyrkan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46292</v>
      </c>
      <c r="F219" t="inlineStr">
        <is>
          <t>VÄRMLANDS LÄN</t>
        </is>
      </c>
      <c r="G219" t="inlineStr">
        <is>
          <t>HAGFORS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46292</v>
      </c>
      <c r="F220" t="inlineStr">
        <is>
          <t>VÄRMLANDS LÄN</t>
        </is>
      </c>
      <c r="G220" t="inlineStr">
        <is>
          <t>HAGFORS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45641-2025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46292</v>
      </c>
      <c r="F221" t="inlineStr">
        <is>
          <t>VÄRMLANDS LÄN</t>
        </is>
      </c>
      <c r="G221" t="inlineStr">
        <is>
          <t>HAGFORS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28594-2023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45103</v>
      </c>
      <c r="E222" s="1" t="n">
        <v>46292</v>
      </c>
      <c r="F222" t="inlineStr">
        <is>
          <t>VÄRMLANDS LÄN</t>
        </is>
      </c>
      <c r="G222" t="inlineStr">
        <is>
          <t>HAGFORS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33823-2025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46292</v>
      </c>
      <c r="F223" t="inlineStr">
        <is>
          <t>VÄRMLANDS LÄN</t>
        </is>
      </c>
      <c r="G223" t="inlineStr">
        <is>
          <t>HAGFORS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45614</v>
      </c>
      <c r="E224" s="1" t="n">
        <v>46292</v>
      </c>
      <c r="F224" t="inlineStr">
        <is>
          <t>VÄRMLANDS LÄN</t>
        </is>
      </c>
      <c r="G224" t="inlineStr">
        <is>
          <t>HAGFORS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46072</v>
      </c>
      <c r="E225" s="1" t="n">
        <v>46292</v>
      </c>
      <c r="F225" t="inlineStr">
        <is>
          <t>VÄRMLANDS LÄN</t>
        </is>
      </c>
      <c r="G225" t="inlineStr">
        <is>
          <t>HAGFORS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46072</v>
      </c>
      <c r="E226" s="1" t="n">
        <v>46292</v>
      </c>
      <c r="F226" t="inlineStr">
        <is>
          <t>VÄRMLANDS LÄN</t>
        </is>
      </c>
      <c r="G226" t="inlineStr">
        <is>
          <t>HAGFORS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16824-2023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45033</v>
      </c>
      <c r="E227" s="1" t="n">
        <v>46292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46292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44883</v>
      </c>
      <c r="E229" s="1" t="n">
        <v>46292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17.9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45420</v>
      </c>
      <c r="E230" s="1" t="n">
        <v>46292</v>
      </c>
      <c r="F230" t="inlineStr">
        <is>
          <t>VÄRMLANDS LÄN</t>
        </is>
      </c>
      <c r="G230" t="inlineStr">
        <is>
          <t>HAGFORS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45201</v>
      </c>
      <c r="E231" s="1" t="n">
        <v>46292</v>
      </c>
      <c r="F231" t="inlineStr">
        <is>
          <t>VÄRMLANDS LÄN</t>
        </is>
      </c>
      <c r="G231" t="inlineStr">
        <is>
          <t>HAGFORS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45201</v>
      </c>
      <c r="E232" s="1" t="n">
        <v>46292</v>
      </c>
      <c r="F232" t="inlineStr">
        <is>
          <t>VÄRMLANDS LÄN</t>
        </is>
      </c>
      <c r="G232" t="inlineStr">
        <is>
          <t>HAGFORS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45201</v>
      </c>
      <c r="E233" s="1" t="n">
        <v>46292</v>
      </c>
      <c r="F233" t="inlineStr">
        <is>
          <t>VÄRMLANDS LÄN</t>
        </is>
      </c>
      <c r="G233" t="inlineStr">
        <is>
          <t>HAGFORS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46292</v>
      </c>
      <c r="F234" t="inlineStr">
        <is>
          <t>VÄRMLANDS LÄN</t>
        </is>
      </c>
      <c r="G234" t="inlineStr">
        <is>
          <t>HAGFORS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46292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46292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46832-2025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45927</v>
      </c>
      <c r="E237" s="1" t="n">
        <v>46292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46292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12426-2024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45379</v>
      </c>
      <c r="E239" s="1" t="n">
        <v>46292</v>
      </c>
      <c r="F239" t="inlineStr">
        <is>
          <t>VÄRMLANDS LÄN</t>
        </is>
      </c>
      <c r="G239" t="inlineStr">
        <is>
          <t>HAGFORS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46831-2025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45927</v>
      </c>
      <c r="E240" s="1" t="n">
        <v>46292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46838-2025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45928</v>
      </c>
      <c r="E241" s="1" t="n">
        <v>46292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46292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46292</v>
      </c>
      <c r="F243" t="inlineStr">
        <is>
          <t>VÄRMLANDS LÄN</t>
        </is>
      </c>
      <c r="G243" t="inlineStr">
        <is>
          <t>HAGFORS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26463-2025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45807</v>
      </c>
      <c r="E244" s="1" t="n">
        <v>46292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46292</v>
      </c>
      <c r="F245" t="inlineStr">
        <is>
          <t>VÄRMLANDS LÄN</t>
        </is>
      </c>
      <c r="G245" t="inlineStr">
        <is>
          <t>HAGFORS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46292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26617-2025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45810</v>
      </c>
      <c r="E247" s="1" t="n">
        <v>46292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46292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12295-2026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46087</v>
      </c>
      <c r="E249" s="1" t="n">
        <v>46292</v>
      </c>
      <c r="F249" t="inlineStr">
        <is>
          <t>VÄRMLANDS LÄN</t>
        </is>
      </c>
      <c r="G249" t="inlineStr">
        <is>
          <t>HAGFORS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45446</v>
      </c>
      <c r="E250" s="1" t="n">
        <v>46292</v>
      </c>
      <c r="F250" t="inlineStr">
        <is>
          <t>VÄRMLANDS LÄN</t>
        </is>
      </c>
      <c r="G250" t="inlineStr">
        <is>
          <t>HAGFORS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46292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46292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64936-2023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45282</v>
      </c>
      <c r="E253" s="1" t="n">
        <v>46292</v>
      </c>
      <c r="F253" t="inlineStr">
        <is>
          <t>VÄRMLANDS LÄN</t>
        </is>
      </c>
      <c r="G253" t="inlineStr">
        <is>
          <t>HAGFORS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46292</v>
      </c>
      <c r="F254" t="inlineStr">
        <is>
          <t>VÄRMLANDS LÄN</t>
        </is>
      </c>
      <c r="G254" t="inlineStr">
        <is>
          <t>HAGFORS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46292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46292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46091</v>
      </c>
      <c r="E257" s="1" t="n">
        <v>46292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49146-2025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46292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46292</v>
      </c>
      <c r="F259" t="inlineStr">
        <is>
          <t>VÄRMLANDS LÄN</t>
        </is>
      </c>
      <c r="G259" t="inlineStr">
        <is>
          <t>HAGFORS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46292</v>
      </c>
      <c r="F260" t="inlineStr">
        <is>
          <t>VÄRMLANDS LÄN</t>
        </is>
      </c>
      <c r="G260" t="inlineStr">
        <is>
          <t>HAGFORS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46292</v>
      </c>
      <c r="F261" t="inlineStr">
        <is>
          <t>VÄRMLANDS LÄN</t>
        </is>
      </c>
      <c r="G261" t="inlineStr">
        <is>
          <t>HAGFORS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46292</v>
      </c>
      <c r="F262" t="inlineStr">
        <is>
          <t>VÄRMLANDS LÄN</t>
        </is>
      </c>
      <c r="G262" t="inlineStr">
        <is>
          <t>HAGFORS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46292</v>
      </c>
      <c r="F263" t="inlineStr">
        <is>
          <t>VÄRMLANDS LÄN</t>
        </is>
      </c>
      <c r="G263" t="inlineStr">
        <is>
          <t>HAGFORS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45939</v>
      </c>
      <c r="E264" s="1" t="n">
        <v>46292</v>
      </c>
      <c r="F264" t="inlineStr">
        <is>
          <t>VÄRMLANDS LÄN</t>
        </is>
      </c>
      <c r="G264" t="inlineStr">
        <is>
          <t>HAGFORS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13338-2026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46292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46094</v>
      </c>
      <c r="E266" s="1" t="n">
        <v>46292</v>
      </c>
      <c r="F266" t="inlineStr">
        <is>
          <t>VÄRMLANDS LÄN</t>
        </is>
      </c>
      <c r="G266" t="inlineStr">
        <is>
          <t>HAGFORS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46292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13466-2026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46292</v>
      </c>
      <c r="F268" t="inlineStr">
        <is>
          <t>VÄRMLANDS LÄN</t>
        </is>
      </c>
      <c r="G268" t="inlineStr">
        <is>
          <t>HAGFORS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49967-2025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45941</v>
      </c>
      <c r="E269" s="1" t="n">
        <v>46292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46292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50880-2025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45946</v>
      </c>
      <c r="E271" s="1" t="n">
        <v>46292</v>
      </c>
      <c r="F271" t="inlineStr">
        <is>
          <t>VÄRMLANDS LÄN</t>
        </is>
      </c>
      <c r="G271" t="inlineStr">
        <is>
          <t>HAGFORS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46292</v>
      </c>
      <c r="F272" t="inlineStr">
        <is>
          <t>VÄRMLANDS LÄN</t>
        </is>
      </c>
      <c r="G272" t="inlineStr">
        <is>
          <t>HAGFORS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46098</v>
      </c>
      <c r="E273" s="1" t="n">
        <v>46292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46099</v>
      </c>
      <c r="E274" s="1" t="n">
        <v>46292</v>
      </c>
      <c r="F274" t="inlineStr">
        <is>
          <t>VÄRMLANDS LÄN</t>
        </is>
      </c>
      <c r="G274" t="inlineStr">
        <is>
          <t>HAGFORS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46098</v>
      </c>
      <c r="E275" s="1" t="n">
        <v>46292</v>
      </c>
      <c r="F275" t="inlineStr">
        <is>
          <t>VÄRMLANDS LÄN</t>
        </is>
      </c>
      <c r="G275" t="inlineStr">
        <is>
          <t>HAGFORS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46101</v>
      </c>
      <c r="E276" s="1" t="n">
        <v>46292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46292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46292</v>
      </c>
      <c r="F278" t="inlineStr">
        <is>
          <t>VÄRMLANDS LÄN</t>
        </is>
      </c>
      <c r="G278" t="inlineStr">
        <is>
          <t>HAGFORS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46292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45765</v>
      </c>
      <c r="E280" s="1" t="n">
        <v>46292</v>
      </c>
      <c r="F280" t="inlineStr">
        <is>
          <t>VÄRMLANDS LÄN</t>
        </is>
      </c>
      <c r="G280" t="inlineStr">
        <is>
          <t>HAGFORS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45713</v>
      </c>
      <c r="E281" s="1" t="n">
        <v>46292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51160-2025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45947</v>
      </c>
      <c r="E282" s="1" t="n">
        <v>46292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45947</v>
      </c>
      <c r="E283" s="1" t="n">
        <v>46292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9.300000000000001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45811</v>
      </c>
      <c r="E284" s="1" t="n">
        <v>46292</v>
      </c>
      <c r="F284" t="inlineStr">
        <is>
          <t>VÄRMLANDS LÄN</t>
        </is>
      </c>
      <c r="G284" t="inlineStr">
        <is>
          <t>HAGFORS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46292</v>
      </c>
      <c r="F285" t="inlineStr">
        <is>
          <t>VÄRMLANDS LÄN</t>
        </is>
      </c>
      <c r="G285" t="inlineStr">
        <is>
          <t>HAGFORS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51273-2025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45949</v>
      </c>
      <c r="E286" s="1" t="n">
        <v>46292</v>
      </c>
      <c r="F286" t="inlineStr">
        <is>
          <t>VÄRMLANDS LÄN</t>
        </is>
      </c>
      <c r="G286" t="inlineStr">
        <is>
          <t>HAGFORS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46292</v>
      </c>
      <c r="F287" t="inlineStr">
        <is>
          <t>VÄRMLANDS LÄN</t>
        </is>
      </c>
      <c r="G287" t="inlineStr">
        <is>
          <t>HAGFORS</t>
        </is>
      </c>
      <c r="H287" t="inlineStr">
        <is>
          <t>Kyrkan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15031-2026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46104</v>
      </c>
      <c r="E288" s="1" t="n">
        <v>46292</v>
      </c>
      <c r="F288" t="inlineStr">
        <is>
          <t>VÄRMLANDS LÄN</t>
        </is>
      </c>
      <c r="G288" t="inlineStr">
        <is>
          <t>HAGFORS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46292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46292</v>
      </c>
      <c r="F290" t="inlineStr">
        <is>
          <t>VÄRMLANDS LÄN</t>
        </is>
      </c>
      <c r="G290" t="inlineStr">
        <is>
          <t>HAGFORS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46292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46292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10.4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46292</v>
      </c>
      <c r="F293" t="inlineStr">
        <is>
          <t>VÄRMLANDS LÄN</t>
        </is>
      </c>
      <c r="G293" t="inlineStr">
        <is>
          <t>HAGFORS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46292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46292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46292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52479-2025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45954</v>
      </c>
      <c r="E297" s="1" t="n">
        <v>46292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15491-2026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46292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46292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46108</v>
      </c>
      <c r="E300" s="1" t="n">
        <v>46292</v>
      </c>
      <c r="F300" t="inlineStr">
        <is>
          <t>VÄRMLANDS LÄN</t>
        </is>
      </c>
      <c r="G300" t="inlineStr">
        <is>
          <t>HAGFORS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46292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9.800000000000001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46292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46292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46292</v>
      </c>
      <c r="F304" t="inlineStr">
        <is>
          <t>VÄRMLANDS LÄN</t>
        </is>
      </c>
      <c r="G304" t="inlineStr">
        <is>
          <t>HAGFORS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46292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46292</v>
      </c>
      <c r="F306" t="inlineStr">
        <is>
          <t>VÄRMLANDS LÄN</t>
        </is>
      </c>
      <c r="G306" t="inlineStr">
        <is>
          <t>HAGFORS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46292</v>
      </c>
      <c r="F307" t="inlineStr">
        <is>
          <t>VÄRMLANDS LÄN</t>
        </is>
      </c>
      <c r="G307" t="inlineStr">
        <is>
          <t>HAGFORS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45005</v>
      </c>
      <c r="E308" s="1" t="n">
        <v>46292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45671</v>
      </c>
      <c r="E309" s="1" t="n">
        <v>46292</v>
      </c>
      <c r="F309" t="inlineStr">
        <is>
          <t>VÄRMLANDS LÄN</t>
        </is>
      </c>
      <c r="G309" t="inlineStr">
        <is>
          <t>HAGFORS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53620-2025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46292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45609</v>
      </c>
      <c r="E311" s="1" t="n">
        <v>46292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53574-2025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46292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55758-2024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45623</v>
      </c>
      <c r="E313" s="1" t="n">
        <v>46292</v>
      </c>
      <c r="F313" t="inlineStr">
        <is>
          <t>VÄRMLANDS LÄN</t>
        </is>
      </c>
      <c r="G313" t="inlineStr">
        <is>
          <t>HAGFORS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53811-2025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46292</v>
      </c>
      <c r="F314" t="inlineStr">
        <is>
          <t>VÄRMLANDS LÄN</t>
        </is>
      </c>
      <c r="G314" t="inlineStr">
        <is>
          <t>HAGFORS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46292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54001-2025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45961</v>
      </c>
      <c r="E316" s="1" t="n">
        <v>46292</v>
      </c>
      <c r="F316" t="inlineStr">
        <is>
          <t>VÄRMLANDS LÄN</t>
        </is>
      </c>
      <c r="G316" t="inlineStr">
        <is>
          <t>HAGFORS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46292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46122</v>
      </c>
      <c r="E318" s="1" t="n">
        <v>46292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45132</v>
      </c>
      <c r="E319" s="1" t="n">
        <v>46292</v>
      </c>
      <c r="F319" t="inlineStr">
        <is>
          <t>VÄRMLANDS LÄN</t>
        </is>
      </c>
      <c r="G319" t="inlineStr">
        <is>
          <t>HAGFORS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17778-2026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46292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46292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46292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46292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18217-2026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46292</v>
      </c>
      <c r="F324" t="inlineStr">
        <is>
          <t>VÄRMLANDS LÄN</t>
        </is>
      </c>
      <c r="G324" t="inlineStr">
        <is>
          <t>HAGFORS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55190-2025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45968</v>
      </c>
      <c r="E325" s="1" t="n">
        <v>46292</v>
      </c>
      <c r="F325" t="inlineStr">
        <is>
          <t>VÄRMLANDS LÄN</t>
        </is>
      </c>
      <c r="G325" t="inlineStr">
        <is>
          <t>HAGFORS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45812</v>
      </c>
      <c r="E326" s="1" t="n">
        <v>46292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55001-2025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45967</v>
      </c>
      <c r="E327" s="1" t="n">
        <v>46292</v>
      </c>
      <c r="F327" t="inlineStr">
        <is>
          <t>VÄRMLANDS LÄN</t>
        </is>
      </c>
      <c r="G327" t="inlineStr">
        <is>
          <t>HAGFORS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45006</v>
      </c>
      <c r="E328" s="1" t="n">
        <v>46292</v>
      </c>
      <c r="F328" t="inlineStr">
        <is>
          <t>VÄRMLANDS LÄN</t>
        </is>
      </c>
      <c r="G328" t="inlineStr">
        <is>
          <t>HAGFORS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55480-2025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46292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55519-2025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46292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45051</v>
      </c>
      <c r="E331" s="1" t="n">
        <v>46292</v>
      </c>
      <c r="F331" t="inlineStr">
        <is>
          <t>VÄRMLANDS LÄN</t>
        </is>
      </c>
      <c r="G331" t="inlineStr">
        <is>
          <t>HAGFORS</t>
        </is>
      </c>
      <c r="H331" t="inlineStr">
        <is>
          <t>Kommuner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46292</v>
      </c>
      <c r="F332" t="inlineStr">
        <is>
          <t>VÄRMLANDS LÄN</t>
        </is>
      </c>
      <c r="G332" t="inlineStr">
        <is>
          <t>HAGFORS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46292</v>
      </c>
      <c r="F333" t="inlineStr">
        <is>
          <t>VÄRMLANDS LÄN</t>
        </is>
      </c>
      <c r="G333" t="inlineStr">
        <is>
          <t>HAGFORS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46292</v>
      </c>
      <c r="F334" t="inlineStr">
        <is>
          <t>VÄRMLANDS LÄN</t>
        </is>
      </c>
      <c r="G334" t="inlineStr">
        <is>
          <t>HAGFORS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46292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18797-2026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46128</v>
      </c>
      <c r="E336" s="1" t="n">
        <v>46292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47028-2023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46292</v>
      </c>
      <c r="F337" t="inlineStr">
        <is>
          <t>VÄRMLANDS LÄN</t>
        </is>
      </c>
      <c r="G337" t="inlineStr">
        <is>
          <t>HAGFORS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46292</v>
      </c>
      <c r="F338" t="inlineStr">
        <is>
          <t>VÄRMLANDS LÄN</t>
        </is>
      </c>
      <c r="G338" t="inlineStr">
        <is>
          <t>HAGFORS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46292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38555-2023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45162</v>
      </c>
      <c r="E340" s="1" t="n">
        <v>46292</v>
      </c>
      <c r="F340" t="inlineStr">
        <is>
          <t>VÄRMLANDS LÄN</t>
        </is>
      </c>
      <c r="G340" t="inlineStr">
        <is>
          <t>HAGFORS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46292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46292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46292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46129</v>
      </c>
      <c r="E344" s="1" t="n">
        <v>46292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46292</v>
      </c>
      <c r="F345" t="inlineStr">
        <is>
          <t>VÄRMLANDS LÄN</t>
        </is>
      </c>
      <c r="G345" t="inlineStr">
        <is>
          <t>HAGFORS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45436</v>
      </c>
      <c r="E346" s="1" t="n">
        <v>46292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46292</v>
      </c>
      <c r="F347" t="inlineStr">
        <is>
          <t>VÄRMLANDS LÄN</t>
        </is>
      </c>
      <c r="G347" t="inlineStr">
        <is>
          <t>HAGFORS</t>
        </is>
      </c>
      <c r="H347" t="inlineStr">
        <is>
          <t>Kyrkan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46292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57198-2025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46292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46292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19459-2026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46133</v>
      </c>
      <c r="E351" s="1" t="n">
        <v>46292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19307-2026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46292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46292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46134</v>
      </c>
      <c r="E354" s="1" t="n">
        <v>46292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46292</v>
      </c>
      <c r="F355" t="inlineStr">
        <is>
          <t>VÄRMLANDS LÄN</t>
        </is>
      </c>
      <c r="G355" t="inlineStr">
        <is>
          <t>HAGFORS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19421-2026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46292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45758</v>
      </c>
      <c r="E357" s="1" t="n">
        <v>46292</v>
      </c>
      <c r="F357" t="inlineStr">
        <is>
          <t>VÄRMLANDS LÄN</t>
        </is>
      </c>
      <c r="G357" t="inlineStr">
        <is>
          <t>HAGFORS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46292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46292</v>
      </c>
      <c r="F359" t="inlineStr">
        <is>
          <t>VÄRMLANDS LÄN</t>
        </is>
      </c>
      <c r="G359" t="inlineStr">
        <is>
          <t>HAGFORS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59047-2025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45988</v>
      </c>
      <c r="E360" s="1" t="n">
        <v>46292</v>
      </c>
      <c r="F360" t="inlineStr">
        <is>
          <t>VÄRMLANDS LÄN</t>
        </is>
      </c>
      <c r="G360" t="inlineStr">
        <is>
          <t>HAGFORS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45615</v>
      </c>
      <c r="E361" s="1" t="n">
        <v>46292</v>
      </c>
      <c r="F361" t="inlineStr">
        <is>
          <t>VÄRMLANDS LÄN</t>
        </is>
      </c>
      <c r="G361" t="inlineStr">
        <is>
          <t>HAGFORS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28571-2025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45819</v>
      </c>
      <c r="E362" s="1" t="n">
        <v>46292</v>
      </c>
      <c r="F362" t="inlineStr">
        <is>
          <t>VÄRMLANDS LÄN</t>
        </is>
      </c>
      <c r="G362" t="inlineStr">
        <is>
          <t>HAGFORS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30180-2022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44757</v>
      </c>
      <c r="E363" s="1" t="n">
        <v>46292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44694</v>
      </c>
      <c r="E364" s="1" t="n">
        <v>46292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36360-2023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45152</v>
      </c>
      <c r="E365" s="1" t="n">
        <v>46292</v>
      </c>
      <c r="F365" t="inlineStr">
        <is>
          <t>VÄRMLANDS LÄN</t>
        </is>
      </c>
      <c r="G365" t="inlineStr">
        <is>
          <t>HAGFORS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31166-2022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44770</v>
      </c>
      <c r="E366" s="1" t="n">
        <v>46292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28309-2025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45818</v>
      </c>
      <c r="E367" s="1" t="n">
        <v>46292</v>
      </c>
      <c r="F367" t="inlineStr">
        <is>
          <t>VÄRMLANDS LÄN</t>
        </is>
      </c>
      <c r="G367" t="inlineStr">
        <is>
          <t>HAGFORS</t>
        </is>
      </c>
      <c r="H367" t="inlineStr">
        <is>
          <t>Kyrkan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46292</v>
      </c>
      <c r="F368" t="inlineStr">
        <is>
          <t>VÄRMLANDS LÄN</t>
        </is>
      </c>
      <c r="G368" t="inlineStr">
        <is>
          <t>HAGFORS</t>
        </is>
      </c>
      <c r="H368" t="inlineStr">
        <is>
          <t>Kyrkan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45684</v>
      </c>
      <c r="E369" s="1" t="n">
        <v>46292</v>
      </c>
      <c r="F369" t="inlineStr">
        <is>
          <t>VÄRMLANDS LÄN</t>
        </is>
      </c>
      <c r="G369" t="inlineStr">
        <is>
          <t>HAGFORS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46292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60648-2025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45996</v>
      </c>
      <c r="E371" s="1" t="n">
        <v>46292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57379-2022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44896</v>
      </c>
      <c r="E372" s="1" t="n">
        <v>46292</v>
      </c>
      <c r="F372" t="inlineStr">
        <is>
          <t>VÄRMLANDS LÄN</t>
        </is>
      </c>
      <c r="G372" t="inlineStr">
        <is>
          <t>HAGFORS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45097</v>
      </c>
      <c r="E373" s="1" t="n">
        <v>46292</v>
      </c>
      <c r="F373" t="inlineStr">
        <is>
          <t>VÄRMLANDS LÄN</t>
        </is>
      </c>
      <c r="G373" t="inlineStr">
        <is>
          <t>HAGFORS</t>
        </is>
      </c>
      <c r="H373" t="inlineStr">
        <is>
          <t>Kyrkan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46292</v>
      </c>
      <c r="F374" t="inlineStr">
        <is>
          <t>VÄRMLANDS LÄN</t>
        </is>
      </c>
      <c r="G374" t="inlineStr">
        <is>
          <t>HAGFORS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47019-2023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45201</v>
      </c>
      <c r="E375" s="1" t="n">
        <v>46292</v>
      </c>
      <c r="F375" t="inlineStr">
        <is>
          <t>VÄRMLANDS LÄN</t>
        </is>
      </c>
      <c r="G375" t="inlineStr">
        <is>
          <t>HAGFORS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31618-2025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45833</v>
      </c>
      <c r="E376" s="1" t="n">
        <v>46292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16525-2023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45029</v>
      </c>
      <c r="E377" s="1" t="n">
        <v>46292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39029-2022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44817</v>
      </c>
      <c r="E378" s="1" t="n">
        <v>46292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45653</v>
      </c>
      <c r="E379" s="1" t="n">
        <v>46292</v>
      </c>
      <c r="F379" t="inlineStr">
        <is>
          <t>VÄRMLANDS LÄN</t>
        </is>
      </c>
      <c r="G379" t="inlineStr">
        <is>
          <t>HAGFORS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45057</v>
      </c>
      <c r="E380" s="1" t="n">
        <v>46292</v>
      </c>
      <c r="F380" t="inlineStr">
        <is>
          <t>VÄRMLANDS LÄN</t>
        </is>
      </c>
      <c r="G380" t="inlineStr">
        <is>
          <t>HAGFORS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45783</v>
      </c>
      <c r="E381" s="1" t="n">
        <v>46292</v>
      </c>
      <c r="F381" t="inlineStr">
        <is>
          <t>VÄRMLANDS LÄN</t>
        </is>
      </c>
      <c r="G381" t="inlineStr">
        <is>
          <t>HAGFORS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46002</v>
      </c>
      <c r="E382" s="1" t="n">
        <v>46292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19993-2026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46136</v>
      </c>
      <c r="E383" s="1" t="n">
        <v>46292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20652-2022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44700</v>
      </c>
      <c r="E384" s="1" t="n">
        <v>46292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22346-2025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45786</v>
      </c>
      <c r="E385" s="1" t="n">
        <v>46292</v>
      </c>
      <c r="F385" t="inlineStr">
        <is>
          <t>VÄRMLANDS LÄN</t>
        </is>
      </c>
      <c r="G385" t="inlineStr">
        <is>
          <t>HAGFORS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61718-2025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46002</v>
      </c>
      <c r="E386" s="1" t="n">
        <v>46292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61910-2025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46003</v>
      </c>
      <c r="E387" s="1" t="n">
        <v>46292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46292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45840</v>
      </c>
      <c r="E389" s="1" t="n">
        <v>46292</v>
      </c>
      <c r="F389" t="inlineStr">
        <is>
          <t>VÄRMLANDS LÄN</t>
        </is>
      </c>
      <c r="G389" t="inlineStr">
        <is>
          <t>HAGFORS</t>
        </is>
      </c>
      <c r="I389" t="n">
        <v>18.2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61850-2025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46003</v>
      </c>
      <c r="E390" s="1" t="n">
        <v>46292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46003</v>
      </c>
      <c r="E391" s="1" t="n">
        <v>46292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62168-2025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46006</v>
      </c>
      <c r="E392" s="1" t="n">
        <v>46292</v>
      </c>
      <c r="F392" t="inlineStr">
        <is>
          <t>VÄRMLANDS LÄN</t>
        </is>
      </c>
      <c r="G392" t="inlineStr">
        <is>
          <t>HAGFORS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23047-2024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45450</v>
      </c>
      <c r="E393" s="1" t="n">
        <v>46292</v>
      </c>
      <c r="F393" t="inlineStr">
        <is>
          <t>VÄRMLANDS LÄN</t>
        </is>
      </c>
      <c r="G393" t="inlineStr">
        <is>
          <t>HAGFORS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46292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61843-2025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46003</v>
      </c>
      <c r="E395" s="1" t="n">
        <v>46292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45720</v>
      </c>
      <c r="E396" s="1" t="n">
        <v>46292</v>
      </c>
      <c r="F396" t="inlineStr">
        <is>
          <t>VÄRMLANDS LÄN</t>
        </is>
      </c>
      <c r="G396" t="inlineStr">
        <is>
          <t>HAGFORS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46292</v>
      </c>
      <c r="F397" t="inlineStr">
        <is>
          <t>VÄRMLANDS LÄN</t>
        </is>
      </c>
      <c r="G397" t="inlineStr">
        <is>
          <t>HAGFORS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62749-2025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46292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46007</v>
      </c>
      <c r="E399" s="1" t="n">
        <v>46292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46292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45847</v>
      </c>
      <c r="E401" s="1" t="n">
        <v>46292</v>
      </c>
      <c r="F401" t="inlineStr">
        <is>
          <t>VÄRMLANDS LÄN</t>
        </is>
      </c>
      <c r="G401" t="inlineStr">
        <is>
          <t>HAGFORS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63868-2025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46020</v>
      </c>
      <c r="E402" s="1" t="n">
        <v>46292</v>
      </c>
      <c r="F402" t="inlineStr">
        <is>
          <t>VÄRMLANDS LÄN</t>
        </is>
      </c>
      <c r="G402" t="inlineStr">
        <is>
          <t>HAGFORS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51915-2023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45223</v>
      </c>
      <c r="E403" s="1" t="n">
        <v>46292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59449-2024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45638</v>
      </c>
      <c r="E404" s="1" t="n">
        <v>46292</v>
      </c>
      <c r="F404" t="inlineStr">
        <is>
          <t>VÄRMLANDS LÄN</t>
        </is>
      </c>
      <c r="G404" t="inlineStr">
        <is>
          <t>HAGFORS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45484</v>
      </c>
      <c r="E405" s="1" t="n">
        <v>46292</v>
      </c>
      <c r="F405" t="inlineStr">
        <is>
          <t>VÄRMLANDS LÄN</t>
        </is>
      </c>
      <c r="G405" t="inlineStr">
        <is>
          <t>HAGFORS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45819</v>
      </c>
      <c r="E406" s="1" t="n">
        <v>46292</v>
      </c>
      <c r="F406" t="inlineStr">
        <is>
          <t>VÄRMLANDS LÄN</t>
        </is>
      </c>
      <c r="G406" t="inlineStr">
        <is>
          <t>HAGFORS</t>
        </is>
      </c>
      <c r="H406" t="inlineStr">
        <is>
          <t>Kyrkan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63301-2025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46010</v>
      </c>
      <c r="E407" s="1" t="n">
        <v>46292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63361-2025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46292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63285-2025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46010</v>
      </c>
      <c r="E409" s="1" t="n">
        <v>46292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20260-2026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46292</v>
      </c>
      <c r="F410" t="inlineStr">
        <is>
          <t>VÄRMLANDS LÄN</t>
        </is>
      </c>
      <c r="G410" t="inlineStr">
        <is>
          <t>HAGFORS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45328</v>
      </c>
      <c r="E411" s="1" t="n">
        <v>46292</v>
      </c>
      <c r="F411" t="inlineStr">
        <is>
          <t>VÄRMLANDS LÄN</t>
        </is>
      </c>
      <c r="G411" t="inlineStr">
        <is>
          <t>HAGFORS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45839</v>
      </c>
      <c r="E412" s="1" t="n">
        <v>46292</v>
      </c>
      <c r="F412" t="inlineStr">
        <is>
          <t>VÄRMLANDS LÄN</t>
        </is>
      </c>
      <c r="G412" t="inlineStr">
        <is>
          <t>HAGFORS</t>
        </is>
      </c>
      <c r="H412" t="inlineStr">
        <is>
          <t>Kyrkan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45791</v>
      </c>
      <c r="E413" s="1" t="n">
        <v>46292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36764-2025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45873</v>
      </c>
      <c r="E414" s="1" t="n">
        <v>46292</v>
      </c>
      <c r="F414" t="inlineStr">
        <is>
          <t>VÄRMLANDS LÄN</t>
        </is>
      </c>
      <c r="G414" t="inlineStr">
        <is>
          <t>HAGFORS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44937</v>
      </c>
      <c r="E415" s="1" t="n">
        <v>46292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45821</v>
      </c>
      <c r="E416" s="1" t="n">
        <v>46292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45821</v>
      </c>
      <c r="E417" s="1" t="n">
        <v>46292</v>
      </c>
      <c r="F417" t="inlineStr">
        <is>
          <t>VÄRMLANDS LÄN</t>
        </is>
      </c>
      <c r="G417" t="inlineStr">
        <is>
          <t>HAGFORS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20564-2026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46292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20594-2026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46292</v>
      </c>
      <c r="F419" t="inlineStr">
        <is>
          <t>VÄRMLANDS LÄN</t>
        </is>
      </c>
      <c r="G419" t="inlineStr">
        <is>
          <t>HAGFORS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24000-2025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45796</v>
      </c>
      <c r="E420" s="1" t="n">
        <v>46292</v>
      </c>
      <c r="F420" t="inlineStr">
        <is>
          <t>VÄRMLANDS LÄN</t>
        </is>
      </c>
      <c r="G420" t="inlineStr">
        <is>
          <t>HAGFORS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37085-2023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45155</v>
      </c>
      <c r="E421" s="1" t="n">
        <v>46292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46292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37463-2022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44809</v>
      </c>
      <c r="E423" s="1" t="n">
        <v>46292</v>
      </c>
      <c r="F423" t="inlineStr">
        <is>
          <t>VÄRMLANDS LÄN</t>
        </is>
      </c>
      <c r="G423" t="inlineStr">
        <is>
          <t>HAGFORS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26615-2024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45469</v>
      </c>
      <c r="E424" s="1" t="n">
        <v>46292</v>
      </c>
      <c r="F424" t="inlineStr">
        <is>
          <t>VÄRMLANDS LÄN</t>
        </is>
      </c>
      <c r="G424" t="inlineStr">
        <is>
          <t>HAGFORS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45469</v>
      </c>
      <c r="E425" s="1" t="n">
        <v>46292</v>
      </c>
      <c r="F425" t="inlineStr">
        <is>
          <t>VÄRMLANDS LÄN</t>
        </is>
      </c>
      <c r="G425" t="inlineStr">
        <is>
          <t>HAGFORS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46792-2022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44851</v>
      </c>
      <c r="E426" s="1" t="n">
        <v>46292</v>
      </c>
      <c r="F426" t="inlineStr">
        <is>
          <t>VÄRMLANDS LÄN</t>
        </is>
      </c>
      <c r="G426" t="inlineStr">
        <is>
          <t>HAGFORS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29949-2025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45826</v>
      </c>
      <c r="E427" s="1" t="n">
        <v>46292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45826</v>
      </c>
      <c r="E428" s="1" t="n">
        <v>46292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34540-2024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45525</v>
      </c>
      <c r="E429" s="1" t="n">
        <v>46292</v>
      </c>
      <c r="F429" t="inlineStr">
        <is>
          <t>VÄRMLANDS LÄN</t>
        </is>
      </c>
      <c r="G429" t="inlineStr">
        <is>
          <t>HAGFORS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12778-2025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45733</v>
      </c>
      <c r="E430" s="1" t="n">
        <v>46292</v>
      </c>
      <c r="F430" t="inlineStr">
        <is>
          <t>VÄRMLANDS LÄN</t>
        </is>
      </c>
      <c r="G430" t="inlineStr">
        <is>
          <t>HAGFORS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45846</v>
      </c>
      <c r="E431" s="1" t="n">
        <v>46292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33969-2022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44790</v>
      </c>
      <c r="E432" s="1" t="n">
        <v>46292</v>
      </c>
      <c r="F432" t="inlineStr">
        <is>
          <t>VÄRMLANDS LÄN</t>
        </is>
      </c>
      <c r="G432" t="inlineStr">
        <is>
          <t>HAGFORS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46292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20759-2026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46292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61265-2022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44915</v>
      </c>
      <c r="E435" s="1" t="n">
        <v>46292</v>
      </c>
      <c r="F435" t="inlineStr">
        <is>
          <t>VÄRMLANDS LÄN</t>
        </is>
      </c>
      <c r="G435" t="inlineStr">
        <is>
          <t>HAGFORS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68252-2021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46292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20752-2026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46141</v>
      </c>
      <c r="E437" s="1" t="n">
        <v>46292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46292</v>
      </c>
      <c r="F438" t="inlineStr">
        <is>
          <t>VÄRMLANDS LÄN</t>
        </is>
      </c>
      <c r="G438" t="inlineStr">
        <is>
          <t>HAGFORS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20880-2026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46142</v>
      </c>
      <c r="E439" s="1" t="n">
        <v>46292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45461</v>
      </c>
      <c r="E440" s="1" t="n">
        <v>46292</v>
      </c>
      <c r="F440" t="inlineStr">
        <is>
          <t>VÄRMLANDS LÄN</t>
        </is>
      </c>
      <c r="G440" t="inlineStr">
        <is>
          <t>HAGFORS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46292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19391-2025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45769</v>
      </c>
      <c r="E442" s="1" t="n">
        <v>46292</v>
      </c>
      <c r="F442" t="inlineStr">
        <is>
          <t>VÄRMLANDS LÄN</t>
        </is>
      </c>
      <c r="G442" t="inlineStr">
        <is>
          <t>HAGFORS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45826</v>
      </c>
      <c r="E443" s="1" t="n">
        <v>46292</v>
      </c>
      <c r="F443" t="inlineStr">
        <is>
          <t>VÄRMLANDS LÄN</t>
        </is>
      </c>
      <c r="G443" t="inlineStr">
        <is>
          <t>HAGFORS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46292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61311-2023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45264</v>
      </c>
      <c r="E445" s="1" t="n">
        <v>46292</v>
      </c>
      <c r="F445" t="inlineStr">
        <is>
          <t>VÄRMLANDS LÄN</t>
        </is>
      </c>
      <c r="G445" t="inlineStr">
        <is>
          <t>HAGFORS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45264</v>
      </c>
      <c r="E446" s="1" t="n">
        <v>46292</v>
      </c>
      <c r="F446" t="inlineStr">
        <is>
          <t>VÄRMLANDS LÄN</t>
        </is>
      </c>
      <c r="G446" t="inlineStr">
        <is>
          <t>HAGFORS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70712-2021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44537</v>
      </c>
      <c r="E447" s="1" t="n">
        <v>46292</v>
      </c>
      <c r="F447" t="inlineStr">
        <is>
          <t>VÄRMLANDS LÄN</t>
        </is>
      </c>
      <c r="G447" t="inlineStr">
        <is>
          <t>HAGFORS</t>
        </is>
      </c>
      <c r="H447" t="inlineStr">
        <is>
          <t>Kommuner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46292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46292</v>
      </c>
      <c r="F449" t="inlineStr">
        <is>
          <t>VÄRMLANDS LÄN</t>
        </is>
      </c>
      <c r="G449" t="inlineStr">
        <is>
          <t>HAGFORS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45054</v>
      </c>
      <c r="E450" s="1" t="n">
        <v>46292</v>
      </c>
      <c r="F450" t="inlineStr">
        <is>
          <t>VÄRMLANDS LÄN</t>
        </is>
      </c>
      <c r="G450" t="inlineStr">
        <is>
          <t>HAGFORS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920-2022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44571</v>
      </c>
      <c r="E451" s="1" t="n">
        <v>46292</v>
      </c>
      <c r="F451" t="inlineStr">
        <is>
          <t>VÄRMLANDS LÄN</t>
        </is>
      </c>
      <c r="G451" t="inlineStr">
        <is>
          <t>HAGFORS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20706-2026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46292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17882-2025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45758</v>
      </c>
      <c r="E453" s="1" t="n">
        <v>46292</v>
      </c>
      <c r="F453" t="inlineStr">
        <is>
          <t>VÄRMLANDS LÄN</t>
        </is>
      </c>
      <c r="G453" t="inlineStr">
        <is>
          <t>HAGFORS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21203-2026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46292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62546-2022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44924</v>
      </c>
      <c r="E455" s="1" t="n">
        <v>46292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30778-2025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45831</v>
      </c>
      <c r="E456" s="1" t="n">
        <v>46292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61140-2023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45261</v>
      </c>
      <c r="E457" s="1" t="n">
        <v>46292</v>
      </c>
      <c r="F457" t="inlineStr">
        <is>
          <t>VÄRMLANDS LÄN</t>
        </is>
      </c>
      <c r="G457" t="inlineStr">
        <is>
          <t>HAGFORS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45741</v>
      </c>
      <c r="E458" s="1" t="n">
        <v>46292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57359-2022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44896</v>
      </c>
      <c r="E459" s="1" t="n">
        <v>46292</v>
      </c>
      <c r="F459" t="inlineStr">
        <is>
          <t>VÄRMLANDS LÄN</t>
        </is>
      </c>
      <c r="G459" t="inlineStr">
        <is>
          <t>HAGFORS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39640-2022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44817</v>
      </c>
      <c r="E460" s="1" t="n">
        <v>46292</v>
      </c>
      <c r="F460" t="inlineStr">
        <is>
          <t>VÄRMLANDS LÄN</t>
        </is>
      </c>
      <c r="G460" t="inlineStr">
        <is>
          <t>HAGFORS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25759-2023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45090</v>
      </c>
      <c r="E461" s="1" t="n">
        <v>46292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44246-2022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44839</v>
      </c>
      <c r="E462" s="1" t="n">
        <v>46292</v>
      </c>
      <c r="F462" t="inlineStr">
        <is>
          <t>VÄRMLANDS LÄN</t>
        </is>
      </c>
      <c r="G462" t="inlineStr">
        <is>
          <t>HAGFORS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46150</v>
      </c>
      <c r="E463" s="1" t="n">
        <v>46292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10.8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46150</v>
      </c>
      <c r="E464" s="1" t="n">
        <v>46292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46149</v>
      </c>
      <c r="E465" s="1" t="n">
        <v>46292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21762-2026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46150</v>
      </c>
      <c r="E466" s="1" t="n">
        <v>46292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61818-2023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46292</v>
      </c>
      <c r="F467" t="inlineStr">
        <is>
          <t>VÄRMLANDS LÄN</t>
        </is>
      </c>
      <c r="G467" t="inlineStr">
        <is>
          <t>HAGFORS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8129-2024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45351</v>
      </c>
      <c r="E468" s="1" t="n">
        <v>46292</v>
      </c>
      <c r="F468" t="inlineStr">
        <is>
          <t>VÄRMLANDS LÄN</t>
        </is>
      </c>
      <c r="G468" t="inlineStr">
        <is>
          <t>HAGFORS</t>
        </is>
      </c>
      <c r="H468" t="inlineStr">
        <is>
          <t>Kyrkan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54751-2022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44883</v>
      </c>
      <c r="E469" s="1" t="n">
        <v>46292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46292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46155</v>
      </c>
      <c r="E471" s="1" t="n">
        <v>46292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46155</v>
      </c>
      <c r="E472" s="1" t="n">
        <v>46292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14.9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46292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6.7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20081-2025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45772</v>
      </c>
      <c r="E474" s="1" t="n">
        <v>46292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46155</v>
      </c>
      <c r="E475" s="1" t="n">
        <v>46292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46292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46160</v>
      </c>
      <c r="E477" s="1" t="n">
        <v>46292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19554-2024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45429</v>
      </c>
      <c r="E478" s="1" t="n">
        <v>46292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28654-2023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45103</v>
      </c>
      <c r="E479" s="1" t="n">
        <v>46292</v>
      </c>
      <c r="F479" t="inlineStr">
        <is>
          <t>VÄRMLANDS LÄN</t>
        </is>
      </c>
      <c r="G479" t="inlineStr">
        <is>
          <t>HAGFORS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22911-2026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46160</v>
      </c>
      <c r="E480" s="1" t="n">
        <v>46292</v>
      </c>
      <c r="F480" t="inlineStr">
        <is>
          <t>VÄRMLANDS LÄN</t>
        </is>
      </c>
      <c r="G480" t="inlineStr">
        <is>
          <t>HAGFORS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22925-2026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46160</v>
      </c>
      <c r="E481" s="1" t="n">
        <v>46292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22503-2024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45447</v>
      </c>
      <c r="E482" s="1" t="n">
        <v>46292</v>
      </c>
      <c r="F482" t="inlineStr">
        <is>
          <t>VÄRMLANDS LÄN</t>
        </is>
      </c>
      <c r="G482" t="inlineStr">
        <is>
          <t>HAGFORS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42168-2024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45562</v>
      </c>
      <c r="E483" s="1" t="n">
        <v>46292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45684</v>
      </c>
      <c r="E484" s="1" t="n">
        <v>46292</v>
      </c>
      <c r="F484" t="inlineStr">
        <is>
          <t>VÄRMLANDS LÄN</t>
        </is>
      </c>
      <c r="G484" t="inlineStr">
        <is>
          <t>HAGFORS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23129-2026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46292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8.699999999999999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46161</v>
      </c>
      <c r="E486" s="1" t="n">
        <v>46292</v>
      </c>
      <c r="F486" t="inlineStr">
        <is>
          <t>VÄRMLANDS LÄN</t>
        </is>
      </c>
      <c r="G486" t="inlineStr">
        <is>
          <t>HAGFORS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45841</v>
      </c>
      <c r="E487" s="1" t="n">
        <v>46292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44728-2023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45190</v>
      </c>
      <c r="E488" s="1" t="n">
        <v>46292</v>
      </c>
      <c r="F488" t="inlineStr">
        <is>
          <t>VÄRMLANDS LÄN</t>
        </is>
      </c>
      <c r="G488" t="inlineStr">
        <is>
          <t>HAGFORS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33440-2025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45841</v>
      </c>
      <c r="E489" s="1" t="n">
        <v>46292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46292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8.800000000000001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44950</v>
      </c>
      <c r="E491" s="1" t="n">
        <v>46292</v>
      </c>
      <c r="F491" t="inlineStr">
        <is>
          <t>VÄRMLANDS LÄN</t>
        </is>
      </c>
      <c r="G491" t="inlineStr">
        <is>
          <t>HAGFORS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44950</v>
      </c>
      <c r="E492" s="1" t="n">
        <v>46292</v>
      </c>
      <c r="F492" t="inlineStr">
        <is>
          <t>VÄRMLANDS LÄN</t>
        </is>
      </c>
      <c r="G492" t="inlineStr">
        <is>
          <t>HAGFORS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23269-2026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46162</v>
      </c>
      <c r="E493" s="1" t="n">
        <v>46292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23525-2026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46163</v>
      </c>
      <c r="E494" s="1" t="n">
        <v>46292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46292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23728-2026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46164</v>
      </c>
      <c r="E496" s="1" t="n">
        <v>46292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33454-2025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45841</v>
      </c>
      <c r="E497" s="1" t="n">
        <v>46292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45845</v>
      </c>
      <c r="E498" s="1" t="n">
        <v>46292</v>
      </c>
      <c r="F498" t="inlineStr">
        <is>
          <t>VÄRMLANDS LÄN</t>
        </is>
      </c>
      <c r="G498" t="inlineStr">
        <is>
          <t>HAGFORS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34133-2025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45845</v>
      </c>
      <c r="E499" s="1" t="n">
        <v>46292</v>
      </c>
      <c r="F499" t="inlineStr">
        <is>
          <t>VÄRMLANDS LÄN</t>
        </is>
      </c>
      <c r="G499" t="inlineStr">
        <is>
          <t>HAGFORS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34149-2025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45845</v>
      </c>
      <c r="E500" s="1" t="n">
        <v>46292</v>
      </c>
      <c r="F500" t="inlineStr">
        <is>
          <t>VÄRMLANDS LÄN</t>
        </is>
      </c>
      <c r="G500" t="inlineStr">
        <is>
          <t>HAGFORS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31087-2024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45502</v>
      </c>
      <c r="E501" s="1" t="n">
        <v>46292</v>
      </c>
      <c r="F501" t="inlineStr">
        <is>
          <t>VÄRMLANDS LÄN</t>
        </is>
      </c>
      <c r="G501" t="inlineStr">
        <is>
          <t>HAGFORS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23678-2026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46164</v>
      </c>
      <c r="E502" s="1" t="n">
        <v>46292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21954-2025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45784</v>
      </c>
      <c r="E503" s="1" t="n">
        <v>46292</v>
      </c>
      <c r="F503" t="inlineStr">
        <is>
          <t>VÄRMLANDS LÄN</t>
        </is>
      </c>
      <c r="G503" t="inlineStr">
        <is>
          <t>HAGFORS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19515-2025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45770</v>
      </c>
      <c r="E504" s="1" t="n">
        <v>46292</v>
      </c>
      <c r="F504" t="inlineStr">
        <is>
          <t>VÄRMLANDS LÄN</t>
        </is>
      </c>
      <c r="G504" t="inlineStr">
        <is>
          <t>HAGFORS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51015-2025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45947</v>
      </c>
      <c r="E505" s="1" t="n">
        <v>46292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8.9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36494-2025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45869</v>
      </c>
      <c r="E506" s="1" t="n">
        <v>46292</v>
      </c>
      <c r="F506" t="inlineStr">
        <is>
          <t>VÄRMLANDS LÄN</t>
        </is>
      </c>
      <c r="G506" t="inlineStr">
        <is>
          <t>HAGFORS</t>
        </is>
      </c>
      <c r="H506" t="inlineStr">
        <is>
          <t>Kyrkan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45565</v>
      </c>
      <c r="E507" s="1" t="n">
        <v>46292</v>
      </c>
      <c r="F507" t="inlineStr">
        <is>
          <t>VÄRMLANDS LÄN</t>
        </is>
      </c>
      <c r="G507" t="inlineStr">
        <is>
          <t>HAGFORS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46292</v>
      </c>
      <c r="F508" t="inlineStr">
        <is>
          <t>VÄRMLANDS LÄN</t>
        </is>
      </c>
      <c r="G508" t="inlineStr">
        <is>
          <t>HAGFORS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65065-2023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45287</v>
      </c>
      <c r="E509" s="1" t="n">
        <v>46292</v>
      </c>
      <c r="F509" t="inlineStr">
        <is>
          <t>VÄRMLANDS LÄN</t>
        </is>
      </c>
      <c r="G509" t="inlineStr">
        <is>
          <t>HAGFORS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58210-2022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44901</v>
      </c>
      <c r="E510" s="1" t="n">
        <v>46292</v>
      </c>
      <c r="F510" t="inlineStr">
        <is>
          <t>VÄRMLANDS LÄN</t>
        </is>
      </c>
      <c r="G510" t="inlineStr">
        <is>
          <t>HAGFORS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30635-2025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45831</v>
      </c>
      <c r="E511" s="1" t="n">
        <v>46292</v>
      </c>
      <c r="F511" t="inlineStr">
        <is>
          <t>VÄRMLANDS LÄN</t>
        </is>
      </c>
      <c r="G511" t="inlineStr">
        <is>
          <t>HAGFORS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35289-2025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45854</v>
      </c>
      <c r="E512" s="1" t="n">
        <v>46292</v>
      </c>
      <c r="F512" t="inlineStr">
        <is>
          <t>VÄRMLANDS LÄN</t>
        </is>
      </c>
      <c r="G512" t="inlineStr">
        <is>
          <t>HAGFORS</t>
        </is>
      </c>
      <c r="H512" t="inlineStr">
        <is>
          <t>Kyrkan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45854</v>
      </c>
      <c r="E513" s="1" t="n">
        <v>46292</v>
      </c>
      <c r="F513" t="inlineStr">
        <is>
          <t>VÄRMLANDS LÄN</t>
        </is>
      </c>
      <c r="G513" t="inlineStr">
        <is>
          <t>HAGFORS</t>
        </is>
      </c>
      <c r="H513" t="inlineStr">
        <is>
          <t>Kyrkan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25258-2023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45079</v>
      </c>
      <c r="E514" s="1" t="n">
        <v>46292</v>
      </c>
      <c r="F514" t="inlineStr">
        <is>
          <t>VÄRMLANDS LÄN</t>
        </is>
      </c>
      <c r="G514" t="inlineStr">
        <is>
          <t>HAGFORS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46168</v>
      </c>
      <c r="E515" s="1" t="n">
        <v>46292</v>
      </c>
      <c r="F515" t="inlineStr">
        <is>
          <t>VÄRMLANDS LÄN</t>
        </is>
      </c>
      <c r="G515" t="inlineStr">
        <is>
          <t>HAGFORS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24238-2026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46292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8.1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45793</v>
      </c>
      <c r="E517" s="1" t="n">
        <v>46292</v>
      </c>
      <c r="F517" t="inlineStr">
        <is>
          <t>VÄRMLANDS LÄN</t>
        </is>
      </c>
      <c r="G517" t="inlineStr">
        <is>
          <t>HAGFORS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24625-2026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46171</v>
      </c>
      <c r="E518" s="1" t="n">
        <v>46292</v>
      </c>
      <c r="F518" t="inlineStr">
        <is>
          <t>VÄRMLANDS LÄN</t>
        </is>
      </c>
      <c r="G518" t="inlineStr">
        <is>
          <t>HAGFORS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33399-2024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45519</v>
      </c>
      <c r="E519" s="1" t="n">
        <v>46292</v>
      </c>
      <c r="F519" t="inlineStr">
        <is>
          <t>VÄRMLANDS LÄN</t>
        </is>
      </c>
      <c r="G519" t="inlineStr">
        <is>
          <t>HAGFORS</t>
        </is>
      </c>
      <c r="I519" t="n">
        <v>8.4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24699-2026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46171</v>
      </c>
      <c r="E520" s="1" t="n">
        <v>46292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30158-2024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45489</v>
      </c>
      <c r="E521" s="1" t="n">
        <v>46292</v>
      </c>
      <c r="F521" t="inlineStr">
        <is>
          <t>VÄRMLANDS LÄN</t>
        </is>
      </c>
      <c r="G521" t="inlineStr">
        <is>
          <t>HAGFORS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46171</v>
      </c>
      <c r="E522" s="1" t="n">
        <v>46292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24778-2026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46171</v>
      </c>
      <c r="E523" s="1" t="n">
        <v>46292</v>
      </c>
      <c r="F523" t="inlineStr">
        <is>
          <t>VÄRMLANDS LÄN</t>
        </is>
      </c>
      <c r="G523" t="inlineStr">
        <is>
          <t>HAGFORS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24761-2026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46171</v>
      </c>
      <c r="E524" s="1" t="n">
        <v>46292</v>
      </c>
      <c r="F524" t="inlineStr">
        <is>
          <t>VÄRMLANDS LÄN</t>
        </is>
      </c>
      <c r="G524" t="inlineStr">
        <is>
          <t>HAGFORS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38612-2023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45162</v>
      </c>
      <c r="E525" s="1" t="n">
        <v>46292</v>
      </c>
      <c r="F525" t="inlineStr">
        <is>
          <t>VÄRMLANDS LÄN</t>
        </is>
      </c>
      <c r="G525" t="inlineStr">
        <is>
          <t>HAGFORS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24628-2026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46171</v>
      </c>
      <c r="E526" s="1" t="n">
        <v>46292</v>
      </c>
      <c r="F526" t="inlineStr">
        <is>
          <t>VÄRMLANDS LÄN</t>
        </is>
      </c>
      <c r="G526" t="inlineStr">
        <is>
          <t>HAGFORS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24626-2026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46171</v>
      </c>
      <c r="E527" s="1" t="n">
        <v>46292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24677-2026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46171</v>
      </c>
      <c r="E528" s="1" t="n">
        <v>46292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45084</v>
      </c>
      <c r="E529" s="1" t="n">
        <v>46292</v>
      </c>
      <c r="F529" t="inlineStr">
        <is>
          <t>VÄRMLANDS LÄN</t>
        </is>
      </c>
      <c r="G529" t="inlineStr">
        <is>
          <t>HAGFORS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44951</v>
      </c>
      <c r="E530" s="1" t="n">
        <v>46292</v>
      </c>
      <c r="F530" t="inlineStr">
        <is>
          <t>VÄRMLANDS LÄN</t>
        </is>
      </c>
      <c r="G530" t="inlineStr">
        <is>
          <t>HAGFORS</t>
        </is>
      </c>
      <c r="H530" t="inlineStr">
        <is>
          <t>Kyrkan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46292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9.699999999999999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32604-2025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46292</v>
      </c>
      <c r="F532" t="inlineStr">
        <is>
          <t>VÄRMLANDS LÄN</t>
        </is>
      </c>
      <c r="G532" t="inlineStr">
        <is>
          <t>HAGFORS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25589-2026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46177</v>
      </c>
      <c r="E533" s="1" t="n">
        <v>46292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46292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44938</v>
      </c>
      <c r="E535" s="1" t="n">
        <v>46292</v>
      </c>
      <c r="F535" t="inlineStr">
        <is>
          <t>VÄRMLANDS LÄN</t>
        </is>
      </c>
      <c r="G535" t="inlineStr">
        <is>
          <t>HAGFORS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45343</v>
      </c>
      <c r="E536" s="1" t="n">
        <v>46292</v>
      </c>
      <c r="F536" t="inlineStr">
        <is>
          <t>VÄRMLANDS LÄN</t>
        </is>
      </c>
      <c r="G536" t="inlineStr">
        <is>
          <t>HAGFORS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25276-2026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46176</v>
      </c>
      <c r="E537" s="1" t="n">
        <v>46292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25583-2026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46292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45475</v>
      </c>
      <c r="E539" s="1" t="n">
        <v>46292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27827-2024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45475</v>
      </c>
      <c r="E540" s="1" t="n">
        <v>46292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45428</v>
      </c>
      <c r="E541" s="1" t="n">
        <v>46292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19.5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45335</v>
      </c>
      <c r="E542" s="1" t="n">
        <v>46292</v>
      </c>
      <c r="F542" t="inlineStr">
        <is>
          <t>VÄRMLANDS LÄN</t>
        </is>
      </c>
      <c r="G542" t="inlineStr">
        <is>
          <t>HAGFORS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17305-2023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45035</v>
      </c>
      <c r="E543" s="1" t="n">
        <v>46292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44567</v>
      </c>
      <c r="E544" s="1" t="n">
        <v>46292</v>
      </c>
      <c r="F544" t="inlineStr">
        <is>
          <t>VÄRMLANDS LÄN</t>
        </is>
      </c>
      <c r="G544" t="inlineStr">
        <is>
          <t>HAGFORS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26019-2026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46292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10236-2022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44622</v>
      </c>
      <c r="E546" s="1" t="n">
        <v>46292</v>
      </c>
      <c r="F546" t="inlineStr">
        <is>
          <t>VÄRMLANDS LÄN</t>
        </is>
      </c>
      <c r="G546" t="inlineStr">
        <is>
          <t>HAGFORS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46292</v>
      </c>
      <c r="F547" t="inlineStr">
        <is>
          <t>VÄRMLANDS LÄN</t>
        </is>
      </c>
      <c r="G547" t="inlineStr">
        <is>
          <t>HAGFORS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10297-2025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45720</v>
      </c>
      <c r="E548" s="1" t="n">
        <v>46292</v>
      </c>
      <c r="F548" t="inlineStr">
        <is>
          <t>VÄRMLANDS LÄN</t>
        </is>
      </c>
      <c r="G548" t="inlineStr">
        <is>
          <t>HAGFORS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26012-2026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46292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46292</v>
      </c>
      <c r="F550" t="inlineStr">
        <is>
          <t>VÄRMLANDS LÄN</t>
        </is>
      </c>
      <c r="G550" t="inlineStr">
        <is>
          <t>HAGFORS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46292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33.4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26265-2026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46292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46292</v>
      </c>
      <c r="F553" t="inlineStr">
        <is>
          <t>VÄRMLANDS LÄN</t>
        </is>
      </c>
      <c r="G553" t="inlineStr">
        <is>
          <t>HAGFORS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46292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36.8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32147-2023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45107</v>
      </c>
      <c r="E555" s="1" t="n">
        <v>46292</v>
      </c>
      <c r="F555" t="inlineStr">
        <is>
          <t>VÄRMLANDS LÄN</t>
        </is>
      </c>
      <c r="G555" t="inlineStr">
        <is>
          <t>HAGFORS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46292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26864-2026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46185</v>
      </c>
      <c r="E557" s="1" t="n">
        <v>46292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26740-2026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46292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9.5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46185</v>
      </c>
      <c r="E559" s="1" t="n">
        <v>46292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18.2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26858-2026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46185</v>
      </c>
      <c r="E560" s="1" t="n">
        <v>46292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46292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26612-2026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46184</v>
      </c>
      <c r="E562" s="1" t="n">
        <v>46292</v>
      </c>
      <c r="F562" t="inlineStr">
        <is>
          <t>VÄRMLANDS LÄN</t>
        </is>
      </c>
      <c r="G562" t="inlineStr">
        <is>
          <t>HAGFORS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27306-2026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46292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27210-2026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46292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27268-2026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46292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27394-2026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46189</v>
      </c>
      <c r="E566" s="1" t="n">
        <v>46292</v>
      </c>
      <c r="F566" t="inlineStr">
        <is>
          <t>VÄRMLANDS LÄN</t>
        </is>
      </c>
      <c r="G566" t="inlineStr">
        <is>
          <t>HAGFORS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38887-2024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45547</v>
      </c>
      <c r="E567" s="1" t="n">
        <v>46292</v>
      </c>
      <c r="F567" t="inlineStr">
        <is>
          <t>VÄRMLANDS LÄN</t>
        </is>
      </c>
      <c r="G567" t="inlineStr">
        <is>
          <t>HAGFORS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35065-2023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45145</v>
      </c>
      <c r="E568" s="1" t="n">
        <v>46292</v>
      </c>
      <c r="F568" t="inlineStr">
        <is>
          <t>VÄRMLANDS LÄN</t>
        </is>
      </c>
      <c r="G568" t="inlineStr">
        <is>
          <t>HAGFORS</t>
        </is>
      </c>
      <c r="I568" t="n">
        <v>13.5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34636-2024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45526</v>
      </c>
      <c r="E569" s="1" t="n">
        <v>46292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46292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57162-2024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45629</v>
      </c>
      <c r="E571" s="1" t="n">
        <v>46292</v>
      </c>
      <c r="F571" t="inlineStr">
        <is>
          <t>VÄRMLANDS LÄN</t>
        </is>
      </c>
      <c r="G571" t="inlineStr">
        <is>
          <t>HAGFORS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46189</v>
      </c>
      <c r="E572" s="1" t="n">
        <v>46292</v>
      </c>
      <c r="F572" t="inlineStr">
        <is>
          <t>VÄRMLANDS LÄN</t>
        </is>
      </c>
      <c r="G572" t="inlineStr">
        <is>
          <t>HAGFORS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27929-2026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46191</v>
      </c>
      <c r="E573" s="1" t="n">
        <v>46292</v>
      </c>
      <c r="F573" t="inlineStr">
        <is>
          <t>VÄRMLANDS LÄN</t>
        </is>
      </c>
      <c r="G573" t="inlineStr">
        <is>
          <t>HAGFORS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29269-2025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45824</v>
      </c>
      <c r="E574" s="1" t="n">
        <v>46292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26.5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27799-2026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46292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37027-2025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45874</v>
      </c>
      <c r="E576" s="1" t="n">
        <v>46292</v>
      </c>
      <c r="F576" t="inlineStr">
        <is>
          <t>VÄRMLANDS LÄN</t>
        </is>
      </c>
      <c r="G576" t="inlineStr">
        <is>
          <t>HAGFORS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28185-2026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46292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9.6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40692-2022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44824</v>
      </c>
      <c r="E578" s="1" t="n">
        <v>46292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52083-2024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45608</v>
      </c>
      <c r="E579" s="1" t="n">
        <v>46292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46426-2024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45582</v>
      </c>
      <c r="E580" s="1" t="n">
        <v>46292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15.8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43998-2024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45572</v>
      </c>
      <c r="E581" s="1" t="n">
        <v>46292</v>
      </c>
      <c r="F581" t="inlineStr">
        <is>
          <t>VÄRMLANDS LÄN</t>
        </is>
      </c>
      <c r="G581" t="inlineStr">
        <is>
          <t>HAGFORS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59552-2024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45638</v>
      </c>
      <c r="E582" s="1" t="n">
        <v>46292</v>
      </c>
      <c r="F582" t="inlineStr">
        <is>
          <t>VÄRMLANDS LÄN</t>
        </is>
      </c>
      <c r="G582" t="inlineStr">
        <is>
          <t>HAGFORS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8830-2024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45356</v>
      </c>
      <c r="E583" s="1" t="n">
        <v>46292</v>
      </c>
      <c r="F583" t="inlineStr">
        <is>
          <t>VÄRMLANDS LÄN</t>
        </is>
      </c>
      <c r="G583" t="inlineStr">
        <is>
          <t>HAGFORS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43558-2024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45569</v>
      </c>
      <c r="E584" s="1" t="n">
        <v>46292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6980-2022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44603</v>
      </c>
      <c r="E585" s="1" t="n">
        <v>46292</v>
      </c>
      <c r="F585" t="inlineStr">
        <is>
          <t>VÄRMLANDS LÄN</t>
        </is>
      </c>
      <c r="G585" t="inlineStr">
        <is>
          <t>HAGFORS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44596</v>
      </c>
      <c r="E586" s="1" t="n">
        <v>46292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28788-2026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46198</v>
      </c>
      <c r="E587" s="1" t="n">
        <v>46292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9.699999999999999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50929-2023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45211</v>
      </c>
      <c r="E588" s="1" t="n">
        <v>46292</v>
      </c>
      <c r="F588" t="inlineStr">
        <is>
          <t>VÄRMLANDS LÄN</t>
        </is>
      </c>
      <c r="G588" t="inlineStr">
        <is>
          <t>HAGFORS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16153-2025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45750</v>
      </c>
      <c r="E589" s="1" t="n">
        <v>46292</v>
      </c>
      <c r="F589" t="inlineStr">
        <is>
          <t>VÄRMLANDS LÄN</t>
        </is>
      </c>
      <c r="G589" t="inlineStr">
        <is>
          <t>HAGFORS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41092-2024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45559</v>
      </c>
      <c r="E590" s="1" t="n">
        <v>46292</v>
      </c>
      <c r="F590" t="inlineStr">
        <is>
          <t>VÄRMLANDS LÄN</t>
        </is>
      </c>
      <c r="G590" t="inlineStr">
        <is>
          <t>HAGFORS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54744-2024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45618</v>
      </c>
      <c r="E591" s="1" t="n">
        <v>46292</v>
      </c>
      <c r="F591" t="inlineStr">
        <is>
          <t>VÄRMLANDS LÄN</t>
        </is>
      </c>
      <c r="G591" t="inlineStr">
        <is>
          <t>HAGFORS</t>
        </is>
      </c>
      <c r="H591" t="inlineStr">
        <is>
          <t>Kyrkan</t>
        </is>
      </c>
      <c r="I591" t="n">
        <v>8.800000000000001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28720-2026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46292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45069</v>
      </c>
      <c r="E593" s="1" t="n">
        <v>46292</v>
      </c>
      <c r="F593" t="inlineStr">
        <is>
          <t>VÄRMLANDS LÄN</t>
        </is>
      </c>
      <c r="G593" t="inlineStr">
        <is>
          <t>HAGFORS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28625-2026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46292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60582-2024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45644</v>
      </c>
      <c r="E595" s="1" t="n">
        <v>46292</v>
      </c>
      <c r="F595" t="inlineStr">
        <is>
          <t>VÄRMLANDS LÄN</t>
        </is>
      </c>
      <c r="G595" t="inlineStr">
        <is>
          <t>HAGFORS</t>
        </is>
      </c>
      <c r="H595" t="inlineStr">
        <is>
          <t>Kyrkan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28748-2026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46292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31657-2024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45506</v>
      </c>
      <c r="E597" s="1" t="n">
        <v>46292</v>
      </c>
      <c r="F597" t="inlineStr">
        <is>
          <t>VÄRMLANDS LÄN</t>
        </is>
      </c>
      <c r="G597" t="inlineStr">
        <is>
          <t>HAGFORS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29102-2026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46200</v>
      </c>
      <c r="E598" s="1" t="n">
        <v>46292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46200</v>
      </c>
      <c r="E599" s="1" t="n">
        <v>46292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29422-2026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46203</v>
      </c>
      <c r="E600" s="1" t="n">
        <v>46292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46203</v>
      </c>
      <c r="E601" s="1" t="n">
        <v>46292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29438-2026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46292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60991-2024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45645</v>
      </c>
      <c r="E603" s="1" t="n">
        <v>46292</v>
      </c>
      <c r="F603" t="inlineStr">
        <is>
          <t>VÄRMLANDS LÄN</t>
        </is>
      </c>
      <c r="G603" t="inlineStr">
        <is>
          <t>HAGFORS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15886-2022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44664</v>
      </c>
      <c r="E604" s="1" t="n">
        <v>46292</v>
      </c>
      <c r="F604" t="inlineStr">
        <is>
          <t>VÄRMLANDS LÄN</t>
        </is>
      </c>
      <c r="G604" t="inlineStr">
        <is>
          <t>HAGFORS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46203</v>
      </c>
      <c r="E605" s="1" t="n">
        <v>46292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46292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27855-2026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46191</v>
      </c>
      <c r="E607" s="1" t="n">
        <v>46292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29427-2026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46203</v>
      </c>
      <c r="E608" s="1" t="n">
        <v>46292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9.6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45659</v>
      </c>
      <c r="E609" s="1" t="n">
        <v>46292</v>
      </c>
      <c r="F609" t="inlineStr">
        <is>
          <t>VÄRMLANDS LÄN</t>
        </is>
      </c>
      <c r="G609" t="inlineStr">
        <is>
          <t>HAGFORS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27185-2025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45812</v>
      </c>
      <c r="E610" s="1" t="n">
        <v>46292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29580-2026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46204</v>
      </c>
      <c r="E611" s="1" t="n">
        <v>46292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46251</v>
      </c>
      <c r="E612" s="1" t="n">
        <v>46292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30153-2026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46292</v>
      </c>
      <c r="F613" t="inlineStr">
        <is>
          <t>VÄRMLANDS LÄN</t>
        </is>
      </c>
      <c r="G613" t="inlineStr">
        <is>
          <t>HAGFORS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20113-2023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45055</v>
      </c>
      <c r="E614" s="1" t="n">
        <v>46292</v>
      </c>
      <c r="F614" t="inlineStr">
        <is>
          <t>VÄRMLANDS LÄN</t>
        </is>
      </c>
      <c r="G614" t="inlineStr">
        <is>
          <t>HAGFORS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30433-2026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46209</v>
      </c>
      <c r="E615" s="1" t="n">
        <v>46292</v>
      </c>
      <c r="F615" t="inlineStr">
        <is>
          <t>VÄRMLANDS LÄN</t>
        </is>
      </c>
      <c r="G615" t="inlineStr">
        <is>
          <t>HAGFORS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18585-2025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45763</v>
      </c>
      <c r="E616" s="1" t="n">
        <v>46292</v>
      </c>
      <c r="F616" t="inlineStr">
        <is>
          <t>VÄRMLANDS LÄN</t>
        </is>
      </c>
      <c r="G616" t="inlineStr">
        <is>
          <t>HAGFORS</t>
        </is>
      </c>
      <c r="H616" t="inlineStr">
        <is>
          <t>Kyrkan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30167-2026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46292</v>
      </c>
      <c r="F617" t="inlineStr">
        <is>
          <t>VÄRMLANDS LÄN</t>
        </is>
      </c>
      <c r="G617" t="inlineStr">
        <is>
          <t>HAGFORS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34014-2026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46252</v>
      </c>
      <c r="E618" s="1" t="n">
        <v>46292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54112-2023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45232</v>
      </c>
      <c r="E619" s="1" t="n">
        <v>46292</v>
      </c>
      <c r="F619" t="inlineStr">
        <is>
          <t>VÄRMLANDS LÄN</t>
        </is>
      </c>
      <c r="G619" t="inlineStr">
        <is>
          <t>HAGFORS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32627-2023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45121</v>
      </c>
      <c r="E620" s="1" t="n">
        <v>46292</v>
      </c>
      <c r="F620" t="inlineStr">
        <is>
          <t>VÄRMLANDS LÄN</t>
        </is>
      </c>
      <c r="G620" t="inlineStr">
        <is>
          <t>HAGFORS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9763-2025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45716</v>
      </c>
      <c r="E621" s="1" t="n">
        <v>46292</v>
      </c>
      <c r="F621" t="inlineStr">
        <is>
          <t>VÄRMLANDS LÄN</t>
        </is>
      </c>
      <c r="G621" t="inlineStr">
        <is>
          <t>HAGFORS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52924-2023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45226</v>
      </c>
      <c r="E622" s="1" t="n">
        <v>46292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13094-2024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45385</v>
      </c>
      <c r="E623" s="1" t="n">
        <v>46292</v>
      </c>
      <c r="F623" t="inlineStr">
        <is>
          <t>VÄRMLANDS LÄN</t>
        </is>
      </c>
      <c r="G623" t="inlineStr">
        <is>
          <t>HAGFORS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30141-2026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46292</v>
      </c>
      <c r="F624" t="inlineStr">
        <is>
          <t>VÄRMLANDS LÄN</t>
        </is>
      </c>
      <c r="G624" t="inlineStr">
        <is>
          <t>HAGFORS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8496-2022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44613</v>
      </c>
      <c r="E625" s="1" t="n">
        <v>46292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46205</v>
      </c>
      <c r="E626" s="1" t="n">
        <v>46292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45679</v>
      </c>
      <c r="E627" s="1" t="n">
        <v>46292</v>
      </c>
      <c r="F627" t="inlineStr">
        <is>
          <t>VÄRMLANDS LÄN</t>
        </is>
      </c>
      <c r="G627" t="inlineStr">
        <is>
          <t>HAGFORS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46251</v>
      </c>
      <c r="E628" s="1" t="n">
        <v>46292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30436-2026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46209</v>
      </c>
      <c r="E629" s="1" t="n">
        <v>46292</v>
      </c>
      <c r="F629" t="inlineStr">
        <is>
          <t>VÄRMLANDS LÄN</t>
        </is>
      </c>
      <c r="G629" t="inlineStr">
        <is>
          <t>HAGFORS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30437-2026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46209</v>
      </c>
      <c r="E630" s="1" t="n">
        <v>46292</v>
      </c>
      <c r="F630" t="inlineStr">
        <is>
          <t>VÄRMLANDS LÄN</t>
        </is>
      </c>
      <c r="G630" t="inlineStr">
        <is>
          <t>HAGFORS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46211</v>
      </c>
      <c r="E631" s="1" t="n">
        <v>46292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5338-2025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45692</v>
      </c>
      <c r="E632" s="1" t="n">
        <v>46292</v>
      </c>
      <c r="F632" t="inlineStr">
        <is>
          <t>VÄRMLANDS LÄN</t>
        </is>
      </c>
      <c r="G632" t="inlineStr">
        <is>
          <t>HAGFORS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12434-2022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44638</v>
      </c>
      <c r="E633" s="1" t="n">
        <v>46292</v>
      </c>
      <c r="F633" t="inlineStr">
        <is>
          <t>VÄRMLANDS LÄN</t>
        </is>
      </c>
      <c r="G633" t="inlineStr">
        <is>
          <t>HAGFORS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34399-2026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46254</v>
      </c>
      <c r="E634" s="1" t="n">
        <v>46292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15.8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36030-2023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45149</v>
      </c>
      <c r="E635" s="1" t="n">
        <v>46292</v>
      </c>
      <c r="F635" t="inlineStr">
        <is>
          <t>VÄRMLANDS LÄN</t>
        </is>
      </c>
      <c r="G635" t="inlineStr">
        <is>
          <t>HAGFORS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7332-2025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45703</v>
      </c>
      <c r="E636" s="1" t="n">
        <v>46292</v>
      </c>
      <c r="F636" t="inlineStr">
        <is>
          <t>VÄRMLANDS LÄN</t>
        </is>
      </c>
      <c r="G636" t="inlineStr">
        <is>
          <t>HAGFORS</t>
        </is>
      </c>
      <c r="H636" t="inlineStr">
        <is>
          <t>Kyrkan</t>
        </is>
      </c>
      <c r="I636" t="n">
        <v>15.9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34797-2026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46258</v>
      </c>
      <c r="E637" s="1" t="n">
        <v>46292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6.8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35886-2023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45148</v>
      </c>
      <c r="E638" s="1" t="n">
        <v>46292</v>
      </c>
      <c r="F638" t="inlineStr">
        <is>
          <t>VÄRMLANDS LÄN</t>
        </is>
      </c>
      <c r="G638" t="inlineStr">
        <is>
          <t>HAGFORS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29855-2023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45107</v>
      </c>
      <c r="E639" s="1" t="n">
        <v>46292</v>
      </c>
      <c r="F639" t="inlineStr">
        <is>
          <t>VÄRMLANDS LÄN</t>
        </is>
      </c>
      <c r="G639" t="inlineStr">
        <is>
          <t>HAGFORS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18699-2022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44687</v>
      </c>
      <c r="E640" s="1" t="n">
        <v>46292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20.2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34523-2026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46255</v>
      </c>
      <c r="E641" s="1" t="n">
        <v>46292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30914-2026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46213</v>
      </c>
      <c r="E642" s="1" t="n">
        <v>46292</v>
      </c>
      <c r="F642" t="inlineStr">
        <is>
          <t>VÄRMLANDS LÄN</t>
        </is>
      </c>
      <c r="G642" t="inlineStr">
        <is>
          <t>HAGFORS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34552-2026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46292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46254</v>
      </c>
      <c r="E644" s="1" t="n">
        <v>46292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8.800000000000001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34443-2026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46254</v>
      </c>
      <c r="E645" s="1" t="n">
        <v>46292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56808-2023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45244</v>
      </c>
      <c r="E646" s="1" t="n">
        <v>46292</v>
      </c>
      <c r="F646" t="inlineStr">
        <is>
          <t>VÄRMLANDS LÄN</t>
        </is>
      </c>
      <c r="G646" t="inlineStr">
        <is>
          <t>HAGFORS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34522-2026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46255</v>
      </c>
      <c r="E647" s="1" t="n">
        <v>46292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45684</v>
      </c>
      <c r="E648" s="1" t="n">
        <v>46292</v>
      </c>
      <c r="F648" t="inlineStr">
        <is>
          <t>VÄRMLANDS LÄN</t>
        </is>
      </c>
      <c r="G648" t="inlineStr">
        <is>
          <t>HAGFORS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35173-2026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46260</v>
      </c>
      <c r="E649" s="1" t="n">
        <v>46292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18.2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46260</v>
      </c>
      <c r="E650" s="1" t="n">
        <v>46292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35186-2026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46260</v>
      </c>
      <c r="E651" s="1" t="n">
        <v>46292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40835-2023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45172</v>
      </c>
      <c r="E652" s="1" t="n">
        <v>46292</v>
      </c>
      <c r="F652" t="inlineStr">
        <is>
          <t>VÄRMLANDS LÄN</t>
        </is>
      </c>
      <c r="G652" t="inlineStr">
        <is>
          <t>HAGFORS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52224-2023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45224</v>
      </c>
      <c r="E653" s="1" t="n">
        <v>46292</v>
      </c>
      <c r="F653" t="inlineStr">
        <is>
          <t>VÄRMLANDS LÄN</t>
        </is>
      </c>
      <c r="G653" t="inlineStr">
        <is>
          <t>HAGFORS</t>
        </is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35574-2026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46262</v>
      </c>
      <c r="E654" s="1" t="n">
        <v>46292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35386-2026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46261</v>
      </c>
      <c r="E655" s="1" t="n">
        <v>46292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9474-2025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45715</v>
      </c>
      <c r="E656" s="1" t="n">
        <v>46292</v>
      </c>
      <c r="F656" t="inlineStr">
        <is>
          <t>VÄRMLANDS LÄN</t>
        </is>
      </c>
      <c r="G656" t="inlineStr">
        <is>
          <t>HAGFORS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18907-2025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45764</v>
      </c>
      <c r="E657" s="1" t="n">
        <v>46292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35310-2026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46261</v>
      </c>
      <c r="E658" s="1" t="n">
        <v>46292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30180-2023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45110</v>
      </c>
      <c r="E659" s="1" t="n">
        <v>46292</v>
      </c>
      <c r="F659" t="inlineStr">
        <is>
          <t>VÄRMLANDS LÄN</t>
        </is>
      </c>
      <c r="G659" t="inlineStr">
        <is>
          <t>HAGFORS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61232-2024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45645</v>
      </c>
      <c r="E660" s="1" t="n">
        <v>46292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64155-2023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45279</v>
      </c>
      <c r="E661" s="1" t="n">
        <v>46292</v>
      </c>
      <c r="F661" t="inlineStr">
        <is>
          <t>VÄRMLANDS LÄN</t>
        </is>
      </c>
      <c r="G661" t="inlineStr">
        <is>
          <t>HAGFORS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35781-2026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46265</v>
      </c>
      <c r="E662" s="1" t="n">
        <v>46292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14464-2025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45741</v>
      </c>
      <c r="E663" s="1" t="n">
        <v>46292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35749-2026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46265</v>
      </c>
      <c r="E664" s="1" t="n">
        <v>46292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46268</v>
      </c>
      <c r="E665" s="1" t="n">
        <v>46292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7.6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36055-2026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46267</v>
      </c>
      <c r="E666" s="1" t="n">
        <v>46292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9.699999999999999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46268</v>
      </c>
      <c r="E667" s="1" t="n">
        <v>46292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8.800000000000001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46225</v>
      </c>
      <c r="E668" s="1" t="n">
        <v>46292</v>
      </c>
      <c r="F668" t="inlineStr">
        <is>
          <t>VÄRMLANDS LÄN</t>
        </is>
      </c>
      <c r="G668" t="inlineStr">
        <is>
          <t>HAGFORS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31671-2026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46225</v>
      </c>
      <c r="E669" s="1" t="n">
        <v>46292</v>
      </c>
      <c r="F669" t="inlineStr">
        <is>
          <t>VÄRMLANDS LÄN</t>
        </is>
      </c>
      <c r="G669" t="inlineStr">
        <is>
          <t>HAGFORS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58437-2023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45250</v>
      </c>
      <c r="E670" s="1" t="n">
        <v>46292</v>
      </c>
      <c r="F670" t="inlineStr">
        <is>
          <t>VÄRMLANDS LÄN</t>
        </is>
      </c>
      <c r="G670" t="inlineStr">
        <is>
          <t>HAGFORS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11160-2025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45723</v>
      </c>
      <c r="E671" s="1" t="n">
        <v>46292</v>
      </c>
      <c r="F671" t="inlineStr">
        <is>
          <t>VÄRMLANDS LÄN</t>
        </is>
      </c>
      <c r="G671" t="inlineStr">
        <is>
          <t>HAGFORS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11180-2025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45725</v>
      </c>
      <c r="E672" s="1" t="n">
        <v>46292</v>
      </c>
      <c r="F672" t="inlineStr">
        <is>
          <t>VÄRMLANDS LÄN</t>
        </is>
      </c>
      <c r="G672" t="inlineStr">
        <is>
          <t>HAGFORS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36542-2026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46292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36676-2026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46272</v>
      </c>
      <c r="E674" s="1" t="n">
        <v>46292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36556-2026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46269</v>
      </c>
      <c r="E675" s="1" t="n">
        <v>46292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36446-2026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46269</v>
      </c>
      <c r="E676" s="1" t="n">
        <v>46292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36448-2026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46269</v>
      </c>
      <c r="E677" s="1" t="n">
        <v>46292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36221-2026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46268</v>
      </c>
      <c r="E678" s="1" t="n">
        <v>46292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36721-2026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46272</v>
      </c>
      <c r="E679" s="1" t="n">
        <v>46292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30710-2022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44763</v>
      </c>
      <c r="E680" s="1" t="n">
        <v>46292</v>
      </c>
      <c r="F680" t="inlineStr">
        <is>
          <t>VÄRMLANDS LÄN</t>
        </is>
      </c>
      <c r="G680" t="inlineStr">
        <is>
          <t>HAGFORS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36642-2026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46272</v>
      </c>
      <c r="E681" s="1" t="n">
        <v>46292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31691-2026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46226</v>
      </c>
      <c r="E682" s="1" t="n">
        <v>46292</v>
      </c>
      <c r="F682" t="inlineStr">
        <is>
          <t>VÄRMLANDS LÄN</t>
        </is>
      </c>
      <c r="G682" t="inlineStr">
        <is>
          <t>HAGFORS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36728-2026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46272</v>
      </c>
      <c r="E683" s="1" t="n">
        <v>46292</v>
      </c>
      <c r="F683" t="inlineStr">
        <is>
          <t>VÄRMLANDS LÄN</t>
        </is>
      </c>
      <c r="G683" t="inlineStr">
        <is>
          <t>HAGFORS</t>
        </is>
      </c>
      <c r="H683" t="inlineStr">
        <is>
          <t>Kyrkan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2315-2024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45310</v>
      </c>
      <c r="E684" s="1" t="n">
        <v>46292</v>
      </c>
      <c r="F684" t="inlineStr">
        <is>
          <t>VÄRMLANDS LÄN</t>
        </is>
      </c>
      <c r="G684" t="inlineStr">
        <is>
          <t>HAGFORS</t>
        </is>
      </c>
      <c r="H684" t="inlineStr">
        <is>
          <t>Kyrkan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36447-2026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46269</v>
      </c>
      <c r="E685" s="1" t="n">
        <v>46292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37157-2026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46274</v>
      </c>
      <c r="E686" s="1" t="n">
        <v>46292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7.1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37172-2026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46274</v>
      </c>
      <c r="E687" s="1" t="n">
        <v>46292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8.699999999999999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37269-2026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46274</v>
      </c>
      <c r="E688" s="1" t="n">
        <v>46292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36110-2026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46267</v>
      </c>
      <c r="E689" s="1" t="n">
        <v>46292</v>
      </c>
      <c r="F689" t="inlineStr">
        <is>
          <t>VÄRMLANDS LÄN</t>
        </is>
      </c>
      <c r="G689" t="inlineStr">
        <is>
          <t>HAGFORS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49585-2023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46292</v>
      </c>
      <c r="F690" t="inlineStr">
        <is>
          <t>VÄRMLANDS LÄN</t>
        </is>
      </c>
      <c r="G690" t="inlineStr">
        <is>
          <t>HAGFORS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25349-2023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45087</v>
      </c>
      <c r="E691" s="1" t="n">
        <v>46292</v>
      </c>
      <c r="F691" t="inlineStr">
        <is>
          <t>VÄRMLANDS LÄN</t>
        </is>
      </c>
      <c r="G691" t="inlineStr">
        <is>
          <t>HAGFORS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61304-2023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45264</v>
      </c>
      <c r="E692" s="1" t="n">
        <v>46292</v>
      </c>
      <c r="F692" t="inlineStr">
        <is>
          <t>VÄRMLANDS LÄN</t>
        </is>
      </c>
      <c r="G692" t="inlineStr">
        <is>
          <t>HAGFORS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44595</v>
      </c>
      <c r="E693" s="1" t="n">
        <v>46292</v>
      </c>
      <c r="F693" t="inlineStr">
        <is>
          <t>VÄRMLANDS LÄN</t>
        </is>
      </c>
      <c r="G693" t="inlineStr">
        <is>
          <t>HAGFORS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46233</v>
      </c>
      <c r="E694" s="1" t="n">
        <v>46292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37399-2026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46275</v>
      </c>
      <c r="E695" s="1" t="n">
        <v>46292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30327-2022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44760</v>
      </c>
      <c r="E696" s="1" t="n">
        <v>46292</v>
      </c>
      <c r="F696" t="inlineStr">
        <is>
          <t>VÄRMLANDS LÄN</t>
        </is>
      </c>
      <c r="G696" t="inlineStr">
        <is>
          <t>HAGFORS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37389-2026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46275</v>
      </c>
      <c r="E697" s="1" t="n">
        <v>46292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37497-2026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46275</v>
      </c>
      <c r="E698" s="1" t="n">
        <v>46292</v>
      </c>
      <c r="F698" t="inlineStr">
        <is>
          <t>VÄRMLANDS LÄN</t>
        </is>
      </c>
      <c r="G698" t="inlineStr">
        <is>
          <t>HAGFORS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54929-2024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45618</v>
      </c>
      <c r="E699" s="1" t="n">
        <v>46292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37963-2026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46280</v>
      </c>
      <c r="E700" s="1" t="n">
        <v>46292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49753-2023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45212</v>
      </c>
      <c r="E701" s="1" t="n">
        <v>46292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46280</v>
      </c>
      <c r="E702" s="1" t="n">
        <v>46292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38050-2026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46280</v>
      </c>
      <c r="E703" s="1" t="n">
        <v>46292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38053-2026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46280</v>
      </c>
      <c r="E704" s="1" t="n">
        <v>46292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31660-2022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44776</v>
      </c>
      <c r="E705" s="1" t="n">
        <v>46292</v>
      </c>
      <c r="F705" t="inlineStr">
        <is>
          <t>VÄRMLANDS LÄN</t>
        </is>
      </c>
      <c r="G705" t="inlineStr">
        <is>
          <t>HAGFORS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38031-2026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46280</v>
      </c>
      <c r="E706" s="1" t="n">
        <v>46292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37842-2026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46279</v>
      </c>
      <c r="E707" s="1" t="n">
        <v>46292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32043-2026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46233</v>
      </c>
      <c r="E708" s="1" t="n">
        <v>46292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37924-2026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46280</v>
      </c>
      <c r="E709" s="1" t="n">
        <v>46292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8.5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37685-2026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46279</v>
      </c>
      <c r="E710" s="1" t="n">
        <v>46292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37922-2026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46280</v>
      </c>
      <c r="E711" s="1" t="n">
        <v>46292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56466-2024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45625</v>
      </c>
      <c r="E712" s="1" t="n">
        <v>46292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2317-2025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45673</v>
      </c>
      <c r="E713" s="1" t="n">
        <v>46292</v>
      </c>
      <c r="F713" t="inlineStr">
        <is>
          <t>VÄRMLANDS LÄN</t>
        </is>
      </c>
      <c r="G713" t="inlineStr">
        <is>
          <t>HAGFORS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38342-2026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46282</v>
      </c>
      <c r="E714" s="1" t="n">
        <v>46292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38411-2026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46282</v>
      </c>
      <c r="E715" s="1" t="n">
        <v>46292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16.6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28087-2024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45476</v>
      </c>
      <c r="E716" s="1" t="n">
        <v>46292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32490-2026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46239</v>
      </c>
      <c r="E717" s="1" t="n">
        <v>46292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19.3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32535-2026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46239</v>
      </c>
      <c r="E718" s="1" t="n">
        <v>46292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38410-2026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46282</v>
      </c>
      <c r="E719" s="1" t="n">
        <v>46292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38244-2026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46281</v>
      </c>
      <c r="E720" s="1" t="n">
        <v>46292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36206-2024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45534</v>
      </c>
      <c r="E721" s="1" t="n">
        <v>46292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38404-2026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46282</v>
      </c>
      <c r="E722" s="1" t="n">
        <v>46292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38412-2026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46282</v>
      </c>
      <c r="E723" s="1" t="n">
        <v>46292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31812-2024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45509</v>
      </c>
      <c r="E724" s="1" t="n">
        <v>46292</v>
      </c>
      <c r="F724" t="inlineStr">
        <is>
          <t>VÄRMLANDS LÄN</t>
        </is>
      </c>
      <c r="G724" t="inlineStr">
        <is>
          <t>HAGFORS</t>
        </is>
      </c>
      <c r="H724" t="inlineStr">
        <is>
          <t>Kommuner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32507-2026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46239</v>
      </c>
      <c r="E725" s="1" t="n">
        <v>46292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38477-2026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46282</v>
      </c>
      <c r="E726" s="1" t="n">
        <v>46292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32483-2026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46239</v>
      </c>
      <c r="E727" s="1" t="n">
        <v>46292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38645-2026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46283</v>
      </c>
      <c r="E728" s="1" t="n">
        <v>46292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18.6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42150-2024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45562</v>
      </c>
      <c r="E729" s="1" t="n">
        <v>46292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38687-2026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46283</v>
      </c>
      <c r="E730" s="1" t="n">
        <v>46292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60178-2023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45258</v>
      </c>
      <c r="E731" s="1" t="n">
        <v>46292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32721-2026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46241</v>
      </c>
      <c r="E732" s="1" t="n">
        <v>46292</v>
      </c>
      <c r="F732" t="inlineStr">
        <is>
          <t>VÄRMLANDS LÄN</t>
        </is>
      </c>
      <c r="G732" t="inlineStr">
        <is>
          <t>HAGFORS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38951-2026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46286</v>
      </c>
      <c r="E733" s="1" t="n">
        <v>46292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38573-2026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46283</v>
      </c>
      <c r="E734" s="1" t="n">
        <v>46292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15270-2024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45400</v>
      </c>
      <c r="E735" s="1" t="n">
        <v>46292</v>
      </c>
      <c r="F735" t="inlineStr">
        <is>
          <t>VÄRMLANDS LÄN</t>
        </is>
      </c>
      <c r="G735" t="inlineStr">
        <is>
          <t>HAGFORS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32712-2026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46241</v>
      </c>
      <c r="E736" s="1" t="n">
        <v>46292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32713-2026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46241</v>
      </c>
      <c r="E737" s="1" t="n">
        <v>46292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8304-2022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44610</v>
      </c>
      <c r="E738" s="1" t="n">
        <v>46292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55447-2022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44887</v>
      </c>
      <c r="E739" s="1" t="n">
        <v>46292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33073-2026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46245</v>
      </c>
      <c r="E740" s="1" t="n">
        <v>46292</v>
      </c>
      <c r="F740" t="inlineStr">
        <is>
          <t>VÄRMLANDS LÄN</t>
        </is>
      </c>
      <c r="G740" t="inlineStr">
        <is>
          <t>HAGFORS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4260-2023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44953</v>
      </c>
      <c r="E741" s="1" t="n">
        <v>46292</v>
      </c>
      <c r="F741" t="inlineStr">
        <is>
          <t>VÄRMLANDS LÄN</t>
        </is>
      </c>
      <c r="G741" t="inlineStr">
        <is>
          <t>HAGFORS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39116-2026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46287</v>
      </c>
      <c r="E742" s="1" t="n">
        <v>46292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44951</v>
      </c>
      <c r="E743" s="1" t="n">
        <v>46292</v>
      </c>
      <c r="F743" t="inlineStr">
        <is>
          <t>VÄRMLANDS LÄN</t>
        </is>
      </c>
      <c r="G743" t="inlineStr">
        <is>
          <t>HAGFORS</t>
        </is>
      </c>
      <c r="H743" t="inlineStr">
        <is>
          <t>Kommuner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39345-2026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46288</v>
      </c>
      <c r="E744" s="1" t="n">
        <v>46292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13850-2022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44649</v>
      </c>
      <c r="E745" s="1" t="n">
        <v>46292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19056-2026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46132</v>
      </c>
      <c r="E746" s="1" t="n">
        <v>46292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39382-2026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46288</v>
      </c>
      <c r="E747" s="1" t="n">
        <v>46292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39347-2026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46288</v>
      </c>
      <c r="E748" s="1" t="n">
        <v>46292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8.5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39070-2026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46287</v>
      </c>
      <c r="E749" s="1" t="n">
        <v>46292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61902-2021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44502</v>
      </c>
      <c r="E750" s="1" t="n">
        <v>46292</v>
      </c>
      <c r="F750" t="inlineStr">
        <is>
          <t>VÄRMLANDS LÄN</t>
        </is>
      </c>
      <c r="G750" t="inlineStr">
        <is>
          <t>HAGFORS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39186-2026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46287</v>
      </c>
      <c r="E751" s="1" t="n">
        <v>46292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58307-2023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45250</v>
      </c>
      <c r="E752" s="1" t="n">
        <v>46292</v>
      </c>
      <c r="F752" t="inlineStr">
        <is>
          <t>VÄRMLANDS LÄN</t>
        </is>
      </c>
      <c r="G752" t="inlineStr">
        <is>
          <t>HAGFORS</t>
        </is>
      </c>
      <c r="H752" t="inlineStr">
        <is>
          <t>Kommuner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11104-2022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44628</v>
      </c>
      <c r="E753" s="1" t="n">
        <v>46292</v>
      </c>
      <c r="F753" t="inlineStr">
        <is>
          <t>VÄRMLANDS LÄN</t>
        </is>
      </c>
      <c r="G753" t="inlineStr">
        <is>
          <t>HAGFORS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39396-2023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45166</v>
      </c>
      <c r="E754" s="1" t="n">
        <v>46292</v>
      </c>
      <c r="F754" t="inlineStr">
        <is>
          <t>VÄRMLANDS LÄN</t>
        </is>
      </c>
      <c r="G754" t="inlineStr">
        <is>
          <t>HAGFORS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39532-2026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46289</v>
      </c>
      <c r="E755" s="1" t="n">
        <v>46292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33627-2026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46248</v>
      </c>
      <c r="E756" s="1" t="n">
        <v>46292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60664-2023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45259</v>
      </c>
      <c r="E757" s="1" t="n">
        <v>46292</v>
      </c>
      <c r="F757" t="inlineStr">
        <is>
          <t>VÄRMLANDS LÄN</t>
        </is>
      </c>
      <c r="G757" t="inlineStr">
        <is>
          <t>HAGFORS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39825-2026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46290</v>
      </c>
      <c r="E758" s="1" t="n">
        <v>46292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39881-2026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46290</v>
      </c>
      <c r="E759" s="1" t="n">
        <v>46292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39566-2026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46289</v>
      </c>
      <c r="E760" s="1" t="n">
        <v>46292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14.2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39605-2026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46289</v>
      </c>
      <c r="E761" s="1" t="n">
        <v>46292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39577-2026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46289</v>
      </c>
      <c r="E762" s="1" t="n">
        <v>46292</v>
      </c>
      <c r="F762" t="inlineStr">
        <is>
          <t>VÄRMLANDS LÄN</t>
        </is>
      </c>
      <c r="G762" t="inlineStr">
        <is>
          <t>HAGFORS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33515-2026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46292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39706-2026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46290</v>
      </c>
      <c r="E764" s="1" t="n">
        <v>46292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39708-2026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46290</v>
      </c>
      <c r="E765" s="1" t="n">
        <v>46292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39727-2026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46290</v>
      </c>
      <c r="E766" s="1" t="n">
        <v>46292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33635-2026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46248</v>
      </c>
      <c r="E767" s="1" t="n">
        <v>46292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4.7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8820-2024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45356</v>
      </c>
      <c r="E768" s="1" t="n">
        <v>46292</v>
      </c>
      <c r="F768" t="inlineStr">
        <is>
          <t>VÄRMLANDS LÄN</t>
        </is>
      </c>
      <c r="G768" t="inlineStr">
        <is>
          <t>HAGFORS</t>
        </is>
      </c>
      <c r="I768" t="n">
        <v>4.4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658-2022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44566</v>
      </c>
      <c r="E769" s="1" t="n">
        <v>46292</v>
      </c>
      <c r="F769" t="inlineStr">
        <is>
          <t>VÄRMLANDS LÄN</t>
        </is>
      </c>
      <c r="G769" t="inlineStr">
        <is>
          <t>HAGFORS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59048-2022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44903</v>
      </c>
      <c r="E770" s="1" t="n">
        <v>46292</v>
      </c>
      <c r="F770" t="inlineStr">
        <is>
          <t>VÄRMLANDS LÄN</t>
        </is>
      </c>
      <c r="G770" t="inlineStr">
        <is>
          <t>HAGFORS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29372-2023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45106</v>
      </c>
      <c r="E771" s="1" t="n">
        <v>46292</v>
      </c>
      <c r="F771" t="inlineStr">
        <is>
          <t>VÄRMLANDS LÄN</t>
        </is>
      </c>
      <c r="G771" t="inlineStr">
        <is>
          <t>HAGFORS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60221-2023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45258</v>
      </c>
      <c r="E772" s="1" t="n">
        <v>46292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34541-2024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45525</v>
      </c>
      <c r="E773" s="1" t="n">
        <v>46292</v>
      </c>
      <c r="F773" t="inlineStr">
        <is>
          <t>VÄRMLANDS LÄN</t>
        </is>
      </c>
      <c r="G773" t="inlineStr">
        <is>
          <t>HAGFORS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35668-2023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45147</v>
      </c>
      <c r="E774" s="1" t="n">
        <v>46292</v>
      </c>
      <c r="F774" t="inlineStr">
        <is>
          <t>VÄRMLANDS LÄN</t>
        </is>
      </c>
      <c r="G774" t="inlineStr">
        <is>
          <t>HAGFORS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46190-2024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45581</v>
      </c>
      <c r="E775" s="1" t="n">
        <v>46292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45678</v>
      </c>
      <c r="E776" s="1" t="n">
        <v>46292</v>
      </c>
      <c r="F776" t="inlineStr">
        <is>
          <t>VÄRMLANDS LÄN</t>
        </is>
      </c>
      <c r="G776" t="inlineStr">
        <is>
          <t>HAGFORS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26859-2024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45470</v>
      </c>
      <c r="E777" s="1" t="n">
        <v>46292</v>
      </c>
      <c r="F777" t="inlineStr">
        <is>
          <t>VÄRMLANDS LÄN</t>
        </is>
      </c>
      <c r="G777" t="inlineStr">
        <is>
          <t>HAGFORS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11367-2025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45726</v>
      </c>
      <c r="E778" s="1" t="n">
        <v>46292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46208-2023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45196</v>
      </c>
      <c r="E779" s="1" t="n">
        <v>46292</v>
      </c>
      <c r="F779" t="inlineStr">
        <is>
          <t>VÄRMLANDS LÄN</t>
        </is>
      </c>
      <c r="G779" t="inlineStr">
        <is>
          <t>HAGFORS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29373-2023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45106</v>
      </c>
      <c r="E780" s="1" t="n">
        <v>46292</v>
      </c>
      <c r="F780" t="inlineStr">
        <is>
          <t>VÄRMLANDS LÄN</t>
        </is>
      </c>
      <c r="G780" t="inlineStr">
        <is>
          <t>HAGFORS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4279-2024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45324</v>
      </c>
      <c r="E781" s="1" t="n">
        <v>46292</v>
      </c>
      <c r="F781" t="inlineStr">
        <is>
          <t>VÄRMLANDS LÄN</t>
        </is>
      </c>
      <c r="G781" t="inlineStr">
        <is>
          <t>HAGFORS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52378-2021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44465</v>
      </c>
      <c r="E782" s="1" t="n">
        <v>46292</v>
      </c>
      <c r="F782" t="inlineStr">
        <is>
          <t>VÄRMLANDS LÄN</t>
        </is>
      </c>
      <c r="G782" t="inlineStr">
        <is>
          <t>HAGFORS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3426-2023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44949</v>
      </c>
      <c r="E783" s="1" t="n">
        <v>46292</v>
      </c>
      <c r="F783" t="inlineStr">
        <is>
          <t>VÄRMLANDS LÄN</t>
        </is>
      </c>
      <c r="G783" t="inlineStr">
        <is>
          <t>HAGFORS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42223-2022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44830</v>
      </c>
      <c r="E784" s="1" t="n">
        <v>46292</v>
      </c>
      <c r="F784" t="inlineStr">
        <is>
          <t>VÄRMLANDS LÄN</t>
        </is>
      </c>
      <c r="G784" t="inlineStr">
        <is>
          <t>HAGFORS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17584-2023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45036</v>
      </c>
      <c r="E785" s="1" t="n">
        <v>46292</v>
      </c>
      <c r="F785" t="inlineStr">
        <is>
          <t>VÄRMLANDS LÄN</t>
        </is>
      </c>
      <c r="G785" t="inlineStr">
        <is>
          <t>HAGFORS</t>
        </is>
      </c>
      <c r="H785" t="inlineStr">
        <is>
          <t>Kommuner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32696-2023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45112</v>
      </c>
      <c r="E786" s="1" t="n">
        <v>46292</v>
      </c>
      <c r="F786" t="inlineStr">
        <is>
          <t>VÄRMLANDS LÄN</t>
        </is>
      </c>
      <c r="G786" t="inlineStr">
        <is>
          <t>HAGFORS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58799-2022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44903</v>
      </c>
      <c r="E787" s="1" t="n">
        <v>46292</v>
      </c>
      <c r="F787" t="inlineStr">
        <is>
          <t>VÄRMLANDS LÄN</t>
        </is>
      </c>
      <c r="G787" t="inlineStr">
        <is>
          <t>HAGFORS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59092-2022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44904</v>
      </c>
      <c r="E788" s="1" t="n">
        <v>46292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20466-2023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45057</v>
      </c>
      <c r="E789" s="1" t="n">
        <v>46292</v>
      </c>
      <c r="F789" t="inlineStr">
        <is>
          <t>VÄRMLANDS LÄN</t>
        </is>
      </c>
      <c r="G789" t="inlineStr">
        <is>
          <t>HAGFORS</t>
        </is>
      </c>
      <c r="H789" t="inlineStr">
        <is>
          <t>Kyrkan</t>
        </is>
      </c>
      <c r="I789" t="n">
        <v>5.6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32031-2024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45510</v>
      </c>
      <c r="E790" s="1" t="n">
        <v>46292</v>
      </c>
      <c r="F790" t="inlineStr">
        <is>
          <t>VÄRMLANDS LÄN</t>
        </is>
      </c>
      <c r="G790" t="inlineStr">
        <is>
          <t>HAGFORS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53192-2022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44876</v>
      </c>
      <c r="E791" s="1" t="n">
        <v>46292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2371-2025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45673</v>
      </c>
      <c r="E792" s="1" t="n">
        <v>46292</v>
      </c>
      <c r="F792" t="inlineStr">
        <is>
          <t>VÄRMLANDS LÄN</t>
        </is>
      </c>
      <c r="G792" t="inlineStr">
        <is>
          <t>HAGFORS</t>
        </is>
      </c>
      <c r="I792" t="n">
        <v>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18014-2024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45419</v>
      </c>
      <c r="E793" s="1" t="n">
        <v>46292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1931-2024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45308</v>
      </c>
      <c r="E794" s="1" t="n">
        <v>46292</v>
      </c>
      <c r="F794" t="inlineStr">
        <is>
          <t>VÄRMLANDS LÄN</t>
        </is>
      </c>
      <c r="G794" t="inlineStr">
        <is>
          <t>HAGFORS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36013-2023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45149</v>
      </c>
      <c r="E795" s="1" t="n">
        <v>46292</v>
      </c>
      <c r="F795" t="inlineStr">
        <is>
          <t>VÄRMLANDS LÄN</t>
        </is>
      </c>
      <c r="G795" t="inlineStr">
        <is>
          <t>HAGFORS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56895-2023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45244</v>
      </c>
      <c r="E796" s="1" t="n">
        <v>46292</v>
      </c>
      <c r="F796" t="inlineStr">
        <is>
          <t>VÄRMLANDS LÄN</t>
        </is>
      </c>
      <c r="G796" t="inlineStr">
        <is>
          <t>HAGFORS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35664-2023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45147</v>
      </c>
      <c r="E797" s="1" t="n">
        <v>46292</v>
      </c>
      <c r="F797" t="inlineStr">
        <is>
          <t>VÄRMLANDS LÄN</t>
        </is>
      </c>
      <c r="G797" t="inlineStr">
        <is>
          <t>HAGFORS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6478-2025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45699</v>
      </c>
      <c r="E798" s="1" t="n">
        <v>46292</v>
      </c>
      <c r="F798" t="inlineStr">
        <is>
          <t>VÄRMLANDS LÄN</t>
        </is>
      </c>
      <c r="G798" t="inlineStr">
        <is>
          <t>HAGFORS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4748-2024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45328</v>
      </c>
      <c r="E799" s="1" t="n">
        <v>46292</v>
      </c>
      <c r="F799" t="inlineStr">
        <is>
          <t>VÄRMLANDS LÄN</t>
        </is>
      </c>
      <c r="G799" t="inlineStr">
        <is>
          <t>HAGFORS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13282-2024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45386</v>
      </c>
      <c r="E800" s="1" t="n">
        <v>46292</v>
      </c>
      <c r="F800" t="inlineStr">
        <is>
          <t>VÄRMLANDS LÄN</t>
        </is>
      </c>
      <c r="G800" t="inlineStr">
        <is>
          <t>HAGFORS</t>
        </is>
      </c>
      <c r="H800" t="inlineStr">
        <is>
          <t>Kommuner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48276-2024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45590</v>
      </c>
      <c r="E801" s="1" t="n">
        <v>46292</v>
      </c>
      <c r="F801" t="inlineStr">
        <is>
          <t>VÄRMLANDS LÄN</t>
        </is>
      </c>
      <c r="G801" t="inlineStr">
        <is>
          <t>HAGFORS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57159-2024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45629</v>
      </c>
      <c r="E802" s="1" t="n">
        <v>46292</v>
      </c>
      <c r="F802" t="inlineStr">
        <is>
          <t>VÄRMLANDS LÄN</t>
        </is>
      </c>
      <c r="G802" t="inlineStr">
        <is>
          <t>HAGFORS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33146-2024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45518</v>
      </c>
      <c r="E803" s="1" t="n">
        <v>46292</v>
      </c>
      <c r="F803" t="inlineStr">
        <is>
          <t>VÄRMLANDS LÄN</t>
        </is>
      </c>
      <c r="G803" t="inlineStr">
        <is>
          <t>HAGFORS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51346-2022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44869</v>
      </c>
      <c r="E804" s="1" t="n">
        <v>46292</v>
      </c>
      <c r="F804" t="inlineStr">
        <is>
          <t>VÄRMLANDS LÄN</t>
        </is>
      </c>
      <c r="G804" t="inlineStr">
        <is>
          <t>HAGFORS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32033-2024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45510</v>
      </c>
      <c r="E805" s="1" t="n">
        <v>46292</v>
      </c>
      <c r="F805" t="inlineStr">
        <is>
          <t>VÄRMLANDS LÄN</t>
        </is>
      </c>
      <c r="G805" t="inlineStr">
        <is>
          <t>HAGFORS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56888-2023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45244</v>
      </c>
      <c r="E806" s="1" t="n">
        <v>46292</v>
      </c>
      <c r="F806" t="inlineStr">
        <is>
          <t>VÄRMLANDS LÄN</t>
        </is>
      </c>
      <c r="G806" t="inlineStr">
        <is>
          <t>HAGFORS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60974-2024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45645</v>
      </c>
      <c r="E807" s="1" t="n">
        <v>46292</v>
      </c>
      <c r="F807" t="inlineStr">
        <is>
          <t>VÄRMLANDS LÄN</t>
        </is>
      </c>
      <c r="G807" t="inlineStr">
        <is>
          <t>HAGFORS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35775-2024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45532</v>
      </c>
      <c r="E808" s="1" t="n">
        <v>46292</v>
      </c>
      <c r="F808" t="inlineStr">
        <is>
          <t>VÄRMLANDS LÄN</t>
        </is>
      </c>
      <c r="G808" t="inlineStr">
        <is>
          <t>HAGFORS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45238-2024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45575</v>
      </c>
      <c r="E809" s="1" t="n">
        <v>46292</v>
      </c>
      <c r="F809" t="inlineStr">
        <is>
          <t>VÄRMLANDS LÄN</t>
        </is>
      </c>
      <c r="G809" t="inlineStr">
        <is>
          <t>HAGFORS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32149-2023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45107</v>
      </c>
      <c r="E810" s="1" t="n">
        <v>46292</v>
      </c>
      <c r="F810" t="inlineStr">
        <is>
          <t>VÄRMLANDS LÄN</t>
        </is>
      </c>
      <c r="G810" t="inlineStr">
        <is>
          <t>HAGFORS</t>
        </is>
      </c>
      <c r="I810" t="n">
        <v>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26777-2023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45093</v>
      </c>
      <c r="E811" s="1" t="n">
        <v>46292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56165-2024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45624</v>
      </c>
      <c r="E812" s="1" t="n">
        <v>46292</v>
      </c>
      <c r="F812" t="inlineStr">
        <is>
          <t>VÄRMLANDS LÄN</t>
        </is>
      </c>
      <c r="G812" t="inlineStr">
        <is>
          <t>HAGFORS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45684</v>
      </c>
      <c r="E813" s="1" t="n">
        <v>46292</v>
      </c>
      <c r="F813" t="inlineStr">
        <is>
          <t>VÄRMLANDS LÄN</t>
        </is>
      </c>
      <c r="G813" t="inlineStr">
        <is>
          <t>HAGFORS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4012-2025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45684</v>
      </c>
      <c r="E814" s="1" t="n">
        <v>46292</v>
      </c>
      <c r="F814" t="inlineStr">
        <is>
          <t>VÄRMLANDS LÄN</t>
        </is>
      </c>
      <c r="G814" t="inlineStr">
        <is>
          <t>HAGFORS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19894-2024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45433</v>
      </c>
      <c r="E815" s="1" t="n">
        <v>46292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5796-2024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45335</v>
      </c>
      <c r="E816" s="1" t="n">
        <v>46292</v>
      </c>
      <c r="F816" t="inlineStr">
        <is>
          <t>VÄRMLANDS LÄN</t>
        </is>
      </c>
      <c r="G816" t="inlineStr">
        <is>
          <t>HAGFORS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4047-2024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45323</v>
      </c>
      <c r="E817" s="1" t="n">
        <v>46292</v>
      </c>
      <c r="F817" t="inlineStr">
        <is>
          <t>VÄRMLANDS LÄN</t>
        </is>
      </c>
      <c r="G817" t="inlineStr">
        <is>
          <t>HAGFORS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36228-2024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45534</v>
      </c>
      <c r="E818" s="1" t="n">
        <v>46292</v>
      </c>
      <c r="F818" t="inlineStr">
        <is>
          <t>VÄRMLANDS LÄN</t>
        </is>
      </c>
      <c r="G818" t="inlineStr">
        <is>
          <t>HAGFORS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42173-2024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45562</v>
      </c>
      <c r="E819" s="1" t="n">
        <v>46292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42178-2024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45562</v>
      </c>
      <c r="E820" s="1" t="n">
        <v>46292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42235-2024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45562</v>
      </c>
      <c r="E821" s="1" t="n">
        <v>46292</v>
      </c>
      <c r="F821" t="inlineStr">
        <is>
          <t>VÄRMLANDS LÄN</t>
        </is>
      </c>
      <c r="G821" t="inlineStr">
        <is>
          <t>HAGFORS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21067-2025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45777</v>
      </c>
      <c r="E822" s="1" t="n">
        <v>46292</v>
      </c>
      <c r="F822" t="inlineStr">
        <is>
          <t>VÄRMLANDS LÄN</t>
        </is>
      </c>
      <c r="G822" t="inlineStr">
        <is>
          <t>HAGFORS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47425-2024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45587</v>
      </c>
      <c r="E823" s="1" t="n">
        <v>46292</v>
      </c>
      <c r="F823" t="inlineStr">
        <is>
          <t>VÄRMLANDS LÄN</t>
        </is>
      </c>
      <c r="G823" t="inlineStr">
        <is>
          <t>HAGFORS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24680-2024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45460</v>
      </c>
      <c r="E824" s="1" t="n">
        <v>46292</v>
      </c>
      <c r="F824" t="inlineStr">
        <is>
          <t>VÄRMLANDS LÄN</t>
        </is>
      </c>
      <c r="G824" t="inlineStr">
        <is>
          <t>HAGFORS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40332-2023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45169</v>
      </c>
      <c r="E825" s="1" t="n">
        <v>46292</v>
      </c>
      <c r="F825" t="inlineStr">
        <is>
          <t>VÄRMLANDS LÄN</t>
        </is>
      </c>
      <c r="G825" t="inlineStr">
        <is>
          <t>HAGFORS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21723-2025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45783</v>
      </c>
      <c r="E826" s="1" t="n">
        <v>46292</v>
      </c>
      <c r="F826" t="inlineStr">
        <is>
          <t>VÄRMLANDS LÄN</t>
        </is>
      </c>
      <c r="G826" t="inlineStr">
        <is>
          <t>HAGFORS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22461-2025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45786</v>
      </c>
      <c r="E827" s="1" t="n">
        <v>46292</v>
      </c>
      <c r="F827" t="inlineStr">
        <is>
          <t>VÄRMLANDS LÄN</t>
        </is>
      </c>
      <c r="G827" t="inlineStr">
        <is>
          <t>HAGFORS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17833-2022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44683</v>
      </c>
      <c r="E828" s="1" t="n">
        <v>46292</v>
      </c>
      <c r="F828" t="inlineStr">
        <is>
          <t>VÄRMLANDS LÄN</t>
        </is>
      </c>
      <c r="G828" t="inlineStr">
        <is>
          <t>HAGFORS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22917-2025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45790</v>
      </c>
      <c r="E829" s="1" t="n">
        <v>46292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22964-2025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45790</v>
      </c>
      <c r="E830" s="1" t="n">
        <v>46292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22799-2025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45789</v>
      </c>
      <c r="E831" s="1" t="n">
        <v>46292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23268-2025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45791</v>
      </c>
      <c r="E832" s="1" t="n">
        <v>46292</v>
      </c>
      <c r="F832" t="inlineStr">
        <is>
          <t>VÄRMLANDS LÄN</t>
        </is>
      </c>
      <c r="G832" t="inlineStr">
        <is>
          <t>HAGFORS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23556-2025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45792</v>
      </c>
      <c r="E833" s="1" t="n">
        <v>46292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23525-2025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45792</v>
      </c>
      <c r="E834" s="1" t="n">
        <v>46292</v>
      </c>
      <c r="F834" t="inlineStr">
        <is>
          <t>VÄRMLANDS LÄN</t>
        </is>
      </c>
      <c r="G834" t="inlineStr">
        <is>
          <t>HAGFORS</t>
        </is>
      </c>
      <c r="I834" t="n">
        <v>5.5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38239-2024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45545</v>
      </c>
      <c r="E835" s="1" t="n">
        <v>46292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2225-2020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44127</v>
      </c>
      <c r="E836" s="1" t="n">
        <v>46292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0.2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2050-2022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44671</v>
      </c>
      <c r="E837" s="1" t="n">
        <v>46292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937-2022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44606</v>
      </c>
      <c r="E838" s="1" t="n">
        <v>46292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59.4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931-2022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44606</v>
      </c>
      <c r="E839" s="1" t="n">
        <v>46292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49.5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262-2022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44578</v>
      </c>
      <c r="E840" s="1" t="n">
        <v>46292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78.90000000000001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907-2022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44606</v>
      </c>
      <c r="E841" s="1" t="n">
        <v>46292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43.5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913-2022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44606</v>
      </c>
      <c r="E842" s="1" t="n">
        <v>46292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898-2022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44606</v>
      </c>
      <c r="E843" s="1" t="n">
        <v>46292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24.9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900-2022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44606</v>
      </c>
      <c r="E844" s="1" t="n">
        <v>46292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27.3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914-2022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44606</v>
      </c>
      <c r="E845" s="1" t="n">
        <v>46292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19.3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4419-2023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45266</v>
      </c>
      <c r="E846" s="1" t="n">
        <v>46292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35.6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4420-2023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45266</v>
      </c>
      <c r="E847" s="1" t="n">
        <v>46292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44.2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4426-2023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45266</v>
      </c>
      <c r="E848" s="1" t="n">
        <v>46292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9.699999999999999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5512-2022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44834</v>
      </c>
      <c r="E849" s="1" t="n">
        <v>46292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29.9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4415-2023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45266</v>
      </c>
      <c r="E850" s="1" t="n">
        <v>46292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9.199999999999999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6970-2022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44901</v>
      </c>
      <c r="E851" s="1" t="n">
        <v>46292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29.3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4408-2023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45266</v>
      </c>
      <c r="E852" s="1" t="n">
        <v>46292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13.7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6968-2022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44901</v>
      </c>
      <c r="E853" s="1" t="n">
        <v>46292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19.3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4423-2023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45266</v>
      </c>
      <c r="E854" s="1" t="n">
        <v>46292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15.7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4418-2023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45266</v>
      </c>
      <c r="E855" s="1" t="n">
        <v>46292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19.1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651-2024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45356</v>
      </c>
      <c r="E856" s="1" t="n">
        <v>46292</v>
      </c>
      <c r="F856" t="inlineStr">
        <is>
          <t>VÄRMLANDS LÄN</t>
        </is>
      </c>
      <c r="G856" t="inlineStr">
        <is>
          <t>HAGFORS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4145-2023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45247</v>
      </c>
      <c r="E857" s="1" t="n">
        <v>46292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26.1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6967-2022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44901</v>
      </c>
      <c r="E858" s="1" t="n">
        <v>46292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27.1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89-2025</t>
        </is>
      </c>
      <c r="B859" t="inlineStr">
        <is>
          <t>samrådsanmälan</t>
        </is>
      </c>
      <c r="C859" t="inlineStr">
        <is>
          <t>Åtgärd i nyckelbiotop</t>
        </is>
      </c>
      <c r="D859" s="1" t="n">
        <v>45316</v>
      </c>
      <c r="E859" s="1" t="n">
        <v>46292</v>
      </c>
      <c r="F859" t="inlineStr">
        <is>
          <t>VÄRMLANDS LÄN</t>
        </is>
      </c>
      <c r="G859" t="inlineStr">
        <is>
          <t>HAGFORS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6969-2022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44901</v>
      </c>
      <c r="E860" s="1" t="n">
        <v>46292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24.3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220-2025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45680</v>
      </c>
      <c r="E861" s="1" t="n">
        <v>46292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23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4150-2023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45247</v>
      </c>
      <c r="E862" s="1" t="n">
        <v>46292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34.4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4410-2023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45266</v>
      </c>
      <c r="E863" s="1" t="n">
        <v>46292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39.3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4409-2023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45266</v>
      </c>
      <c r="E864" s="1" t="n">
        <v>46292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24.9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4155-2023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45247</v>
      </c>
      <c r="E865" s="1" t="n">
        <v>46292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40.9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4140-2023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45247</v>
      </c>
      <c r="E866" s="1" t="n">
        <v>46292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36.5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6977-2022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44901</v>
      </c>
      <c r="E867" s="1" t="n">
        <v>46292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25.2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6973-2022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44901</v>
      </c>
      <c r="E868" s="1" t="n">
        <v>46292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30.1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4143-2023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45247</v>
      </c>
      <c r="E869" s="1" t="n">
        <v>46292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13.2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4407-2023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45266</v>
      </c>
      <c r="E870" s="1" t="n">
        <v>46292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6965-2022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44901</v>
      </c>
      <c r="E871" s="1" t="n">
        <v>46292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21.4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662-2025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45716</v>
      </c>
      <c r="E872" s="1" t="n">
        <v>46292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52.4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108-2026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46037</v>
      </c>
      <c r="E873" s="1" t="n">
        <v>46292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204.4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102-2026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46036</v>
      </c>
      <c r="E874" s="1" t="n">
        <v>46292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57.9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60-2026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46013</v>
      </c>
      <c r="E875" s="1" t="n">
        <v>46292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10.6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>
      <c r="A876" t="inlineStr">
        <is>
          <t>S 382-2025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45691</v>
      </c>
      <c r="E876" s="1" t="n">
        <v>46292</v>
      </c>
      <c r="F876" t="inlineStr">
        <is>
          <t>VÄRMLANDS LÄN</t>
        </is>
      </c>
      <c r="G876" t="inlineStr">
        <is>
          <t>HAGFORS</t>
        </is>
      </c>
      <c r="I876" t="n">
        <v>5.8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2026-09-27T01:58:23Z</dcterms:created>
  <dcterms:modified xmlns:dcterms="http://purl.org/dc/terms/" xmlns:xsi="http://www.w3.org/2001/XMLSchema-instance" xsi:type="dcterms:W3CDTF">2026-09-27T01:58:24Z</dcterms:modified>
</cp:coreProperties>
</file>