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46253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46253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46253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46253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46253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46253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46253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46253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46253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46253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46253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45073-2021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46253</v>
      </c>
      <c r="F23" t="inlineStr">
        <is>
          <t>VÄRMLANDS LÄN</t>
        </is>
      </c>
      <c r="G23" t="inlineStr">
        <is>
          <t>HAGFORS</t>
        </is>
      </c>
      <c r="H23" t="inlineStr">
        <is>
          <t>Kyrkan</t>
        </is>
      </c>
      <c r="I23" t="n">
        <v>0.6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4</v>
      </c>
      <c r="V23" s="2" t="inlineStr">
        <is>
          <t>Garnlav
Vedticka</t>
        </is>
      </c>
      <c r="W23">
        <f>HYPERLINK("https://klasma.github.io/Logging_1783/artfynd/A 45073-2021 artfynd.xlsx", "A 45073-2021")</f>
        <v/>
      </c>
      <c r="X23">
        <f>HYPERLINK("https://klasma.github.io/Logging_1783/kartor/A 45073-2021 karta.png", "A 45073-2021")</f>
        <v/>
      </c>
      <c r="Y23">
        <f>HYPERLINK("https://klasma.github.io/Logging_1783/kartor_geotiff/A 45073-2021 georefererad karta.tif", "A 45073-2021")</f>
        <v/>
      </c>
      <c r="AA23">
        <f>HYPERLINK("https://klasma.github.io/Logging_1783/klagomål/A 45073-2021 FSC-klagomål.docx", "A 45073-2021")</f>
        <v/>
      </c>
      <c r="AB23">
        <f>HYPERLINK("https://klasma.github.io/Logging_1783/klagomålsmail/A 45073-2021 FSC-klagomål mail.docx", "A 45073-2021")</f>
        <v/>
      </c>
      <c r="AC23">
        <f>HYPERLINK("https://klasma.github.io/Logging_1783/tillsyn/A 45073-2021 tillsynsbegäran.docx", "A 45073-2021")</f>
        <v/>
      </c>
      <c r="AD23">
        <f>HYPERLINK("https://klasma.github.io/Logging_1783/tillsynsmail/A 45073-2021 tillsynsbegäran mail.docx", "A 45073-2021")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46253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46253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46253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46253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46253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46253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46253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46253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46253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46253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Tallticka</t>
        </is>
      </c>
      <c r="W33">
        <f>HYPERLINK("https://klasma.github.io/Logging_1783/artfynd/A 38267-2024 artfynd.xlsx", "A 38267-2024")</f>
        <v/>
      </c>
      <c r="X33">
        <f>HYPERLINK("https://klasma.github.io/Logging_1783/kartor/A 38267-2024 karta.png", "A 38267-2024")</f>
        <v/>
      </c>
      <c r="Y33">
        <f>HYPERLINK("https://klasma.github.io/Logging_1783/kartor_geotiff/A 38267-2024 georefererad karta.tif", "A 38267-2024")</f>
        <v/>
      </c>
      <c r="AA33">
        <f>HYPERLINK("https://klasma.github.io/Logging_1783/klagomål/A 38267-2024 FSC-klagomål.docx", "A 38267-2024")</f>
        <v/>
      </c>
      <c r="AB33">
        <f>HYPERLINK("https://klasma.github.io/Logging_1783/klagomålsmail/A 38267-2024 FSC-klagomål mail.docx", "A 38267-2024")</f>
        <v/>
      </c>
      <c r="AC33">
        <f>HYPERLINK("https://klasma.github.io/Logging_1783/tillsyn/A 38267-2024 tillsynsbegäran.docx", "A 38267-2024")</f>
        <v/>
      </c>
      <c r="AD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46253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Hökuggla</t>
        </is>
      </c>
      <c r="W34">
        <f>HYPERLINK("https://klasma.github.io/Logging_1783/artfynd/A 37152-2023 artfynd.xlsx", "A 37152-2023")</f>
        <v/>
      </c>
      <c r="X34">
        <f>HYPERLINK("https://klasma.github.io/Logging_1783/kartor/A 37152-2023 karta.png", "A 37152-2023")</f>
        <v/>
      </c>
      <c r="Y34">
        <f>HYPERLINK("https://klasma.github.io/Logging_1783/kartor_geotiff/A 37152-2023 georefererad karta.tif", "A 37152-2023")</f>
        <v/>
      </c>
      <c r="AA34">
        <f>HYPERLINK("https://klasma.github.io/Logging_1783/klagomål/A 37152-2023 FSC-klagomål.docx", "A 37152-2023")</f>
        <v/>
      </c>
      <c r="AB34">
        <f>HYPERLINK("https://klasma.github.io/Logging_1783/klagomålsmail/A 37152-2023 FSC-klagomål mail.docx", "A 37152-2023")</f>
        <v/>
      </c>
      <c r="AC34">
        <f>HYPERLINK("https://klasma.github.io/Logging_1783/tillsyn/A 37152-2023 tillsynsbegäran.docx", "A 37152-2023")</f>
        <v/>
      </c>
      <c r="AD34">
        <f>HYPERLINK("https://klasma.github.io/Logging_1783/tillsynsmail/A 37152-2023 tillsynsbegäran mail.docx", "A 37152-2023")</f>
        <v/>
      </c>
      <c r="AE34">
        <f>HYPERLINK("https://klasma.github.io/Logging_1783/fåglar/A 37152-2023 prioriterade fågelarter.docx", "A 37152-2023")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46253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8254-2026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46253</v>
      </c>
      <c r="F36" t="inlineStr">
        <is>
          <t>VÄRMLANDS LÄN</t>
        </is>
      </c>
      <c r="G36" t="inlineStr">
        <is>
          <t>HAGFORS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HYPERLINK("https://klasma.github.io/Logging_1783/artfynd/A 8254-2026 artfynd.xlsx", "A 8254-2026")</f>
        <v/>
      </c>
      <c r="X36">
        <f>HYPERLINK("https://klasma.github.io/Logging_1783/kartor/A 8254-2026 karta.png", "A 8254-2026")</f>
        <v/>
      </c>
      <c r="Y36">
        <f>HYPERLINK("https://klasma.github.io/Logging_1783/kartor_geotiff/A 8254-2026 georefererad karta.tif", "A 8254-2026")</f>
        <v/>
      </c>
      <c r="AA36">
        <f>HYPERLINK("https://klasma.github.io/Logging_1783/klagomål/A 8254-2026 FSC-klagomål.docx", "A 8254-2026")</f>
        <v/>
      </c>
      <c r="AB36">
        <f>HYPERLINK("https://klasma.github.io/Logging_1783/klagomålsmail/A 8254-2026 FSC-klagomål mail.docx", "A 8254-2026")</f>
        <v/>
      </c>
      <c r="AC36">
        <f>HYPERLINK("https://klasma.github.io/Logging_1783/tillsyn/A 8254-2026 tillsynsbegäran.docx", "A 8254-2026")</f>
        <v/>
      </c>
      <c r="AD36">
        <f>HYPERLINK("https://klasma.github.io/Logging_1783/tillsynsmail/A 8254-2026 tillsynsbegäran mail.docx", "A 8254-2026")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46253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46253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12445-2026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46253</v>
      </c>
      <c r="F39" t="inlineStr">
        <is>
          <t>VÄRMLANDS LÄN</t>
        </is>
      </c>
      <c r="G39" t="inlineStr">
        <is>
          <t>HAGFORS</t>
        </is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12445-2026 artfynd.xlsx", "A 12445-2026")</f>
        <v/>
      </c>
      <c r="X39">
        <f>HYPERLINK("https://klasma.github.io/Logging_1783/kartor/A 12445-2026 karta.png", "A 12445-2026")</f>
        <v/>
      </c>
      <c r="Y39">
        <f>HYPERLINK("https://klasma.github.io/Logging_1783/kartor_geotiff/A 12445-2026 georefererad karta.tif", "A 12445-2026")</f>
        <v/>
      </c>
      <c r="AA39">
        <f>HYPERLINK("https://klasma.github.io/Logging_1783/klagomål/A 12445-2026 FSC-klagomål.docx", "A 12445-2026")</f>
        <v/>
      </c>
      <c r="AB39">
        <f>HYPERLINK("https://klasma.github.io/Logging_1783/klagomålsmail/A 12445-2026 FSC-klagomål mail.docx", "A 12445-2026")</f>
        <v/>
      </c>
      <c r="AC39">
        <f>HYPERLINK("https://klasma.github.io/Logging_1783/tillsyn/A 12445-2026 tillsynsbegäran.docx", "A 12445-2026")</f>
        <v/>
      </c>
      <c r="AD39">
        <f>HYPERLINK("https://klasma.github.io/Logging_1783/tillsynsmail/A 12445-2026 tillsynsbegäran mail.docx", "A 12445-2026")</f>
        <v/>
      </c>
      <c r="AE39">
        <f>HYPERLINK("https://klasma.github.io/Logging_1783/fåglar/A 12445-2026 prioriterade fågelarter.docx", "A 12445-2026")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46253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46253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46253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46253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46253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46253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46253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46253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HYPERLINK("https://klasma.github.io/Logging_1783/artfynd/A 6986-2022 artfynd.xlsx", "A 6986-2022")</f>
        <v/>
      </c>
      <c r="X47">
        <f>HYPERLINK("https://klasma.github.io/Logging_1783/kartor/A 6986-2022 karta.png", "A 6986-2022")</f>
        <v/>
      </c>
      <c r="Y47">
        <f>HYPERLINK("https://klasma.github.io/Logging_1783/kartor_geotiff/A 6986-2022 georefererad karta.tif", "A 6986-2022")</f>
        <v/>
      </c>
      <c r="AA47">
        <f>HYPERLINK("https://klasma.github.io/Logging_1783/klagomål/A 6986-2022 FSC-klagomål.docx", "A 6986-2022")</f>
        <v/>
      </c>
      <c r="AB47">
        <f>HYPERLINK("https://klasma.github.io/Logging_1783/klagomålsmail/A 6986-2022 FSC-klagomål mail.docx", "A 6986-2022")</f>
        <v/>
      </c>
      <c r="AC47">
        <f>HYPERLINK("https://klasma.github.io/Logging_1783/tillsyn/A 6986-2022 tillsynsbegäran.docx", "A 6986-2022")</f>
        <v/>
      </c>
      <c r="AD47">
        <f>HYPERLINK("https://klasma.github.io/Logging_1783/tillsynsmail/A 6986-2022 tillsynsbegäran mail.docx", "A 6986-2022")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46253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46253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46253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46253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46253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46253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46253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51194-2022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44868</v>
      </c>
      <c r="E55" s="1" t="n">
        <v>46253</v>
      </c>
      <c r="F55" t="inlineStr">
        <is>
          <t>VÄRMLANDS LÄN</t>
        </is>
      </c>
      <c r="G55" t="inlineStr">
        <is>
          <t>HAGFORS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HYPERLINK("https://klasma.github.io/Logging_1783/artfynd/A 51194-2022 artfynd.xlsx", "A 51194-2022")</f>
        <v/>
      </c>
      <c r="X55">
        <f>HYPERLINK("https://klasma.github.io/Logging_1783/kartor/A 51194-2022 karta.png", "A 51194-2022")</f>
        <v/>
      </c>
      <c r="Y55">
        <f>HYPERLINK("https://klasma.github.io/Logging_1783/kartor_geotiff/A 51194-2022 georefererad karta.tif", "A 51194-2022")</f>
        <v/>
      </c>
      <c r="AA55">
        <f>HYPERLINK("https://klasma.github.io/Logging_1783/klagomål/A 51194-2022 FSC-klagomål.docx", "A 51194-2022")</f>
        <v/>
      </c>
      <c r="AB55">
        <f>HYPERLINK("https://klasma.github.io/Logging_1783/klagomålsmail/A 51194-2022 FSC-klagomål mail.docx", "A 51194-2022")</f>
        <v/>
      </c>
      <c r="AC55">
        <f>HYPERLINK("https://klasma.github.io/Logging_1783/tillsyn/A 51194-2022 tillsynsbegäran.docx", "A 51194-2022")</f>
        <v/>
      </c>
      <c r="AD55">
        <f>HYPERLINK("https://klasma.github.io/Logging_1783/tillsynsmail/A 51194-2022 tillsynsbegäran mail.docx", "A 51194-2022")</f>
        <v/>
      </c>
    </row>
    <row r="56" ht="15" customHeight="1">
      <c r="A56" t="inlineStr">
        <is>
          <t>A 32592-2026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46240</v>
      </c>
      <c r="E56" s="1" t="n">
        <v>46253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HYPERLINK("https://klasma.github.io/Logging_1783/artfynd/A 32592-2026 artfynd.xlsx", "A 32592-2026")</f>
        <v/>
      </c>
      <c r="X56">
        <f>HYPERLINK("https://klasma.github.io/Logging_1783/kartor/A 32592-2026 karta.png", "A 32592-2026")</f>
        <v/>
      </c>
      <c r="Y56">
        <f>HYPERLINK("https://klasma.github.io/Logging_1783/kartor_geotiff/A 32592-2026 georefererad karta.tif", "A 32592-2026")</f>
        <v/>
      </c>
      <c r="AA56">
        <f>HYPERLINK("https://klasma.github.io/Logging_1783/klagomål/A 32592-2026 FSC-klagomål.docx", "A 32592-2026")</f>
        <v/>
      </c>
      <c r="AB56">
        <f>HYPERLINK("https://klasma.github.io/Logging_1783/klagomålsmail/A 32592-2026 FSC-klagomål mail.docx", "A 32592-2026")</f>
        <v/>
      </c>
      <c r="AC56">
        <f>HYPERLINK("https://klasma.github.io/Logging_1783/tillsyn/A 32592-2026 tillsynsbegäran.docx", "A 32592-2026")</f>
        <v/>
      </c>
      <c r="AD56">
        <f>HYPERLINK("https://klasma.github.io/Logging_1783/tillsynsmail/A 32592-2026 tillsynsbegäran mail.docx", "A 32592-2026")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46253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46253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HYPERLINK("https://klasma.github.io/Logging_1783/artfynd/A 22484-2025 artfynd.xlsx", "A 22484-2025")</f>
        <v/>
      </c>
      <c r="X58">
        <f>HYPERLINK("https://klasma.github.io/Logging_1783/kartor/A 22484-2025 karta.png", "A 22484-2025")</f>
        <v/>
      </c>
      <c r="Y58">
        <f>HYPERLINK("https://klasma.github.io/Logging_1783/kartor_geotiff/A 22484-2025 georefererad karta.tif", "A 22484-2025")</f>
        <v/>
      </c>
      <c r="AA58">
        <f>HYPERLINK("https://klasma.github.io/Logging_1783/klagomål/A 22484-2025 FSC-klagomål.docx", "A 22484-2025")</f>
        <v/>
      </c>
      <c r="AB58">
        <f>HYPERLINK("https://klasma.github.io/Logging_1783/klagomålsmail/A 22484-2025 FSC-klagomål mail.docx", "A 22484-2025")</f>
        <v/>
      </c>
      <c r="AC58">
        <f>HYPERLINK("https://klasma.github.io/Logging_1783/tillsyn/A 22484-2025 tillsynsbegäran.docx", "A 22484-2025")</f>
        <v/>
      </c>
      <c r="AD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46253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46253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HYPERLINK("https://klasma.github.io/Logging_1783/artfynd/S 412-2024 artfynd.xlsx", "S 412-2024")</f>
        <v/>
      </c>
      <c r="X60">
        <f>HYPERLINK("https://klasma.github.io/Logging_1783/kartor/S 412-2024 karta.png", "S 412-2024")</f>
        <v/>
      </c>
      <c r="Y60">
        <f>HYPERLINK("https://klasma.github.io/Logging_1783/kartor_geotiff/S 412-2024 georefererad karta.tif", "S 412-2024")</f>
        <v/>
      </c>
      <c r="AA60">
        <f>HYPERLINK("https://klasma.github.io/Logging_1783/klagomål/S 412-2024 FSC-klagomål.docx", "S 412-2024")</f>
        <v/>
      </c>
      <c r="AB60">
        <f>HYPERLINK("https://klasma.github.io/Logging_1783/klagomålsmail/S 412-2024 FSC-klagomål mail.docx", "S 412-2024")</f>
        <v/>
      </c>
      <c r="AC60">
        <f>HYPERLINK("https://klasma.github.io/Logging_1783/tillsyn/S 412-2024 tillsynsbegäran.docx", "S 412-2024")</f>
        <v/>
      </c>
      <c r="AD60">
        <f>HYPERLINK("https://klasma.github.io/Logging_1783/tillsynsmail/S 412-2024 tillsynsbegäran mail.docx", "S 412-2024")</f>
        <v/>
      </c>
      <c r="AE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46253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Fjällig jordtunga</t>
        </is>
      </c>
      <c r="W61">
        <f>HYPERLINK("https://klasma.github.io/Logging_1783/artfynd/S 4427-2023 artfynd.xlsx", "S 4427-2023")</f>
        <v/>
      </c>
      <c r="X61">
        <f>HYPERLINK("https://klasma.github.io/Logging_1783/kartor/S 4427-2023 karta.png", "S 4427-2023")</f>
        <v/>
      </c>
      <c r="Y61">
        <f>HYPERLINK("https://klasma.github.io/Logging_1783/kartor_geotiff/S 4427-2023 georefererad karta.tif", "S 4427-2023")</f>
        <v/>
      </c>
      <c r="AA61">
        <f>HYPERLINK("https://klasma.github.io/Logging_1783/klagomål/S 4427-2023 FSC-klagomål.docx", "S 4427-2023")</f>
        <v/>
      </c>
      <c r="AB61">
        <f>HYPERLINK("https://klasma.github.io/Logging_1783/klagomålsmail/S 4427-2023 FSC-klagomål mail.docx", "S 4427-2023")</f>
        <v/>
      </c>
      <c r="AC61">
        <f>HYPERLINK("https://klasma.github.io/Logging_1783/tillsyn/S 4427-2023 tillsynsbegäran.docx", "S 4427-2023")</f>
        <v/>
      </c>
      <c r="AD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46253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HYPERLINK("https://klasma.github.io/Logging_1783/artfynd/S 61-2026 artfynd.xlsx", "S 61-2026")</f>
        <v/>
      </c>
      <c r="X62">
        <f>HYPERLINK("https://klasma.github.io/Logging_1783/kartor/S 61-2026 karta.png", "S 61-2026")</f>
        <v/>
      </c>
      <c r="Y62">
        <f>HYPERLINK("https://klasma.github.io/Logging_1783/kartor_geotiff/S 61-2026 georefererad karta.tif", "S 61-2026")</f>
        <v/>
      </c>
      <c r="AA62">
        <f>HYPERLINK("https://klasma.github.io/Logging_1783/klagomål/S 61-2026 FSC-klagomål.docx", "S 61-2026")</f>
        <v/>
      </c>
      <c r="AB62">
        <f>HYPERLINK("https://klasma.github.io/Logging_1783/klagomålsmail/S 61-2026 FSC-klagomål mail.docx", "S 61-2026")</f>
        <v/>
      </c>
      <c r="AC62">
        <f>HYPERLINK("https://klasma.github.io/Logging_1783/tillsyn/S 61-2026 tillsynsbegäran.docx", "S 61-2026")</f>
        <v/>
      </c>
      <c r="AD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46253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65299-2021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46253</v>
      </c>
      <c r="F64" t="inlineStr">
        <is>
          <t>VÄRMLANDS LÄN</t>
        </is>
      </c>
      <c r="G64" t="inlineStr">
        <is>
          <t>HAGFORS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52379-2021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46253</v>
      </c>
      <c r="F65" t="inlineStr">
        <is>
          <t>VÄRMLANDS LÄN</t>
        </is>
      </c>
      <c r="G65" t="inlineStr">
        <is>
          <t>HAGFORS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73207-2021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46253</v>
      </c>
      <c r="F66" t="inlineStr">
        <is>
          <t>VÄRMLANDS LÄN</t>
        </is>
      </c>
      <c r="G66" t="inlineStr">
        <is>
          <t>HAGFORS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64051-2021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46253</v>
      </c>
      <c r="F67" t="inlineStr">
        <is>
          <t>VÄRMLANDS LÄN</t>
        </is>
      </c>
      <c r="G67" t="inlineStr">
        <is>
          <t>HAGFORS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68148-2021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44526</v>
      </c>
      <c r="E68" s="1" t="n">
        <v>46253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34220-2022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44791</v>
      </c>
      <c r="E69" s="1" t="n">
        <v>46253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46253</v>
      </c>
      <c r="F70" t="inlineStr">
        <is>
          <t>VÄRMLANDS LÄN</t>
        </is>
      </c>
      <c r="G70" t="inlineStr">
        <is>
          <t>HAGFORS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46253</v>
      </c>
      <c r="F71" t="inlineStr">
        <is>
          <t>VÄRMLANDS LÄN</t>
        </is>
      </c>
      <c r="G71" t="inlineStr">
        <is>
          <t>HAGFORS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46253</v>
      </c>
      <c r="F72" t="inlineStr">
        <is>
          <t>VÄRMLANDS LÄN</t>
        </is>
      </c>
      <c r="G72" t="inlineStr">
        <is>
          <t>HAGFORS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65295-2021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46253</v>
      </c>
      <c r="F73" t="inlineStr">
        <is>
          <t>VÄRMLANDS LÄN</t>
        </is>
      </c>
      <c r="G73" t="inlineStr">
        <is>
          <t>HAGFORS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46253</v>
      </c>
      <c r="F74" t="inlineStr">
        <is>
          <t>VÄRMLANDS LÄN</t>
        </is>
      </c>
      <c r="G74" t="inlineStr">
        <is>
          <t>HAGFORS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46253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46253</v>
      </c>
      <c r="F76" t="inlineStr">
        <is>
          <t>VÄRMLANDS LÄN</t>
        </is>
      </c>
      <c r="G76" t="inlineStr">
        <is>
          <t>HAGFORS</t>
        </is>
      </c>
      <c r="H76" t="inlineStr">
        <is>
          <t>Bergvik skog väst AB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65551-2021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46253</v>
      </c>
      <c r="F77" t="inlineStr">
        <is>
          <t>VÄRMLANDS LÄN</t>
        </is>
      </c>
      <c r="G77" t="inlineStr">
        <is>
          <t>HAGFORS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65556-2021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46253</v>
      </c>
      <c r="F78" t="inlineStr">
        <is>
          <t>VÄRMLANDS LÄN</t>
        </is>
      </c>
      <c r="G78" t="inlineStr">
        <is>
          <t>HAGFORS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44059-2021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44434</v>
      </c>
      <c r="E79" s="1" t="n">
        <v>46253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44756</v>
      </c>
      <c r="E80" s="1" t="n">
        <v>46253</v>
      </c>
      <c r="F80" t="inlineStr">
        <is>
          <t>VÄRMLANDS LÄN</t>
        </is>
      </c>
      <c r="G80" t="inlineStr">
        <is>
          <t>HAGFORS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44435</v>
      </c>
      <c r="E81" s="1" t="n">
        <v>46253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27.3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72937-2021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44547</v>
      </c>
      <c r="E82" s="1" t="n">
        <v>46253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45293-2021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44439</v>
      </c>
      <c r="E83" s="1" t="n">
        <v>46253</v>
      </c>
      <c r="F83" t="inlineStr">
        <is>
          <t>VÄRMLANDS LÄN</t>
        </is>
      </c>
      <c r="G83" t="inlineStr">
        <is>
          <t>HAGFORS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46253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44432</v>
      </c>
      <c r="E85" s="1" t="n">
        <v>46253</v>
      </c>
      <c r="F85" t="inlineStr">
        <is>
          <t>VÄRMLANDS LÄN</t>
        </is>
      </c>
      <c r="G85" t="inlineStr">
        <is>
          <t>HAGFORS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46253</v>
      </c>
      <c r="F86" t="inlineStr">
        <is>
          <t>VÄRMLANDS LÄN</t>
        </is>
      </c>
      <c r="G86" t="inlineStr">
        <is>
          <t>HAGFORS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46253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46253</v>
      </c>
      <c r="F88" t="inlineStr">
        <is>
          <t>VÄRMLANDS LÄN</t>
        </is>
      </c>
      <c r="G88" t="inlineStr">
        <is>
          <t>HAGFORS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44763</v>
      </c>
      <c r="E89" s="1" t="n">
        <v>46253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46253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46253</v>
      </c>
      <c r="F91" t="inlineStr">
        <is>
          <t>VÄRMLANDS LÄN</t>
        </is>
      </c>
      <c r="G91" t="inlineStr">
        <is>
          <t>HAGFORS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46253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44582</v>
      </c>
      <c r="E93" s="1" t="n">
        <v>46253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46253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46253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46253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46253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46253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46253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46253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46253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46253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46253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46253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46253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46253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46253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46253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46253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46253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46253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46253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46253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46253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45414</v>
      </c>
      <c r="E115" s="1" t="n">
        <v>46253</v>
      </c>
      <c r="F115" t="inlineStr">
        <is>
          <t>VÄRMLANDS LÄN</t>
        </is>
      </c>
      <c r="G115" t="inlineStr">
        <is>
          <t>HAGFORS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45414</v>
      </c>
      <c r="E116" s="1" t="n">
        <v>46253</v>
      </c>
      <c r="F116" t="inlineStr">
        <is>
          <t>VÄRMLANDS LÄN</t>
        </is>
      </c>
      <c r="G116" t="inlineStr">
        <is>
          <t>HAGFORS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46253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46253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46253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46253</v>
      </c>
      <c r="F120" t="inlineStr">
        <is>
          <t>VÄRMLANDS LÄN</t>
        </is>
      </c>
      <c r="G120" t="inlineStr">
        <is>
          <t>HAGFORS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45441</v>
      </c>
      <c r="E121" s="1" t="n">
        <v>46253</v>
      </c>
      <c r="F121" t="inlineStr">
        <is>
          <t>VÄRMLANDS LÄN</t>
        </is>
      </c>
      <c r="G121" t="inlineStr">
        <is>
          <t>HAGFORS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46253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46253</v>
      </c>
      <c r="F123" t="inlineStr">
        <is>
          <t>VÄRMLANDS LÄN</t>
        </is>
      </c>
      <c r="G123" t="inlineStr">
        <is>
          <t>HAGFORS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46253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46253</v>
      </c>
      <c r="F125" t="inlineStr">
        <is>
          <t>VÄRMLANDS LÄN</t>
        </is>
      </c>
      <c r="G125" t="inlineStr">
        <is>
          <t>HAGFORS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12673-2024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45384</v>
      </c>
      <c r="E126" s="1" t="n">
        <v>46253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46253</v>
      </c>
      <c r="F127" t="inlineStr">
        <is>
          <t>VÄRMLANDS LÄN</t>
        </is>
      </c>
      <c r="G127" t="inlineStr">
        <is>
          <t>HAGFORS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45681</v>
      </c>
      <c r="E128" s="1" t="n">
        <v>46253</v>
      </c>
      <c r="F128" t="inlineStr">
        <is>
          <t>VÄRMLANDS LÄN</t>
        </is>
      </c>
      <c r="G128" t="inlineStr">
        <is>
          <t>HAGFORS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46253</v>
      </c>
      <c r="F129" t="inlineStr">
        <is>
          <t>VÄRMLANDS LÄN</t>
        </is>
      </c>
      <c r="G129" t="inlineStr">
        <is>
          <t>HAGFORS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44770</v>
      </c>
      <c r="E130" s="1" t="n">
        <v>46253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15538-2024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45401</v>
      </c>
      <c r="E131" s="1" t="n">
        <v>46253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46253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46253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46253</v>
      </c>
      <c r="F134" t="inlineStr">
        <is>
          <t>VÄRMLANDS LÄN</t>
        </is>
      </c>
      <c r="G134" t="inlineStr">
        <is>
          <t>HAGFORS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46253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46253</v>
      </c>
      <c r="F136" t="inlineStr">
        <is>
          <t>VÄRMLANDS LÄN</t>
        </is>
      </c>
      <c r="G136" t="inlineStr">
        <is>
          <t>HAGFORS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46253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46253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46253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46253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46253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46253</v>
      </c>
      <c r="F142" t="inlineStr">
        <is>
          <t>VÄRMLANDS LÄN</t>
        </is>
      </c>
      <c r="G142" t="inlineStr">
        <is>
          <t>HAGFORS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46253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46253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46253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46253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46253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46253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46253</v>
      </c>
      <c r="F149" t="inlineStr">
        <is>
          <t>VÄRMLANDS LÄN</t>
        </is>
      </c>
      <c r="G149" t="inlineStr">
        <is>
          <t>HAGFORS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46253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61169-2024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45645</v>
      </c>
      <c r="E151" s="1" t="n">
        <v>46253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46253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46253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71447-2021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46253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46253</v>
      </c>
      <c r="F155" t="inlineStr">
        <is>
          <t>VÄRMLANDS LÄN</t>
        </is>
      </c>
      <c r="G155" t="inlineStr">
        <is>
          <t>HAGFORS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46253</v>
      </c>
      <c r="F156" t="inlineStr">
        <is>
          <t>VÄRMLANDS LÄN</t>
        </is>
      </c>
      <c r="G156" t="inlineStr">
        <is>
          <t>HAGFORS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45475</v>
      </c>
      <c r="E157" s="1" t="n">
        <v>46253</v>
      </c>
      <c r="F157" t="inlineStr">
        <is>
          <t>VÄRMLANDS LÄN</t>
        </is>
      </c>
      <c r="G157" t="inlineStr">
        <is>
          <t>HAGFORS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44582</v>
      </c>
      <c r="E158" s="1" t="n">
        <v>46253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45050</v>
      </c>
      <c r="E159" s="1" t="n">
        <v>46253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45842</v>
      </c>
      <c r="E160" s="1" t="n">
        <v>46253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44938</v>
      </c>
      <c r="E161" s="1" t="n">
        <v>46253</v>
      </c>
      <c r="F161" t="inlineStr">
        <is>
          <t>VÄRMLANDS LÄN</t>
        </is>
      </c>
      <c r="G161" t="inlineStr">
        <is>
          <t>HAGFORS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46253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45546</v>
      </c>
      <c r="E163" s="1" t="n">
        <v>46253</v>
      </c>
      <c r="F163" t="inlineStr">
        <is>
          <t>VÄRMLANDS LÄN</t>
        </is>
      </c>
      <c r="G163" t="inlineStr">
        <is>
          <t>HAGFORS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26463-2025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45807</v>
      </c>
      <c r="E164" s="1" t="n">
        <v>46253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46253</v>
      </c>
      <c r="F165" t="inlineStr">
        <is>
          <t>VÄRMLANDS LÄN</t>
        </is>
      </c>
      <c r="G165" t="inlineStr">
        <is>
          <t>HAGFORS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46253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45810</v>
      </c>
      <c r="E167" s="1" t="n">
        <v>46253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46253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46253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45562</v>
      </c>
      <c r="E170" s="1" t="n">
        <v>46253</v>
      </c>
      <c r="F170" t="inlineStr">
        <is>
          <t>VÄRMLANDS LÄN</t>
        </is>
      </c>
      <c r="G170" t="inlineStr">
        <is>
          <t>HAGFORS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46253</v>
      </c>
      <c r="F171" t="inlineStr">
        <is>
          <t>VÄRMLANDS LÄN</t>
        </is>
      </c>
      <c r="G171" t="inlineStr">
        <is>
          <t>HAGFORS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46253</v>
      </c>
      <c r="F172" t="inlineStr">
        <is>
          <t>VÄRMLANDS LÄN</t>
        </is>
      </c>
      <c r="G172" t="inlineStr">
        <is>
          <t>HAGFORS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46253</v>
      </c>
      <c r="F173" t="inlineStr">
        <is>
          <t>VÄRMLANDS LÄN</t>
        </is>
      </c>
      <c r="G173" t="inlineStr">
        <is>
          <t>HAGFORS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46253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46253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45492</v>
      </c>
      <c r="E176" s="1" t="n">
        <v>46253</v>
      </c>
      <c r="F176" t="inlineStr">
        <is>
          <t>VÄRMLANDS LÄN</t>
        </is>
      </c>
      <c r="G176" t="inlineStr">
        <is>
          <t>HAGFORS</t>
        </is>
      </c>
      <c r="H176" t="inlineStr">
        <is>
          <t>Kyrkan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46253</v>
      </c>
      <c r="F177" t="inlineStr">
        <is>
          <t>VÄRMLANDS LÄN</t>
        </is>
      </c>
      <c r="G177" t="inlineStr">
        <is>
          <t>HAGFORS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46253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46253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46253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46253</v>
      </c>
      <c r="F181" t="inlineStr">
        <is>
          <t>VÄRMLANDS LÄN</t>
        </is>
      </c>
      <c r="G181" t="inlineStr">
        <is>
          <t>HAGFORS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28309-2025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46253</v>
      </c>
      <c r="F182" t="inlineStr">
        <is>
          <t>VÄRMLANDS LÄN</t>
        </is>
      </c>
      <c r="G182" t="inlineStr">
        <is>
          <t>HAGFORS</t>
        </is>
      </c>
      <c r="H182" t="inlineStr">
        <is>
          <t>Kyrkan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46253</v>
      </c>
      <c r="F183" t="inlineStr">
        <is>
          <t>VÄRMLANDS LÄN</t>
        </is>
      </c>
      <c r="G183" t="inlineStr">
        <is>
          <t>HAGFORS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45614</v>
      </c>
      <c r="E184" s="1" t="n">
        <v>46253</v>
      </c>
      <c r="F184" t="inlineStr">
        <is>
          <t>VÄRMLANDS LÄN</t>
        </is>
      </c>
      <c r="G184" t="inlineStr">
        <is>
          <t>HAGFORS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45033</v>
      </c>
      <c r="E185" s="1" t="n">
        <v>46253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44883</v>
      </c>
      <c r="E186" s="1" t="n">
        <v>46253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46253</v>
      </c>
      <c r="F187" t="inlineStr">
        <is>
          <t>VÄRMLANDS LÄN</t>
        </is>
      </c>
      <c r="G187" t="inlineStr">
        <is>
          <t>HAGFORS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46253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46253</v>
      </c>
      <c r="F189" t="inlineStr">
        <is>
          <t>VÄRMLANDS LÄN</t>
        </is>
      </c>
      <c r="G189" t="inlineStr">
        <is>
          <t>HAGFORS</t>
        </is>
      </c>
      <c r="H189" t="inlineStr">
        <is>
          <t>Kyrkan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46253</v>
      </c>
      <c r="F190" t="inlineStr">
        <is>
          <t>VÄRMLANDS LÄN</t>
        </is>
      </c>
      <c r="G190" t="inlineStr">
        <is>
          <t>HAGFORS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46253</v>
      </c>
      <c r="F191" t="inlineStr">
        <is>
          <t>VÄRMLANDS LÄN</t>
        </is>
      </c>
      <c r="G191" t="inlineStr">
        <is>
          <t>HAGFORS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46253</v>
      </c>
      <c r="F192" t="inlineStr">
        <is>
          <t>VÄRMLANDS LÄN</t>
        </is>
      </c>
      <c r="G192" t="inlineStr">
        <is>
          <t>HAGFORS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46253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46253</v>
      </c>
      <c r="F194" t="inlineStr">
        <is>
          <t>VÄRMLANDS LÄN</t>
        </is>
      </c>
      <c r="G194" t="inlineStr">
        <is>
          <t>HAGFORS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46253</v>
      </c>
      <c r="F195" t="inlineStr">
        <is>
          <t>VÄRMLANDS LÄN</t>
        </is>
      </c>
      <c r="G195" t="inlineStr">
        <is>
          <t>HAGFORS</t>
        </is>
      </c>
      <c r="I195" t="n">
        <v>13.1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46253</v>
      </c>
      <c r="F196" t="inlineStr">
        <is>
          <t>VÄRMLANDS LÄN</t>
        </is>
      </c>
      <c r="G196" t="inlineStr">
        <is>
          <t>HAGFORS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12426-2024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45379</v>
      </c>
      <c r="E197" s="1" t="n">
        <v>46253</v>
      </c>
      <c r="F197" t="inlineStr">
        <is>
          <t>VÄRMLANDS LÄN</t>
        </is>
      </c>
      <c r="G197" t="inlineStr">
        <is>
          <t>HAGFORS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46253</v>
      </c>
      <c r="F198" t="inlineStr">
        <is>
          <t>VÄRMLANDS LÄN</t>
        </is>
      </c>
      <c r="G198" t="inlineStr">
        <is>
          <t>HAGFORS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46253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15.9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46049</v>
      </c>
      <c r="E200" s="1" t="n">
        <v>46253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46253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46253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46253</v>
      </c>
      <c r="F203" t="inlineStr">
        <is>
          <t>VÄRMLANDS LÄN</t>
        </is>
      </c>
      <c r="G203" t="inlineStr">
        <is>
          <t>HAGFORS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46253</v>
      </c>
      <c r="F204" t="inlineStr">
        <is>
          <t>VÄRMLANDS LÄN</t>
        </is>
      </c>
      <c r="G204" t="inlineStr">
        <is>
          <t>HAGFORS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46050</v>
      </c>
      <c r="E205" s="1" t="n">
        <v>46253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46253</v>
      </c>
      <c r="F206" t="inlineStr">
        <is>
          <t>VÄRMLANDS LÄN</t>
        </is>
      </c>
      <c r="G206" t="inlineStr">
        <is>
          <t>HAGFORS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46253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46253</v>
      </c>
      <c r="F208" t="inlineStr">
        <is>
          <t>VÄRMLANDS LÄN</t>
        </is>
      </c>
      <c r="G208" t="inlineStr">
        <is>
          <t>HAGFORS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46253</v>
      </c>
      <c r="F209" t="inlineStr">
        <is>
          <t>VÄRMLANDS LÄN</t>
        </is>
      </c>
      <c r="G209" t="inlineStr">
        <is>
          <t>HAGFORS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46253</v>
      </c>
      <c r="F210" t="inlineStr">
        <is>
          <t>VÄRMLANDS LÄN</t>
        </is>
      </c>
      <c r="G210" t="inlineStr">
        <is>
          <t>HAGFORS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64936-2023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45282</v>
      </c>
      <c r="E211" s="1" t="n">
        <v>46253</v>
      </c>
      <c r="F211" t="inlineStr">
        <is>
          <t>VÄRMLANDS LÄN</t>
        </is>
      </c>
      <c r="G211" t="inlineStr">
        <is>
          <t>HAGFORS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46253</v>
      </c>
      <c r="F212" t="inlineStr">
        <is>
          <t>VÄRMLANDS LÄN</t>
        </is>
      </c>
      <c r="G212" t="inlineStr">
        <is>
          <t>HAGFORS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46253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46253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45390</v>
      </c>
      <c r="E215" s="1" t="n">
        <v>46253</v>
      </c>
      <c r="F215" t="inlineStr">
        <is>
          <t>VÄRMLANDS LÄN</t>
        </is>
      </c>
      <c r="G215" t="inlineStr">
        <is>
          <t>HAGFORS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46253</v>
      </c>
      <c r="F216" t="inlineStr">
        <is>
          <t>VÄRMLANDS LÄN</t>
        </is>
      </c>
      <c r="G216" t="inlineStr">
        <is>
          <t>HAGFORS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46253</v>
      </c>
      <c r="F217" t="inlineStr">
        <is>
          <t>VÄRMLANDS LÄN</t>
        </is>
      </c>
      <c r="G217" t="inlineStr">
        <is>
          <t>HAGFORS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46253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46253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46253</v>
      </c>
      <c r="F220" t="inlineStr">
        <is>
          <t>VÄRMLANDS LÄN</t>
        </is>
      </c>
      <c r="G220" t="inlineStr">
        <is>
          <t>HAGFORS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46253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45739</v>
      </c>
      <c r="E222" s="1" t="n">
        <v>46253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46253</v>
      </c>
      <c r="F223" t="inlineStr">
        <is>
          <t>VÄRMLANDS LÄN</t>
        </is>
      </c>
      <c r="G223" t="inlineStr">
        <is>
          <t>HAGFORS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46253</v>
      </c>
      <c r="F224" t="inlineStr">
        <is>
          <t>VÄRMLANDS LÄN</t>
        </is>
      </c>
      <c r="G224" t="inlineStr">
        <is>
          <t>HAGFORS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45765</v>
      </c>
      <c r="E225" s="1" t="n">
        <v>46253</v>
      </c>
      <c r="F225" t="inlineStr">
        <is>
          <t>VÄRMLANDS LÄN</t>
        </is>
      </c>
      <c r="G225" t="inlineStr">
        <is>
          <t>HAGFORS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41739-2025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45902</v>
      </c>
      <c r="E226" s="1" t="n">
        <v>46253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46253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46065</v>
      </c>
      <c r="E228" s="1" t="n">
        <v>46253</v>
      </c>
      <c r="F228" t="inlineStr">
        <is>
          <t>VÄRMLANDS LÄN</t>
        </is>
      </c>
      <c r="G228" t="inlineStr">
        <is>
          <t>HAGFORS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46253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45902</v>
      </c>
      <c r="E230" s="1" t="n">
        <v>46253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46253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46253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46253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46253</v>
      </c>
      <c r="F234" t="inlineStr">
        <is>
          <t>VÄRMLANDS LÄN</t>
        </is>
      </c>
      <c r="G234" t="inlineStr">
        <is>
          <t>HAGFORS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46072</v>
      </c>
      <c r="E235" s="1" t="n">
        <v>46253</v>
      </c>
      <c r="F235" t="inlineStr">
        <is>
          <t>VÄRMLANDS LÄN</t>
        </is>
      </c>
      <c r="G235" t="inlineStr">
        <is>
          <t>HAGFORS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46253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46253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46253</v>
      </c>
      <c r="F238" t="inlineStr">
        <is>
          <t>VÄRMLANDS LÄN</t>
        </is>
      </c>
      <c r="G238" t="inlineStr">
        <is>
          <t>HAGFORS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46253</v>
      </c>
      <c r="F239" t="inlineStr">
        <is>
          <t>VÄRMLANDS LÄN</t>
        </is>
      </c>
      <c r="G239" t="inlineStr">
        <is>
          <t>HAGFORS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46253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44125-2021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44434</v>
      </c>
      <c r="E241" s="1" t="n">
        <v>46253</v>
      </c>
      <c r="F241" t="inlineStr">
        <is>
          <t>VÄRMLANDS LÄN</t>
        </is>
      </c>
      <c r="G241" t="inlineStr">
        <is>
          <t>HAGFORS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45824</v>
      </c>
      <c r="E242" s="1" t="n">
        <v>46253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46253</v>
      </c>
      <c r="F243" t="inlineStr">
        <is>
          <t>VÄRMLANDS LÄN</t>
        </is>
      </c>
      <c r="G243" t="inlineStr">
        <is>
          <t>HAGFORS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52494-2024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45609</v>
      </c>
      <c r="E244" s="1" t="n">
        <v>46253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46253</v>
      </c>
      <c r="F245" t="inlineStr">
        <is>
          <t>VÄRMLANDS LÄN</t>
        </is>
      </c>
      <c r="G245" t="inlineStr">
        <is>
          <t>HAGFORS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46253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45132</v>
      </c>
      <c r="E247" s="1" t="n">
        <v>46253</v>
      </c>
      <c r="F247" t="inlineStr">
        <is>
          <t>VÄRMLANDS LÄN</t>
        </is>
      </c>
      <c r="G247" t="inlineStr">
        <is>
          <t>HAGFORS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46253</v>
      </c>
      <c r="F248" t="inlineStr">
        <is>
          <t>VÄRMLANDS LÄN</t>
        </is>
      </c>
      <c r="G248" t="inlineStr">
        <is>
          <t>HAGFORS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46253</v>
      </c>
      <c r="F249" t="inlineStr">
        <is>
          <t>VÄRMLANDS LÄN</t>
        </is>
      </c>
      <c r="G249" t="inlineStr">
        <is>
          <t>HAGFORS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46253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46253</v>
      </c>
      <c r="F251" t="inlineStr">
        <is>
          <t>VÄRMLANDS LÄN</t>
        </is>
      </c>
      <c r="G251" t="inlineStr">
        <is>
          <t>HAGFORS</t>
        </is>
      </c>
      <c r="H251" t="inlineStr">
        <is>
          <t>Kommuner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45461</v>
      </c>
      <c r="E252" s="1" t="n">
        <v>46253</v>
      </c>
      <c r="F252" t="inlineStr">
        <is>
          <t>VÄRMLANDS LÄN</t>
        </is>
      </c>
      <c r="G252" t="inlineStr">
        <is>
          <t>HAGFORS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46253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33440-2025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45841</v>
      </c>
      <c r="E254" s="1" t="n">
        <v>46253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46253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46253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46253</v>
      </c>
      <c r="F257" t="inlineStr">
        <is>
          <t>VÄRMLANDS LÄN</t>
        </is>
      </c>
      <c r="G257" t="inlineStr">
        <is>
          <t>HAGFORS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46253</v>
      </c>
      <c r="F258" t="inlineStr">
        <is>
          <t>VÄRMLANDS LÄN</t>
        </is>
      </c>
      <c r="G258" t="inlineStr">
        <is>
          <t>HAGFORS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46253</v>
      </c>
      <c r="F259" t="inlineStr">
        <is>
          <t>VÄRMLANDS LÄN</t>
        </is>
      </c>
      <c r="G259" t="inlineStr">
        <is>
          <t>HAGFORS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46253</v>
      </c>
      <c r="F260" t="inlineStr">
        <is>
          <t>VÄRMLANDS LÄN</t>
        </is>
      </c>
      <c r="G260" t="inlineStr">
        <is>
          <t>HAGFORS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46253</v>
      </c>
      <c r="F261" t="inlineStr">
        <is>
          <t>VÄRMLANDS LÄN</t>
        </is>
      </c>
      <c r="G261" t="inlineStr">
        <is>
          <t>HAGFORS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45436</v>
      </c>
      <c r="E262" s="1" t="n">
        <v>46253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46253</v>
      </c>
      <c r="F263" t="inlineStr">
        <is>
          <t>VÄRMLANDS LÄN</t>
        </is>
      </c>
      <c r="G263" t="inlineStr">
        <is>
          <t>HAGFORS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46253</v>
      </c>
      <c r="F264" t="inlineStr">
        <is>
          <t>VÄRMLANDS LÄN</t>
        </is>
      </c>
      <c r="G264" t="inlineStr">
        <is>
          <t>HAGFORS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46253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46253</v>
      </c>
      <c r="F266" t="inlineStr">
        <is>
          <t>VÄRMLANDS LÄN</t>
        </is>
      </c>
      <c r="G266" t="inlineStr">
        <is>
          <t>HAGFORS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46253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46253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46253</v>
      </c>
      <c r="F269" t="inlineStr">
        <is>
          <t>VÄRMLANDS LÄN</t>
        </is>
      </c>
      <c r="G269" t="inlineStr">
        <is>
          <t>HAGFORS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46253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46253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46280-2025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46253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46253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46253</v>
      </c>
      <c r="F274" t="inlineStr">
        <is>
          <t>VÄRMLANDS LÄN</t>
        </is>
      </c>
      <c r="G274" t="inlineStr">
        <is>
          <t>HAGFORS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46253</v>
      </c>
      <c r="F275" t="inlineStr">
        <is>
          <t>VÄRMLANDS LÄN</t>
        </is>
      </c>
      <c r="G275" t="inlineStr">
        <is>
          <t>HAGFORS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46253</v>
      </c>
      <c r="F276" t="inlineStr">
        <is>
          <t>VÄRMLANDS LÄN</t>
        </is>
      </c>
      <c r="G276" t="inlineStr">
        <is>
          <t>HAGFORS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46253</v>
      </c>
      <c r="F277" t="inlineStr">
        <is>
          <t>VÄRMLANDS LÄN</t>
        </is>
      </c>
      <c r="G277" t="inlineStr">
        <is>
          <t>HAGFORS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45615</v>
      </c>
      <c r="E278" s="1" t="n">
        <v>46253</v>
      </c>
      <c r="F278" t="inlineStr">
        <is>
          <t>VÄRMLANDS LÄN</t>
        </is>
      </c>
      <c r="G278" t="inlineStr">
        <is>
          <t>HAGFORS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45927</v>
      </c>
      <c r="E279" s="1" t="n">
        <v>46253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46253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44757</v>
      </c>
      <c r="E281" s="1" t="n">
        <v>46253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46253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46253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46253</v>
      </c>
      <c r="F284" t="inlineStr">
        <is>
          <t>VÄRMLANDS LÄN</t>
        </is>
      </c>
      <c r="G284" t="inlineStr">
        <is>
          <t>HAGFORS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46253</v>
      </c>
      <c r="F285" t="inlineStr">
        <is>
          <t>VÄRMLANDS LÄN</t>
        </is>
      </c>
      <c r="G285" t="inlineStr">
        <is>
          <t>HAGFORS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45927</v>
      </c>
      <c r="E286" s="1" t="n">
        <v>46253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46253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46253</v>
      </c>
      <c r="F288" t="inlineStr">
        <is>
          <t>VÄRMLANDS LÄN</t>
        </is>
      </c>
      <c r="G288" t="inlineStr">
        <is>
          <t>HAGFORS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44694</v>
      </c>
      <c r="E289" s="1" t="n">
        <v>46253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45770</v>
      </c>
      <c r="E290" s="1" t="n">
        <v>46253</v>
      </c>
      <c r="F290" t="inlineStr">
        <is>
          <t>VÄRMLANDS LÄN</t>
        </is>
      </c>
      <c r="G290" t="inlineStr">
        <is>
          <t>HAGFORS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46253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45928</v>
      </c>
      <c r="E292" s="1" t="n">
        <v>46253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13.8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45565</v>
      </c>
      <c r="E293" s="1" t="n">
        <v>46253</v>
      </c>
      <c r="F293" t="inlineStr">
        <is>
          <t>VÄRMLANDS LÄN</t>
        </is>
      </c>
      <c r="G293" t="inlineStr">
        <is>
          <t>HAGFORS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45152</v>
      </c>
      <c r="E294" s="1" t="n">
        <v>46253</v>
      </c>
      <c r="F294" t="inlineStr">
        <is>
          <t>VÄRMLANDS LÄN</t>
        </is>
      </c>
      <c r="G294" t="inlineStr">
        <is>
          <t>HAGFORS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44770</v>
      </c>
      <c r="E295" s="1" t="n">
        <v>46253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46253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17.2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45932</v>
      </c>
      <c r="E297" s="1" t="n">
        <v>46253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46253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46253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46253</v>
      </c>
      <c r="F300" t="inlineStr">
        <is>
          <t>VÄRMLANDS LÄN</t>
        </is>
      </c>
      <c r="G300" t="inlineStr">
        <is>
          <t>HAGFORS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46253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46253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46253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46253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46253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46253</v>
      </c>
      <c r="F306" t="inlineStr">
        <is>
          <t>VÄRMLANDS LÄN</t>
        </is>
      </c>
      <c r="G306" t="inlineStr">
        <is>
          <t>HAGFORS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57379-2022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44896</v>
      </c>
      <c r="E307" s="1" t="n">
        <v>46253</v>
      </c>
      <c r="F307" t="inlineStr">
        <is>
          <t>VÄRMLANDS LÄN</t>
        </is>
      </c>
      <c r="G307" t="inlineStr">
        <is>
          <t>HAGFORS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46253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46253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46253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46253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46253</v>
      </c>
      <c r="F312" t="inlineStr">
        <is>
          <t>VÄRMLANDS LÄN</t>
        </is>
      </c>
      <c r="G312" t="inlineStr">
        <is>
          <t>HAGFORS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46253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45029</v>
      </c>
      <c r="E314" s="1" t="n">
        <v>46253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46253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46253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39029-2022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46253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45653</v>
      </c>
      <c r="E318" s="1" t="n">
        <v>46253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46253</v>
      </c>
      <c r="F319" t="inlineStr">
        <is>
          <t>VÄRMLANDS LÄN</t>
        </is>
      </c>
      <c r="G319" t="inlineStr">
        <is>
          <t>HAGFORS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46253</v>
      </c>
      <c r="F320" t="inlineStr">
        <is>
          <t>VÄRMLANDS LÄN</t>
        </is>
      </c>
      <c r="G320" t="inlineStr">
        <is>
          <t>HAGFORS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21155-2023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45057</v>
      </c>
      <c r="E321" s="1" t="n">
        <v>46253</v>
      </c>
      <c r="F321" t="inlineStr">
        <is>
          <t>VÄRMLANDS LÄN</t>
        </is>
      </c>
      <c r="G321" t="inlineStr">
        <is>
          <t>HAGFORS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45937</v>
      </c>
      <c r="E322" s="1" t="n">
        <v>46253</v>
      </c>
      <c r="F322" t="inlineStr">
        <is>
          <t>VÄRMLANDS LÄN</t>
        </is>
      </c>
      <c r="G322" t="inlineStr">
        <is>
          <t>HAGFORS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46253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20652-2022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44700</v>
      </c>
      <c r="E324" s="1" t="n">
        <v>46253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45854</v>
      </c>
      <c r="E325" s="1" t="n">
        <v>46253</v>
      </c>
      <c r="F325" t="inlineStr">
        <is>
          <t>VÄRMLANDS LÄN</t>
        </is>
      </c>
      <c r="G325" t="inlineStr">
        <is>
          <t>HAGFORS</t>
        </is>
      </c>
      <c r="H325" t="inlineStr">
        <is>
          <t>Kyrkan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45854</v>
      </c>
      <c r="E326" s="1" t="n">
        <v>46253</v>
      </c>
      <c r="F326" t="inlineStr">
        <is>
          <t>VÄRMLANDS LÄN</t>
        </is>
      </c>
      <c r="G326" t="inlineStr">
        <is>
          <t>HAGFORS</t>
        </is>
      </c>
      <c r="H326" t="inlineStr">
        <is>
          <t>Kyrkan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46253</v>
      </c>
      <c r="F327" t="inlineStr">
        <is>
          <t>VÄRMLANDS LÄN</t>
        </is>
      </c>
      <c r="G327" t="inlineStr">
        <is>
          <t>HAGFORS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46253</v>
      </c>
      <c r="F328" t="inlineStr">
        <is>
          <t>VÄRMLANDS LÄN</t>
        </is>
      </c>
      <c r="G328" t="inlineStr">
        <is>
          <t>HAGFORS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49967-2025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45941</v>
      </c>
      <c r="E329" s="1" t="n">
        <v>46253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46253</v>
      </c>
      <c r="F330" t="inlineStr">
        <is>
          <t>VÄRMLANDS LÄN</t>
        </is>
      </c>
      <c r="G330" t="inlineStr">
        <is>
          <t>HAGFORS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45946</v>
      </c>
      <c r="E331" s="1" t="n">
        <v>46253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46253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45223</v>
      </c>
      <c r="E333" s="1" t="n">
        <v>46253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45793</v>
      </c>
      <c r="E334" s="1" t="n">
        <v>46253</v>
      </c>
      <c r="F334" t="inlineStr">
        <is>
          <t>VÄRMLANDS LÄN</t>
        </is>
      </c>
      <c r="G334" t="inlineStr">
        <is>
          <t>HAGFORS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44937</v>
      </c>
      <c r="E335" s="1" t="n">
        <v>46253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46253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50977-2025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45947</v>
      </c>
      <c r="E337" s="1" t="n">
        <v>46253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45949</v>
      </c>
      <c r="E338" s="1" t="n">
        <v>46253</v>
      </c>
      <c r="F338" t="inlineStr">
        <is>
          <t>VÄRMLANDS LÄN</t>
        </is>
      </c>
      <c r="G338" t="inlineStr">
        <is>
          <t>HAGFORS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46253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46253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46253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45951</v>
      </c>
      <c r="E342" s="1" t="n">
        <v>46253</v>
      </c>
      <c r="F342" t="inlineStr">
        <is>
          <t>VÄRMLANDS LÄN</t>
        </is>
      </c>
      <c r="G342" t="inlineStr">
        <is>
          <t>HAGFORS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37463-2022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44809</v>
      </c>
      <c r="E343" s="1" t="n">
        <v>46253</v>
      </c>
      <c r="F343" t="inlineStr">
        <is>
          <t>VÄRMLANDS LÄN</t>
        </is>
      </c>
      <c r="G343" t="inlineStr">
        <is>
          <t>HAGFORS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46253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52479-2025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45954</v>
      </c>
      <c r="E345" s="1" t="n">
        <v>46253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44851</v>
      </c>
      <c r="E346" s="1" t="n">
        <v>46253</v>
      </c>
      <c r="F346" t="inlineStr">
        <is>
          <t>VÄRMLANDS LÄN</t>
        </is>
      </c>
      <c r="G346" t="inlineStr">
        <is>
          <t>HAGFORS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46253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9.800000000000001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18217-2026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46126</v>
      </c>
      <c r="E348" s="1" t="n">
        <v>46253</v>
      </c>
      <c r="F348" t="inlineStr">
        <is>
          <t>VÄRMLANDS LÄN</t>
        </is>
      </c>
      <c r="G348" t="inlineStr">
        <is>
          <t>HAGFORS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46253</v>
      </c>
      <c r="F349" t="inlineStr">
        <is>
          <t>VÄRMLANDS LÄN</t>
        </is>
      </c>
      <c r="G349" t="inlineStr">
        <is>
          <t>HAGFORS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46253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46253</v>
      </c>
      <c r="F351" t="inlineStr">
        <is>
          <t>VÄRMLANDS LÄN</t>
        </is>
      </c>
      <c r="G351" t="inlineStr">
        <is>
          <t>HAGFORS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46253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44790</v>
      </c>
      <c r="E353" s="1" t="n">
        <v>46253</v>
      </c>
      <c r="F353" t="inlineStr">
        <is>
          <t>VÄRMLANDS LÄN</t>
        </is>
      </c>
      <c r="G353" t="inlineStr">
        <is>
          <t>HAGFORS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46253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46253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46253</v>
      </c>
      <c r="F356" t="inlineStr">
        <is>
          <t>VÄRMLANDS LÄN</t>
        </is>
      </c>
      <c r="G356" t="inlineStr">
        <is>
          <t>HAGFORS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46253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46253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45960</v>
      </c>
      <c r="E359" s="1" t="n">
        <v>46253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46253</v>
      </c>
      <c r="F360" t="inlineStr">
        <is>
          <t>VÄRMLANDS LÄN</t>
        </is>
      </c>
      <c r="G360" t="inlineStr">
        <is>
          <t>HAGFORS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45264</v>
      </c>
      <c r="E361" s="1" t="n">
        <v>46253</v>
      </c>
      <c r="F361" t="inlineStr">
        <is>
          <t>VÄRMLANDS LÄN</t>
        </is>
      </c>
      <c r="G361" t="inlineStr">
        <is>
          <t>HAGFORS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46253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46253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46253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70712-2021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46253</v>
      </c>
      <c r="F367" t="inlineStr">
        <is>
          <t>VÄRMLANDS LÄN</t>
        </is>
      </c>
      <c r="G367" t="inlineStr">
        <is>
          <t>HAGFORS</t>
        </is>
      </c>
      <c r="H367" t="inlineStr">
        <is>
          <t>Kommuner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46253</v>
      </c>
      <c r="F368" t="inlineStr">
        <is>
          <t>VÄRMLANDS LÄN</t>
        </is>
      </c>
      <c r="G368" t="inlineStr">
        <is>
          <t>HAGFORS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46253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46253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46253</v>
      </c>
      <c r="F371" t="inlineStr">
        <is>
          <t>VÄRMLANDS LÄN</t>
        </is>
      </c>
      <c r="G371" t="inlineStr">
        <is>
          <t>HAGFORS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19421-2026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46253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46253</v>
      </c>
      <c r="F373" t="inlineStr">
        <is>
          <t>VÄRMLANDS LÄN</t>
        </is>
      </c>
      <c r="G373" t="inlineStr">
        <is>
          <t>HAGFORS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44571</v>
      </c>
      <c r="E374" s="1" t="n">
        <v>46253</v>
      </c>
      <c r="F374" t="inlineStr">
        <is>
          <t>VÄRMLANDS LÄN</t>
        </is>
      </c>
      <c r="G374" t="inlineStr">
        <is>
          <t>HAGFORS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46253</v>
      </c>
      <c r="F375" t="inlineStr">
        <is>
          <t>VÄRMLANDS LÄN</t>
        </is>
      </c>
      <c r="G375" t="inlineStr">
        <is>
          <t>HAGFORS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46253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62546-2022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44924</v>
      </c>
      <c r="E377" s="1" t="n">
        <v>46253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54001-2025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45961</v>
      </c>
      <c r="E378" s="1" t="n">
        <v>46253</v>
      </c>
      <c r="F378" t="inlineStr">
        <is>
          <t>VÄRMLANDS LÄN</t>
        </is>
      </c>
      <c r="G378" t="inlineStr">
        <is>
          <t>HAGFORS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61140-2023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45261</v>
      </c>
      <c r="E379" s="1" t="n">
        <v>46253</v>
      </c>
      <c r="F379" t="inlineStr">
        <is>
          <t>VÄRMLANDS LÄN</t>
        </is>
      </c>
      <c r="G379" t="inlineStr">
        <is>
          <t>HAGFORS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45741</v>
      </c>
      <c r="E380" s="1" t="n">
        <v>46253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46253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46253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57359-2022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44896</v>
      </c>
      <c r="E383" s="1" t="n">
        <v>46253</v>
      </c>
      <c r="F383" t="inlineStr">
        <is>
          <t>VÄRMLANDS LÄN</t>
        </is>
      </c>
      <c r="G383" t="inlineStr">
        <is>
          <t>HAGFORS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28571-2025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46253</v>
      </c>
      <c r="F384" t="inlineStr">
        <is>
          <t>VÄRMLANDS LÄN</t>
        </is>
      </c>
      <c r="G384" t="inlineStr">
        <is>
          <t>HAGFORS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46253</v>
      </c>
      <c r="F385" t="inlineStr">
        <is>
          <t>VÄRMLANDS LÄN</t>
        </is>
      </c>
      <c r="G385" t="inlineStr">
        <is>
          <t>HAGFORS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25759-2023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45090</v>
      </c>
      <c r="E386" s="1" t="n">
        <v>46253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44246-2022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44839</v>
      </c>
      <c r="E387" s="1" t="n">
        <v>46253</v>
      </c>
      <c r="F387" t="inlineStr">
        <is>
          <t>VÄRMLANDS LÄN</t>
        </is>
      </c>
      <c r="G387" t="inlineStr">
        <is>
          <t>HAGFORS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55190-2025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45968</v>
      </c>
      <c r="E388" s="1" t="n">
        <v>46253</v>
      </c>
      <c r="F388" t="inlineStr">
        <is>
          <t>VÄRMLANDS LÄN</t>
        </is>
      </c>
      <c r="G388" t="inlineStr">
        <is>
          <t>HAGFORS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55001-2025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45967</v>
      </c>
      <c r="E389" s="1" t="n">
        <v>46253</v>
      </c>
      <c r="F389" t="inlineStr">
        <is>
          <t>VÄRMLANDS LÄN</t>
        </is>
      </c>
      <c r="G389" t="inlineStr">
        <is>
          <t>HAGFORS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45218-2021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44439</v>
      </c>
      <c r="E390" s="1" t="n">
        <v>46253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49.5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46253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46253</v>
      </c>
      <c r="F392" t="inlineStr">
        <is>
          <t>VÄRMLANDS LÄN</t>
        </is>
      </c>
      <c r="G392" t="inlineStr">
        <is>
          <t>HAGFORS</t>
        </is>
      </c>
      <c r="I392" t="n">
        <v>8.6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46253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44883</v>
      </c>
      <c r="E394" s="1" t="n">
        <v>46253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46253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46253</v>
      </c>
      <c r="F396" t="inlineStr">
        <is>
          <t>VÄRMLANDS LÄN</t>
        </is>
      </c>
      <c r="G396" t="inlineStr">
        <is>
          <t>HAGFORS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46253</v>
      </c>
      <c r="F397" t="inlineStr">
        <is>
          <t>VÄRMLANDS LÄN</t>
        </is>
      </c>
      <c r="G397" t="inlineStr">
        <is>
          <t>HAGFORS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45772</v>
      </c>
      <c r="E398" s="1" t="n">
        <v>46253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29269-2025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46253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27410-2023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45097</v>
      </c>
      <c r="E400" s="1" t="n">
        <v>46253</v>
      </c>
      <c r="F400" t="inlineStr">
        <is>
          <t>VÄRMLANDS LÄN</t>
        </is>
      </c>
      <c r="G400" t="inlineStr">
        <is>
          <t>HAGFORS</t>
        </is>
      </c>
      <c r="H400" t="inlineStr">
        <is>
          <t>Kyrkan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46253</v>
      </c>
      <c r="F401" t="inlineStr">
        <is>
          <t>VÄRMLANDS LÄN</t>
        </is>
      </c>
      <c r="G401" t="inlineStr">
        <is>
          <t>HAGFORS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19554-2024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45429</v>
      </c>
      <c r="E402" s="1" t="n">
        <v>46253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46253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45833</v>
      </c>
      <c r="E404" s="1" t="n">
        <v>46253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56477-2025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46253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46253</v>
      </c>
      <c r="F406" t="inlineStr">
        <is>
          <t>VÄRMLANDS LÄN</t>
        </is>
      </c>
      <c r="G406" t="inlineStr">
        <is>
          <t>HAGFORS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56468-2025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46253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56411-2025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45975</v>
      </c>
      <c r="E408" s="1" t="n">
        <v>46253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45783</v>
      </c>
      <c r="E409" s="1" t="n">
        <v>46253</v>
      </c>
      <c r="F409" t="inlineStr">
        <is>
          <t>VÄRMLANDS LÄN</t>
        </is>
      </c>
      <c r="G409" t="inlineStr">
        <is>
          <t>HAGFORS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22503-2024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45447</v>
      </c>
      <c r="E410" s="1" t="n">
        <v>46253</v>
      </c>
      <c r="F410" t="inlineStr">
        <is>
          <t>VÄRMLANDS LÄN</t>
        </is>
      </c>
      <c r="G410" t="inlineStr">
        <is>
          <t>HAGFORS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19993-2026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46136</v>
      </c>
      <c r="E411" s="1" t="n">
        <v>46253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46253</v>
      </c>
      <c r="F412" t="inlineStr">
        <is>
          <t>VÄRMLANDS LÄN</t>
        </is>
      </c>
      <c r="G412" t="inlineStr">
        <is>
          <t>HAGFORS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42168-2024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46253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46253</v>
      </c>
      <c r="F414" t="inlineStr">
        <is>
          <t>VÄRMLANDS LÄN</t>
        </is>
      </c>
      <c r="G414" t="inlineStr">
        <is>
          <t>HAGFORS</t>
        </is>
      </c>
      <c r="H414" t="inlineStr">
        <is>
          <t>Kyrkan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57198-2025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46253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22346-2025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45786</v>
      </c>
      <c r="E416" s="1" t="n">
        <v>46253</v>
      </c>
      <c r="F416" t="inlineStr">
        <is>
          <t>VÄRMLANDS LÄN</t>
        </is>
      </c>
      <c r="G416" t="inlineStr">
        <is>
          <t>HAGFORS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45684</v>
      </c>
      <c r="E417" s="1" t="n">
        <v>46253</v>
      </c>
      <c r="F417" t="inlineStr">
        <is>
          <t>VÄRMLANDS LÄN</t>
        </is>
      </c>
      <c r="G417" t="inlineStr">
        <is>
          <t>HAGFORS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46253</v>
      </c>
      <c r="F418" t="inlineStr">
        <is>
          <t>VÄRMLANDS LÄN</t>
        </is>
      </c>
      <c r="G418" t="inlineStr">
        <is>
          <t>HAGFORS</t>
        </is>
      </c>
      <c r="I418" t="n">
        <v>18.2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8830-2024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45356</v>
      </c>
      <c r="E419" s="1" t="n">
        <v>46253</v>
      </c>
      <c r="F419" t="inlineStr">
        <is>
          <t>VÄRMLANDS LÄN</t>
        </is>
      </c>
      <c r="G419" t="inlineStr">
        <is>
          <t>HAGFORS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23047-2024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45450</v>
      </c>
      <c r="E420" s="1" t="n">
        <v>46253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45569</v>
      </c>
      <c r="E421" s="1" t="n">
        <v>46253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57814-2025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46253</v>
      </c>
      <c r="F422" t="inlineStr">
        <is>
          <t>VÄRMLANDS LÄN</t>
        </is>
      </c>
      <c r="G422" t="inlineStr">
        <is>
          <t>HAGFORS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45190</v>
      </c>
      <c r="E423" s="1" t="n">
        <v>46253</v>
      </c>
      <c r="F423" t="inlineStr">
        <is>
          <t>VÄRMLANDS LÄN</t>
        </is>
      </c>
      <c r="G423" t="inlineStr">
        <is>
          <t>HAGFORS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44950</v>
      </c>
      <c r="E424" s="1" t="n">
        <v>46253</v>
      </c>
      <c r="F424" t="inlineStr">
        <is>
          <t>VÄRMLANDS LÄN</t>
        </is>
      </c>
      <c r="G424" t="inlineStr">
        <is>
          <t>HAGFORS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3566-2023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44950</v>
      </c>
      <c r="E425" s="1" t="n">
        <v>46253</v>
      </c>
      <c r="F425" t="inlineStr">
        <is>
          <t>VÄRMLANDS LÄN</t>
        </is>
      </c>
      <c r="G425" t="inlineStr">
        <is>
          <t>HAGFORS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45750</v>
      </c>
      <c r="E426" s="1" t="n">
        <v>46253</v>
      </c>
      <c r="F426" t="inlineStr">
        <is>
          <t>VÄRMLANDS LÄN</t>
        </is>
      </c>
      <c r="G426" t="inlineStr">
        <is>
          <t>HAGFORS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45847</v>
      </c>
      <c r="E427" s="1" t="n">
        <v>46253</v>
      </c>
      <c r="F427" t="inlineStr">
        <is>
          <t>VÄRMLANDS LÄN</t>
        </is>
      </c>
      <c r="G427" t="inlineStr">
        <is>
          <t>HAGFORS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46253</v>
      </c>
      <c r="F428" t="inlineStr">
        <is>
          <t>VÄRMLANDS LÄN</t>
        </is>
      </c>
      <c r="G428" t="inlineStr">
        <is>
          <t>HAGFORS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45484</v>
      </c>
      <c r="E429" s="1" t="n">
        <v>46253</v>
      </c>
      <c r="F429" t="inlineStr">
        <is>
          <t>VÄRMLANDS LÄN</t>
        </is>
      </c>
      <c r="G429" t="inlineStr">
        <is>
          <t>HAGFORS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58278-2025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46253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65065-2023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45287</v>
      </c>
      <c r="E431" s="1" t="n">
        <v>46253</v>
      </c>
      <c r="F431" t="inlineStr">
        <is>
          <t>VÄRMLANDS LÄN</t>
        </is>
      </c>
      <c r="G431" t="inlineStr">
        <is>
          <t>HAGFORS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58210-2022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44901</v>
      </c>
      <c r="E432" s="1" t="n">
        <v>46253</v>
      </c>
      <c r="F432" t="inlineStr">
        <is>
          <t>VÄRMLANDS LÄN</t>
        </is>
      </c>
      <c r="G432" t="inlineStr">
        <is>
          <t>HAGFORS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59047-2025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45988</v>
      </c>
      <c r="E433" s="1" t="n">
        <v>46253</v>
      </c>
      <c r="F433" t="inlineStr">
        <is>
          <t>VÄRMLANDS LÄN</t>
        </is>
      </c>
      <c r="G433" t="inlineStr">
        <is>
          <t>HAGFORS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46253</v>
      </c>
      <c r="F434" t="inlineStr">
        <is>
          <t>VÄRMLANDS LÄN</t>
        </is>
      </c>
      <c r="G434" t="inlineStr">
        <is>
          <t>HAGFORS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46253</v>
      </c>
      <c r="F435" t="inlineStr">
        <is>
          <t>VÄRMLANDS LÄN</t>
        </is>
      </c>
      <c r="G435" t="inlineStr">
        <is>
          <t>HAGFORS</t>
        </is>
      </c>
      <c r="H435" t="inlineStr">
        <is>
          <t>Kyrkan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46253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46253</v>
      </c>
      <c r="F437" t="inlineStr">
        <is>
          <t>VÄRMLANDS LÄN</t>
        </is>
      </c>
      <c r="G437" t="inlineStr">
        <is>
          <t>HAGFORS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45812</v>
      </c>
      <c r="E438" s="1" t="n">
        <v>46253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25258-2023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45079</v>
      </c>
      <c r="E439" s="1" t="n">
        <v>46253</v>
      </c>
      <c r="F439" t="inlineStr">
        <is>
          <t>VÄRMLANDS LÄN</t>
        </is>
      </c>
      <c r="G439" t="inlineStr">
        <is>
          <t>HAGFORS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46253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18.8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46253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46253</v>
      </c>
      <c r="F442" t="inlineStr">
        <is>
          <t>VÄRMLANDS LÄN</t>
        </is>
      </c>
      <c r="G442" t="inlineStr">
        <is>
          <t>HAGFORS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45796</v>
      </c>
      <c r="E443" s="1" t="n">
        <v>46253</v>
      </c>
      <c r="F443" t="inlineStr">
        <is>
          <t>VÄRMLANDS LÄN</t>
        </is>
      </c>
      <c r="G443" t="inlineStr">
        <is>
          <t>HAGFORS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46253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33399-2024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45519</v>
      </c>
      <c r="E445" s="1" t="n">
        <v>46253</v>
      </c>
      <c r="F445" t="inlineStr">
        <is>
          <t>VÄRMLANDS LÄN</t>
        </is>
      </c>
      <c r="G445" t="inlineStr">
        <is>
          <t>HAGFORS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45489</v>
      </c>
      <c r="E446" s="1" t="n">
        <v>46253</v>
      </c>
      <c r="F446" t="inlineStr">
        <is>
          <t>VÄRMLANDS LÄN</t>
        </is>
      </c>
      <c r="G446" t="inlineStr">
        <is>
          <t>HAGFORS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46253</v>
      </c>
      <c r="F447" t="inlineStr">
        <is>
          <t>VÄRMLANDS LÄN</t>
        </is>
      </c>
      <c r="G447" t="inlineStr">
        <is>
          <t>HAGFORS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45469</v>
      </c>
      <c r="E448" s="1" t="n">
        <v>46253</v>
      </c>
      <c r="F448" t="inlineStr">
        <is>
          <t>VÄRMLANDS LÄN</t>
        </is>
      </c>
      <c r="G448" t="inlineStr">
        <is>
          <t>HAGFORS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45996</v>
      </c>
      <c r="E449" s="1" t="n">
        <v>46253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60648-2025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45996</v>
      </c>
      <c r="E450" s="1" t="n">
        <v>46253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46253</v>
      </c>
      <c r="F451" t="inlineStr">
        <is>
          <t>VÄRMLANDS LÄN</t>
        </is>
      </c>
      <c r="G451" t="inlineStr">
        <is>
          <t>HAGFORS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45733</v>
      </c>
      <c r="E452" s="1" t="n">
        <v>46253</v>
      </c>
      <c r="F452" t="inlineStr">
        <is>
          <t>VÄRMLANDS LÄN</t>
        </is>
      </c>
      <c r="G452" t="inlineStr">
        <is>
          <t>HAGFORS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45999</v>
      </c>
      <c r="E453" s="1" t="n">
        <v>46253</v>
      </c>
      <c r="F453" t="inlineStr">
        <is>
          <t>VÄRMLANDS LÄN</t>
        </is>
      </c>
      <c r="G453" t="inlineStr">
        <is>
          <t>HAGFORS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46253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20756-2026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46253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46253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46253</v>
      </c>
      <c r="F457" t="inlineStr">
        <is>
          <t>VÄRMLANDS LÄN</t>
        </is>
      </c>
      <c r="G457" t="inlineStr">
        <is>
          <t>HAGFORS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68252-2021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44526</v>
      </c>
      <c r="E458" s="1" t="n">
        <v>46253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20752-2026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46141</v>
      </c>
      <c r="E459" s="1" t="n">
        <v>46253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46253</v>
      </c>
      <c r="F460" t="inlineStr">
        <is>
          <t>VÄRMLANDS LÄN</t>
        </is>
      </c>
      <c r="G460" t="inlineStr">
        <is>
          <t>HAGFORS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45084</v>
      </c>
      <c r="E461" s="1" t="n">
        <v>46253</v>
      </c>
      <c r="F461" t="inlineStr">
        <is>
          <t>VÄRMLANDS LÄN</t>
        </is>
      </c>
      <c r="G461" t="inlineStr">
        <is>
          <t>HAGFORS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44951</v>
      </c>
      <c r="E462" s="1" t="n">
        <v>46253</v>
      </c>
      <c r="F462" t="inlineStr">
        <is>
          <t>VÄRMLANDS LÄN</t>
        </is>
      </c>
      <c r="G462" t="inlineStr">
        <is>
          <t>HAGFORS</t>
        </is>
      </c>
      <c r="H462" t="inlineStr">
        <is>
          <t>Kyrkan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20880-2026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46142</v>
      </c>
      <c r="E463" s="1" t="n">
        <v>46253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46002</v>
      </c>
      <c r="E464" s="1" t="n">
        <v>46253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46253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46253</v>
      </c>
      <c r="F466" t="inlineStr">
        <is>
          <t>VÄRMLANDS LÄN</t>
        </is>
      </c>
      <c r="G466" t="inlineStr">
        <is>
          <t>HAGFORS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61718-2025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46002</v>
      </c>
      <c r="E467" s="1" t="n">
        <v>46253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46253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61910-2025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46003</v>
      </c>
      <c r="E469" s="1" t="n">
        <v>46253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46253</v>
      </c>
      <c r="F470" t="inlineStr">
        <is>
          <t>VÄRMLANDS LÄN</t>
        </is>
      </c>
      <c r="G470" t="inlineStr">
        <is>
          <t>HAGFORS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46253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46253</v>
      </c>
      <c r="F472" t="inlineStr">
        <is>
          <t>VÄRMLANDS LÄN</t>
        </is>
      </c>
      <c r="G472" t="inlineStr">
        <is>
          <t>HAGFORS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61850-2025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46253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61998-2025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46253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62168-2025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46006</v>
      </c>
      <c r="E475" s="1" t="n">
        <v>46253</v>
      </c>
      <c r="F475" t="inlineStr">
        <is>
          <t>VÄRMLANDS LÄN</t>
        </is>
      </c>
      <c r="G475" t="inlineStr">
        <is>
          <t>HAGFORS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46253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46253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45428</v>
      </c>
      <c r="E478" s="1" t="n">
        <v>46253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19.5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46253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61843-2025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46003</v>
      </c>
      <c r="E480" s="1" t="n">
        <v>46253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62099-2025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46253</v>
      </c>
      <c r="F481" t="inlineStr">
        <is>
          <t>VÄRMLANDS LÄN</t>
        </is>
      </c>
      <c r="G481" t="inlineStr">
        <is>
          <t>HAGFORS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45335</v>
      </c>
      <c r="E482" s="1" t="n">
        <v>46253</v>
      </c>
      <c r="F482" t="inlineStr">
        <is>
          <t>VÄRMLANDS LÄN</t>
        </is>
      </c>
      <c r="G482" t="inlineStr">
        <is>
          <t>HAGFORS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17305-2023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45035</v>
      </c>
      <c r="E483" s="1" t="n">
        <v>46253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62749-2025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46253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46253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44567</v>
      </c>
      <c r="E486" s="1" t="n">
        <v>46253</v>
      </c>
      <c r="F486" t="inlineStr">
        <is>
          <t>VÄRMLANDS LÄN</t>
        </is>
      </c>
      <c r="G486" t="inlineStr">
        <is>
          <t>HAGFORS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46253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46253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46008</v>
      </c>
      <c r="E489" s="1" t="n">
        <v>46253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46253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59449-2024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45638</v>
      </c>
      <c r="E491" s="1" t="n">
        <v>46253</v>
      </c>
      <c r="F491" t="inlineStr">
        <is>
          <t>VÄRMLANDS LÄN</t>
        </is>
      </c>
      <c r="G491" t="inlineStr">
        <is>
          <t>HAGFORS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46253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63301-2025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46253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44622</v>
      </c>
      <c r="E494" s="1" t="n">
        <v>46253</v>
      </c>
      <c r="F494" t="inlineStr">
        <is>
          <t>VÄRMLANDS LÄN</t>
        </is>
      </c>
      <c r="G494" t="inlineStr">
        <is>
          <t>HAGFORS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45720</v>
      </c>
      <c r="E495" s="1" t="n">
        <v>46253</v>
      </c>
      <c r="F495" t="inlineStr">
        <is>
          <t>VÄRMLANDS LÄN</t>
        </is>
      </c>
      <c r="G495" t="inlineStr">
        <is>
          <t>HAGFORS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46253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46253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46253</v>
      </c>
      <c r="F498" t="inlineStr">
        <is>
          <t>VÄRMLANDS LÄN</t>
        </is>
      </c>
      <c r="G498" t="inlineStr">
        <is>
          <t>HAGFORS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46253</v>
      </c>
      <c r="F499" t="inlineStr">
        <is>
          <t>VÄRMLANDS LÄN</t>
        </is>
      </c>
      <c r="G499" t="inlineStr">
        <is>
          <t>HAGFORS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46253</v>
      </c>
      <c r="F500" t="inlineStr">
        <is>
          <t>VÄRMLANDS LÄN</t>
        </is>
      </c>
      <c r="G500" t="inlineStr">
        <is>
          <t>HAGFORS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21879-2026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46253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46020</v>
      </c>
      <c r="E502" s="1" t="n">
        <v>46253</v>
      </c>
      <c r="F502" t="inlineStr">
        <is>
          <t>VÄRMLANDS LÄN</t>
        </is>
      </c>
      <c r="G502" t="inlineStr">
        <is>
          <t>HAGFORS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46150</v>
      </c>
      <c r="E503" s="1" t="n">
        <v>46253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46018</v>
      </c>
      <c r="E504" s="1" t="n">
        <v>46253</v>
      </c>
      <c r="F504" t="inlineStr">
        <is>
          <t>VÄRMLANDS LÄN</t>
        </is>
      </c>
      <c r="G504" t="inlineStr">
        <is>
          <t>HAGFORS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46018</v>
      </c>
      <c r="E505" s="1" t="n">
        <v>46253</v>
      </c>
      <c r="F505" t="inlineStr">
        <is>
          <t>VÄRMLANDS LÄN</t>
        </is>
      </c>
      <c r="G505" t="inlineStr">
        <is>
          <t>HAGFORS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46253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63875-2025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46020</v>
      </c>
      <c r="E507" s="1" t="n">
        <v>46253</v>
      </c>
      <c r="F507" t="inlineStr">
        <is>
          <t>VÄRMLANDS LÄN</t>
        </is>
      </c>
      <c r="G507" t="inlineStr">
        <is>
          <t>HAGFORS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63834-2025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46020</v>
      </c>
      <c r="E508" s="1" t="n">
        <v>46253</v>
      </c>
      <c r="F508" t="inlineStr">
        <is>
          <t>VÄRMLANDS LÄN</t>
        </is>
      </c>
      <c r="G508" t="inlineStr">
        <is>
          <t>HAGFORS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21762-2026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46150</v>
      </c>
      <c r="E509" s="1" t="n">
        <v>46253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46253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46029</v>
      </c>
      <c r="E511" s="1" t="n">
        <v>46253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48807-2025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45937</v>
      </c>
      <c r="E512" s="1" t="n">
        <v>46253</v>
      </c>
      <c r="F512" t="inlineStr">
        <is>
          <t>VÄRMLANDS LÄN</t>
        </is>
      </c>
      <c r="G512" t="inlineStr">
        <is>
          <t>HAGFORS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975-2026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46030</v>
      </c>
      <c r="E513" s="1" t="n">
        <v>46253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45547</v>
      </c>
      <c r="E514" s="1" t="n">
        <v>46253</v>
      </c>
      <c r="F514" t="inlineStr">
        <is>
          <t>VÄRMLANDS LÄN</t>
        </is>
      </c>
      <c r="G514" t="inlineStr">
        <is>
          <t>HAGFORS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46253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46253</v>
      </c>
      <c r="F516" t="inlineStr">
        <is>
          <t>VÄRMLANDS LÄN</t>
        </is>
      </c>
      <c r="G516" t="inlineStr">
        <is>
          <t>HAGFORS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45526</v>
      </c>
      <c r="E517" s="1" t="n">
        <v>46253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45351</v>
      </c>
      <c r="E518" s="1" t="n">
        <v>46253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10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46253</v>
      </c>
      <c r="F519" t="inlineStr">
        <is>
          <t>VÄRMLANDS LÄN</t>
        </is>
      </c>
      <c r="G519" t="inlineStr">
        <is>
          <t>HAGFORS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46253</v>
      </c>
      <c r="F520" t="inlineStr">
        <is>
          <t>VÄRMLANDS LÄN</t>
        </is>
      </c>
      <c r="G520" t="inlineStr">
        <is>
          <t>HAGFORS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46253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46253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46253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46253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46253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46253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46253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44824</v>
      </c>
      <c r="E528" s="1" t="n">
        <v>46253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46253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52083-2024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46253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46253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45572</v>
      </c>
      <c r="E532" s="1" t="n">
        <v>46253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45638</v>
      </c>
      <c r="E533" s="1" t="n">
        <v>46253</v>
      </c>
      <c r="F533" t="inlineStr">
        <is>
          <t>VÄRMLANDS LÄN</t>
        </is>
      </c>
      <c r="G533" t="inlineStr">
        <is>
          <t>HAGFORS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46160</v>
      </c>
      <c r="E534" s="1" t="n">
        <v>46253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46160</v>
      </c>
      <c r="E535" s="1" t="n">
        <v>46253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46253</v>
      </c>
      <c r="F536" t="inlineStr">
        <is>
          <t>VÄRMLANDS LÄN</t>
        </is>
      </c>
      <c r="G536" t="inlineStr">
        <is>
          <t>HAGFORS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46253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46161</v>
      </c>
      <c r="E538" s="1" t="n">
        <v>46253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46253</v>
      </c>
      <c r="F539" t="inlineStr">
        <is>
          <t>VÄRMLANDS LÄN</t>
        </is>
      </c>
      <c r="G539" t="inlineStr">
        <is>
          <t>HAGFORS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46253</v>
      </c>
      <c r="F540" t="inlineStr">
        <is>
          <t>VÄRMLANDS LÄN</t>
        </is>
      </c>
      <c r="G540" t="inlineStr">
        <is>
          <t>HAGFORS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45559</v>
      </c>
      <c r="E541" s="1" t="n">
        <v>46253</v>
      </c>
      <c r="F541" t="inlineStr">
        <is>
          <t>VÄRMLANDS LÄN</t>
        </is>
      </c>
      <c r="G541" t="inlineStr">
        <is>
          <t>HAGFORS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54744-2024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45618</v>
      </c>
      <c r="E542" s="1" t="n">
        <v>46253</v>
      </c>
      <c r="F542" t="inlineStr">
        <is>
          <t>VÄRMLANDS LÄN</t>
        </is>
      </c>
      <c r="G542" t="inlineStr">
        <is>
          <t>HAGFORS</t>
        </is>
      </c>
      <c r="H542" t="inlineStr">
        <is>
          <t>Kyrkan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22031-2023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45069</v>
      </c>
      <c r="E543" s="1" t="n">
        <v>46253</v>
      </c>
      <c r="F543" t="inlineStr">
        <is>
          <t>VÄRMLANDS LÄN</t>
        </is>
      </c>
      <c r="G543" t="inlineStr">
        <is>
          <t>HAGFORS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46253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46253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60582-2024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45644</v>
      </c>
      <c r="E546" s="1" t="n">
        <v>46253</v>
      </c>
      <c r="F546" t="inlineStr">
        <is>
          <t>VÄRMLANDS LÄN</t>
        </is>
      </c>
      <c r="G546" t="inlineStr">
        <is>
          <t>HAGFORS</t>
        </is>
      </c>
      <c r="H546" t="inlineStr">
        <is>
          <t>Kyrkan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46253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23549-2026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46163</v>
      </c>
      <c r="E548" s="1" t="n">
        <v>46253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23728-2026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46164</v>
      </c>
      <c r="E549" s="1" t="n">
        <v>46253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31657-2024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45506</v>
      </c>
      <c r="E550" s="1" t="n">
        <v>46253</v>
      </c>
      <c r="F550" t="inlineStr">
        <is>
          <t>VÄRMLANDS LÄN</t>
        </is>
      </c>
      <c r="G550" t="inlineStr">
        <is>
          <t>HAGFORS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45502</v>
      </c>
      <c r="E551" s="1" t="n">
        <v>46253</v>
      </c>
      <c r="F551" t="inlineStr">
        <is>
          <t>VÄRMLANDS LÄN</t>
        </is>
      </c>
      <c r="G551" t="inlineStr">
        <is>
          <t>HAGFORS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46164</v>
      </c>
      <c r="E552" s="1" t="n">
        <v>46253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60991-2024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45645</v>
      </c>
      <c r="E553" s="1" t="n">
        <v>46253</v>
      </c>
      <c r="F553" t="inlineStr">
        <is>
          <t>VÄRMLANDS LÄN</t>
        </is>
      </c>
      <c r="G553" t="inlineStr">
        <is>
          <t>HAGFORS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15886-2022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44664</v>
      </c>
      <c r="E554" s="1" t="n">
        <v>46253</v>
      </c>
      <c r="F554" t="inlineStr">
        <is>
          <t>VÄRMLANDS LÄN</t>
        </is>
      </c>
      <c r="G554" t="inlineStr">
        <is>
          <t>HAGFORS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45947</v>
      </c>
      <c r="E555" s="1" t="n">
        <v>46253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8.9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36494-2025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45869</v>
      </c>
      <c r="E556" s="1" t="n">
        <v>46253</v>
      </c>
      <c r="F556" t="inlineStr">
        <is>
          <t>VÄRMLANDS LÄN</t>
        </is>
      </c>
      <c r="G556" t="inlineStr">
        <is>
          <t>HAGFORS</t>
        </is>
      </c>
      <c r="H556" t="inlineStr">
        <is>
          <t>Kyrkan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45831</v>
      </c>
      <c r="E557" s="1" t="n">
        <v>46253</v>
      </c>
      <c r="F557" t="inlineStr">
        <is>
          <t>VÄRMLANDS LÄN</t>
        </is>
      </c>
      <c r="G557" t="inlineStr">
        <is>
          <t>HAGFORS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45659</v>
      </c>
      <c r="E558" s="1" t="n">
        <v>46253</v>
      </c>
      <c r="F558" t="inlineStr">
        <is>
          <t>VÄRMLANDS LÄN</t>
        </is>
      </c>
      <c r="G558" t="inlineStr">
        <is>
          <t>HAGFORS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45831</v>
      </c>
      <c r="E559" s="1" t="n">
        <v>46253</v>
      </c>
      <c r="F559" t="inlineStr">
        <is>
          <t>VÄRMLANDS LÄN</t>
        </is>
      </c>
      <c r="G559" t="inlineStr">
        <is>
          <t>HAGFORS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24240-2026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46253</v>
      </c>
      <c r="F560" t="inlineStr">
        <is>
          <t>VÄRMLANDS LÄN</t>
        </is>
      </c>
      <c r="G560" t="inlineStr">
        <is>
          <t>HAGFORS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24238-2026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46253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8.1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45055</v>
      </c>
      <c r="E562" s="1" t="n">
        <v>46253</v>
      </c>
      <c r="F562" t="inlineStr">
        <is>
          <t>VÄRMLANDS LÄN</t>
        </is>
      </c>
      <c r="G562" t="inlineStr">
        <is>
          <t>HAGFORS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46253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46211</v>
      </c>
      <c r="E564" s="1" t="n">
        <v>46253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45232</v>
      </c>
      <c r="E565" s="1" t="n">
        <v>46253</v>
      </c>
      <c r="F565" t="inlineStr">
        <is>
          <t>VÄRMLANDS LÄN</t>
        </is>
      </c>
      <c r="G565" t="inlineStr">
        <is>
          <t>HAGFORS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45121</v>
      </c>
      <c r="E566" s="1" t="n">
        <v>46253</v>
      </c>
      <c r="F566" t="inlineStr">
        <is>
          <t>VÄRMLANDS LÄN</t>
        </is>
      </c>
      <c r="G566" t="inlineStr">
        <is>
          <t>HAGFORS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45716</v>
      </c>
      <c r="E567" s="1" t="n">
        <v>46253</v>
      </c>
      <c r="F567" t="inlineStr">
        <is>
          <t>VÄRMLANDS LÄN</t>
        </is>
      </c>
      <c r="G567" t="inlineStr">
        <is>
          <t>HAGFORS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24625-2026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46171</v>
      </c>
      <c r="E568" s="1" t="n">
        <v>46253</v>
      </c>
      <c r="F568" t="inlineStr">
        <is>
          <t>VÄRMLANDS LÄN</t>
        </is>
      </c>
      <c r="G568" t="inlineStr">
        <is>
          <t>HAGFORS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45226</v>
      </c>
      <c r="E569" s="1" t="n">
        <v>46253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13094-2024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45385</v>
      </c>
      <c r="E570" s="1" t="n">
        <v>46253</v>
      </c>
      <c r="F570" t="inlineStr">
        <is>
          <t>VÄRMLANDS LÄN</t>
        </is>
      </c>
      <c r="G570" t="inlineStr">
        <is>
          <t>HAGFORS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24699-2026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46171</v>
      </c>
      <c r="E571" s="1" t="n">
        <v>46253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46213</v>
      </c>
      <c r="E572" s="1" t="n">
        <v>46253</v>
      </c>
      <c r="F572" t="inlineStr">
        <is>
          <t>VÄRMLANDS LÄN</t>
        </is>
      </c>
      <c r="G572" t="inlineStr">
        <is>
          <t>HAGFORS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44613</v>
      </c>
      <c r="E573" s="1" t="n">
        <v>46253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24713-2026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46171</v>
      </c>
      <c r="E574" s="1" t="n">
        <v>46253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45679</v>
      </c>
      <c r="E575" s="1" t="n">
        <v>46253</v>
      </c>
      <c r="F575" t="inlineStr">
        <is>
          <t>VÄRMLANDS LÄN</t>
        </is>
      </c>
      <c r="G575" t="inlineStr">
        <is>
          <t>HAGFORS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46171</v>
      </c>
      <c r="E576" s="1" t="n">
        <v>46253</v>
      </c>
      <c r="F576" t="inlineStr">
        <is>
          <t>VÄRMLANDS LÄN</t>
        </is>
      </c>
      <c r="G576" t="inlineStr">
        <is>
          <t>HAGFORS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24761-2026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46171</v>
      </c>
      <c r="E577" s="1" t="n">
        <v>46253</v>
      </c>
      <c r="F577" t="inlineStr">
        <is>
          <t>VÄRMLANDS LÄN</t>
        </is>
      </c>
      <c r="G577" t="inlineStr">
        <is>
          <t>HAGFORS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24628-2026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46171</v>
      </c>
      <c r="E578" s="1" t="n">
        <v>46253</v>
      </c>
      <c r="F578" t="inlineStr">
        <is>
          <t>VÄRMLANDS LÄN</t>
        </is>
      </c>
      <c r="G578" t="inlineStr">
        <is>
          <t>HAGFORS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24626-2026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46171</v>
      </c>
      <c r="E579" s="1" t="n">
        <v>46253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5338-2025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45692</v>
      </c>
      <c r="E580" s="1" t="n">
        <v>46253</v>
      </c>
      <c r="F580" t="inlineStr">
        <is>
          <t>VÄRMLANDS LÄN</t>
        </is>
      </c>
      <c r="G580" t="inlineStr">
        <is>
          <t>HAGFORS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24677-2026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46253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12434-2022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44638</v>
      </c>
      <c r="E582" s="1" t="n">
        <v>46253</v>
      </c>
      <c r="F582" t="inlineStr">
        <is>
          <t>VÄRMLANDS LÄN</t>
        </is>
      </c>
      <c r="G582" t="inlineStr">
        <is>
          <t>HAGFORS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46253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45703</v>
      </c>
      <c r="E584" s="1" t="n">
        <v>46253</v>
      </c>
      <c r="F584" t="inlineStr">
        <is>
          <t>VÄRMLANDS LÄN</t>
        </is>
      </c>
      <c r="G584" t="inlineStr">
        <is>
          <t>HAGFORS</t>
        </is>
      </c>
      <c r="H584" t="inlineStr">
        <is>
          <t>Kyrkan</t>
        </is>
      </c>
      <c r="I584" t="n">
        <v>15.9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35886-2023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45148</v>
      </c>
      <c r="E585" s="1" t="n">
        <v>46253</v>
      </c>
      <c r="F585" t="inlineStr">
        <is>
          <t>VÄRMLANDS LÄN</t>
        </is>
      </c>
      <c r="G585" t="inlineStr">
        <is>
          <t>HAGFORS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46253</v>
      </c>
      <c r="F586" t="inlineStr">
        <is>
          <t>VÄRMLANDS LÄN</t>
        </is>
      </c>
      <c r="G586" t="inlineStr">
        <is>
          <t>HAGFORS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18699-2022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44687</v>
      </c>
      <c r="E587" s="1" t="n">
        <v>46253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24862-2026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46174</v>
      </c>
      <c r="E588" s="1" t="n">
        <v>46253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46253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46253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25276-2026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46176</v>
      </c>
      <c r="E591" s="1" t="n">
        <v>46253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46253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45244</v>
      </c>
      <c r="E593" s="1" t="n">
        <v>46253</v>
      </c>
      <c r="F593" t="inlineStr">
        <is>
          <t>VÄRMLANDS LÄN</t>
        </is>
      </c>
      <c r="G593" t="inlineStr">
        <is>
          <t>HAGFORS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45684</v>
      </c>
      <c r="E594" s="1" t="n">
        <v>46253</v>
      </c>
      <c r="F594" t="inlineStr">
        <is>
          <t>VÄRMLANDS LÄN</t>
        </is>
      </c>
      <c r="G594" t="inlineStr">
        <is>
          <t>HAGFORS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26019-2026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46253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40835-2023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45172</v>
      </c>
      <c r="E596" s="1" t="n">
        <v>46253</v>
      </c>
      <c r="F596" t="inlineStr">
        <is>
          <t>VÄRMLANDS LÄN</t>
        </is>
      </c>
      <c r="G596" t="inlineStr">
        <is>
          <t>HAGFORS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46253</v>
      </c>
      <c r="F597" t="inlineStr">
        <is>
          <t>VÄRMLANDS LÄN</t>
        </is>
      </c>
      <c r="G597" t="inlineStr">
        <is>
          <t>HAGFORS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52224-2023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45224</v>
      </c>
      <c r="E598" s="1" t="n">
        <v>46253</v>
      </c>
      <c r="F598" t="inlineStr">
        <is>
          <t>VÄRMLANDS LÄN</t>
        </is>
      </c>
      <c r="G598" t="inlineStr">
        <is>
          <t>HAGFORS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46253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31671-2026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46225</v>
      </c>
      <c r="E600" s="1" t="n">
        <v>46253</v>
      </c>
      <c r="F600" t="inlineStr">
        <is>
          <t>VÄRMLANDS LÄN</t>
        </is>
      </c>
      <c r="G600" t="inlineStr">
        <is>
          <t>HAGFORS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46226</v>
      </c>
      <c r="E601" s="1" t="n">
        <v>46253</v>
      </c>
      <c r="F601" t="inlineStr">
        <is>
          <t>VÄRMLANDS LÄN</t>
        </is>
      </c>
      <c r="G601" t="inlineStr">
        <is>
          <t>HAGFORS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9474-2025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45715</v>
      </c>
      <c r="E602" s="1" t="n">
        <v>46253</v>
      </c>
      <c r="F602" t="inlineStr">
        <is>
          <t>VÄRMLANDS LÄN</t>
        </is>
      </c>
      <c r="G602" t="inlineStr">
        <is>
          <t>HAGFORS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18907-2025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46253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46253</v>
      </c>
      <c r="F604" t="inlineStr">
        <is>
          <t>VÄRMLANDS LÄN</t>
        </is>
      </c>
      <c r="G604" t="inlineStr">
        <is>
          <t>HAGFORS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46253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46253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46226</v>
      </c>
      <c r="E607" s="1" t="n">
        <v>46253</v>
      </c>
      <c r="F607" t="inlineStr">
        <is>
          <t>VÄRMLANDS LÄN</t>
        </is>
      </c>
      <c r="G607" t="inlineStr">
        <is>
          <t>HAGFORS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46182</v>
      </c>
      <c r="E608" s="1" t="n">
        <v>46253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46253</v>
      </c>
      <c r="F609" t="inlineStr">
        <is>
          <t>VÄRMLANDS LÄN</t>
        </is>
      </c>
      <c r="G609" t="inlineStr">
        <is>
          <t>HAGFORS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26859-2026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46253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46253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46253</v>
      </c>
      <c r="F612" t="inlineStr">
        <is>
          <t>VÄRMLANDS LÄN</t>
        </is>
      </c>
      <c r="G612" t="inlineStr">
        <is>
          <t>HAGFORS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46253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9.5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26846-2026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46253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18.2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46253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46253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26612-2026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46184</v>
      </c>
      <c r="E617" s="1" t="n">
        <v>46253</v>
      </c>
      <c r="F617" t="inlineStr">
        <is>
          <t>VÄRMLANDS LÄN</t>
        </is>
      </c>
      <c r="G617" t="inlineStr">
        <is>
          <t>HAGFORS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27306-2026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46253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46253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46253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61232-2024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45645</v>
      </c>
      <c r="E621" s="1" t="n">
        <v>46253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27394-2026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46189</v>
      </c>
      <c r="E622" s="1" t="n">
        <v>46253</v>
      </c>
      <c r="F622" t="inlineStr">
        <is>
          <t>VÄRMLANDS LÄN</t>
        </is>
      </c>
      <c r="G622" t="inlineStr">
        <is>
          <t>HAGFORS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64155-2023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45279</v>
      </c>
      <c r="E623" s="1" t="n">
        <v>46253</v>
      </c>
      <c r="F623" t="inlineStr">
        <is>
          <t>VÄRMLANDS LÄN</t>
        </is>
      </c>
      <c r="G623" t="inlineStr">
        <is>
          <t>HAGFORS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46253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46189</v>
      </c>
      <c r="E625" s="1" t="n">
        <v>46253</v>
      </c>
      <c r="F625" t="inlineStr">
        <is>
          <t>VÄRMLANDS LÄN</t>
        </is>
      </c>
      <c r="G625" t="inlineStr">
        <is>
          <t>HAGFORS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14464-2025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45741</v>
      </c>
      <c r="E626" s="1" t="n">
        <v>46253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46191</v>
      </c>
      <c r="E627" s="1" t="n">
        <v>46253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27799-2026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46191</v>
      </c>
      <c r="E628" s="1" t="n">
        <v>46253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46253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8.300000000000001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46253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58437-2023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45250</v>
      </c>
      <c r="E631" s="1" t="n">
        <v>46253</v>
      </c>
      <c r="F631" t="inlineStr">
        <is>
          <t>VÄRMLANDS LÄN</t>
        </is>
      </c>
      <c r="G631" t="inlineStr">
        <is>
          <t>HAGFORS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11160-2025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45723</v>
      </c>
      <c r="E632" s="1" t="n">
        <v>46253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45725</v>
      </c>
      <c r="E633" s="1" t="n">
        <v>46253</v>
      </c>
      <c r="F633" t="inlineStr">
        <is>
          <t>VÄRMLANDS LÄN</t>
        </is>
      </c>
      <c r="G633" t="inlineStr">
        <is>
          <t>HAGFORS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46253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9.6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30710-2022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44763</v>
      </c>
      <c r="E635" s="1" t="n">
        <v>46253</v>
      </c>
      <c r="F635" t="inlineStr">
        <is>
          <t>VÄRMLANDS LÄN</t>
        </is>
      </c>
      <c r="G635" t="inlineStr">
        <is>
          <t>HAGFORS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46253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46253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46253</v>
      </c>
      <c r="F638" t="inlineStr">
        <is>
          <t>VÄRMLANDS LÄN</t>
        </is>
      </c>
      <c r="G638" t="inlineStr">
        <is>
          <t>HAGFORS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25349-2023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45087</v>
      </c>
      <c r="E639" s="1" t="n">
        <v>46253</v>
      </c>
      <c r="F639" t="inlineStr">
        <is>
          <t>VÄRMLANDS LÄN</t>
        </is>
      </c>
      <c r="G639" t="inlineStr">
        <is>
          <t>HAGFORS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61304-2023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46253</v>
      </c>
      <c r="F640" t="inlineStr">
        <is>
          <t>VÄRMLANDS LÄN</t>
        </is>
      </c>
      <c r="G640" t="inlineStr">
        <is>
          <t>HAGFORS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44595</v>
      </c>
      <c r="E641" s="1" t="n">
        <v>46253</v>
      </c>
      <c r="F641" t="inlineStr">
        <is>
          <t>VÄRMLANDS LÄN</t>
        </is>
      </c>
      <c r="G641" t="inlineStr">
        <is>
          <t>HAGFORS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46239</v>
      </c>
      <c r="E642" s="1" t="n">
        <v>46253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19.3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32507-2026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46239</v>
      </c>
      <c r="E643" s="1" t="n">
        <v>46253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46253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30327-2022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44760</v>
      </c>
      <c r="E645" s="1" t="n">
        <v>46253</v>
      </c>
      <c r="F645" t="inlineStr">
        <is>
          <t>VÄRMLANDS LÄN</t>
        </is>
      </c>
      <c r="G645" t="inlineStr">
        <is>
          <t>HAGFORS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46253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9.699999999999999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54929-2024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45618</v>
      </c>
      <c r="E647" s="1" t="n">
        <v>46253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28720-2026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46253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49753-2023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45212</v>
      </c>
      <c r="E649" s="1" t="n">
        <v>46253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32721-2026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46241</v>
      </c>
      <c r="E650" s="1" t="n">
        <v>46253</v>
      </c>
      <c r="F650" t="inlineStr">
        <is>
          <t>VÄRMLANDS LÄN</t>
        </is>
      </c>
      <c r="G650" t="inlineStr">
        <is>
          <t>HAGFORS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46241</v>
      </c>
      <c r="E651" s="1" t="n">
        <v>46253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31660-2022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44776</v>
      </c>
      <c r="E652" s="1" t="n">
        <v>46253</v>
      </c>
      <c r="F652" t="inlineStr">
        <is>
          <t>VÄRMLANDS LÄN</t>
        </is>
      </c>
      <c r="G652" t="inlineStr">
        <is>
          <t>HAGFORS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28625-2026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46253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46241</v>
      </c>
      <c r="E654" s="1" t="n">
        <v>46253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46253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56466-2024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45625</v>
      </c>
      <c r="E656" s="1" t="n">
        <v>46253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45673</v>
      </c>
      <c r="E657" s="1" t="n">
        <v>46253</v>
      </c>
      <c r="F657" t="inlineStr">
        <is>
          <t>VÄRMLANDS LÄN</t>
        </is>
      </c>
      <c r="G657" t="inlineStr">
        <is>
          <t>HAGFORS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28087-2024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45476</v>
      </c>
      <c r="E658" s="1" t="n">
        <v>46253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46200</v>
      </c>
      <c r="E659" s="1" t="n">
        <v>46253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29103-2026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46200</v>
      </c>
      <c r="E660" s="1" t="n">
        <v>46253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46245</v>
      </c>
      <c r="E661" s="1" t="n">
        <v>46253</v>
      </c>
      <c r="F661" t="inlineStr">
        <is>
          <t>VÄRMLANDS LÄN</t>
        </is>
      </c>
      <c r="G661" t="inlineStr">
        <is>
          <t>HAGFORS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36206-2024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45534</v>
      </c>
      <c r="E662" s="1" t="n">
        <v>46253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45509</v>
      </c>
      <c r="E663" s="1" t="n">
        <v>46253</v>
      </c>
      <c r="F663" t="inlineStr">
        <is>
          <t>VÄRMLANDS LÄN</t>
        </is>
      </c>
      <c r="G663" t="inlineStr">
        <is>
          <t>HAGFORS</t>
        </is>
      </c>
      <c r="H663" t="inlineStr">
        <is>
          <t>Kommuner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29422-2026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46253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46253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46253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42150-2024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45562</v>
      </c>
      <c r="E667" s="1" t="n">
        <v>46253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46253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60178-2023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45258</v>
      </c>
      <c r="E669" s="1" t="n">
        <v>46253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46253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27855-2026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46191</v>
      </c>
      <c r="E671" s="1" t="n">
        <v>46253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29427-2026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46203</v>
      </c>
      <c r="E672" s="1" t="n">
        <v>46253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9.6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46248</v>
      </c>
      <c r="E673" s="1" t="n">
        <v>46253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33515-2026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46248</v>
      </c>
      <c r="E674" s="1" t="n">
        <v>46253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15270-2024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45400</v>
      </c>
      <c r="E675" s="1" t="n">
        <v>46253</v>
      </c>
      <c r="F675" t="inlineStr">
        <is>
          <t>VÄRMLANDS LÄN</t>
        </is>
      </c>
      <c r="G675" t="inlineStr">
        <is>
          <t>HAGFORS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46253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45743</v>
      </c>
      <c r="E677" s="1" t="n">
        <v>46253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33635-2026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46248</v>
      </c>
      <c r="E678" s="1" t="n">
        <v>46253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44610</v>
      </c>
      <c r="E679" s="1" t="n">
        <v>46253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55447-2022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44887</v>
      </c>
      <c r="E680" s="1" t="n">
        <v>46253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46251</v>
      </c>
      <c r="E681" s="1" t="n">
        <v>46253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44953</v>
      </c>
      <c r="E682" s="1" t="n">
        <v>46253</v>
      </c>
      <c r="F682" t="inlineStr">
        <is>
          <t>VÄRMLANDS LÄN</t>
        </is>
      </c>
      <c r="G682" t="inlineStr">
        <is>
          <t>HAGFORS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30153-2026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46253</v>
      </c>
      <c r="F683" t="inlineStr">
        <is>
          <t>VÄRMLANDS LÄN</t>
        </is>
      </c>
      <c r="G683" t="inlineStr">
        <is>
          <t>HAGFORS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46253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44951</v>
      </c>
      <c r="E685" s="1" t="n">
        <v>46253</v>
      </c>
      <c r="F685" t="inlineStr">
        <is>
          <t>VÄRMLANDS LÄN</t>
        </is>
      </c>
      <c r="G685" t="inlineStr">
        <is>
          <t>HAGFORS</t>
        </is>
      </c>
      <c r="H685" t="inlineStr">
        <is>
          <t>Kommuner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46253</v>
      </c>
      <c r="F686" t="inlineStr">
        <is>
          <t>VÄRMLANDS LÄN</t>
        </is>
      </c>
      <c r="G686" t="inlineStr">
        <is>
          <t>HAGFORS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13850-2022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44649</v>
      </c>
      <c r="E687" s="1" t="n">
        <v>46253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61902-2021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44502</v>
      </c>
      <c r="E688" s="1" t="n">
        <v>46253</v>
      </c>
      <c r="F688" t="inlineStr">
        <is>
          <t>VÄRMLANDS LÄN</t>
        </is>
      </c>
      <c r="G688" t="inlineStr">
        <is>
          <t>HAGFORS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34014-2026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46252</v>
      </c>
      <c r="E689" s="1" t="n">
        <v>46253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58307-2023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45250</v>
      </c>
      <c r="E690" s="1" t="n">
        <v>46253</v>
      </c>
      <c r="F690" t="inlineStr">
        <is>
          <t>VÄRMLANDS LÄN</t>
        </is>
      </c>
      <c r="G690" t="inlineStr">
        <is>
          <t>HAGFORS</t>
        </is>
      </c>
      <c r="H690" t="inlineStr">
        <is>
          <t>Kommuner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11104-2022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44628</v>
      </c>
      <c r="E691" s="1" t="n">
        <v>46253</v>
      </c>
      <c r="F691" t="inlineStr">
        <is>
          <t>VÄRMLANDS LÄN</t>
        </is>
      </c>
      <c r="G691" t="inlineStr">
        <is>
          <t>HAGFORS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46253</v>
      </c>
      <c r="F692" t="inlineStr">
        <is>
          <t>VÄRMLANDS LÄN</t>
        </is>
      </c>
      <c r="G692" t="inlineStr">
        <is>
          <t>HAGFORS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46253</v>
      </c>
      <c r="F693" t="inlineStr">
        <is>
          <t>VÄRMLANDS LÄN</t>
        </is>
      </c>
      <c r="G693" t="inlineStr">
        <is>
          <t>HAGFORS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46253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46251</v>
      </c>
      <c r="E695" s="1" t="n">
        <v>46253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5.8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46209</v>
      </c>
      <c r="E696" s="1" t="n">
        <v>46253</v>
      </c>
      <c r="F696" t="inlineStr">
        <is>
          <t>VÄRMLANDS LÄN</t>
        </is>
      </c>
      <c r="G696" t="inlineStr">
        <is>
          <t>HAGFORS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46209</v>
      </c>
      <c r="E697" s="1" t="n">
        <v>46253</v>
      </c>
      <c r="F697" t="inlineStr">
        <is>
          <t>VÄRMLANDS LÄN</t>
        </is>
      </c>
      <c r="G697" t="inlineStr">
        <is>
          <t>HAGFORS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60664-2023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45259</v>
      </c>
      <c r="E698" s="1" t="n">
        <v>46253</v>
      </c>
      <c r="F698" t="inlineStr">
        <is>
          <t>VÄRMLANDS LÄN</t>
        </is>
      </c>
      <c r="G698" t="inlineStr">
        <is>
          <t>HAGFORS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45356</v>
      </c>
      <c r="E699" s="1" t="n">
        <v>46253</v>
      </c>
      <c r="F699" t="inlineStr">
        <is>
          <t>VÄRMLANDS LÄN</t>
        </is>
      </c>
      <c r="G699" t="inlineStr">
        <is>
          <t>HAGFORS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658-2022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44566</v>
      </c>
      <c r="E700" s="1" t="n">
        <v>46253</v>
      </c>
      <c r="F700" t="inlineStr">
        <is>
          <t>VÄRMLANDS LÄN</t>
        </is>
      </c>
      <c r="G700" t="inlineStr">
        <is>
          <t>HAGFORS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59048-2022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44903</v>
      </c>
      <c r="E701" s="1" t="n">
        <v>46253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46253</v>
      </c>
      <c r="F702" t="inlineStr">
        <is>
          <t>VÄRMLANDS LÄN</t>
        </is>
      </c>
      <c r="G702" t="inlineStr">
        <is>
          <t>HAGFORS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60221-2023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45258</v>
      </c>
      <c r="E703" s="1" t="n">
        <v>46253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34541-2024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45525</v>
      </c>
      <c r="E704" s="1" t="n">
        <v>46253</v>
      </c>
      <c r="F704" t="inlineStr">
        <is>
          <t>VÄRMLANDS LÄN</t>
        </is>
      </c>
      <c r="G704" t="inlineStr">
        <is>
          <t>HAGFORS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35668-2023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45147</v>
      </c>
      <c r="E705" s="1" t="n">
        <v>46253</v>
      </c>
      <c r="F705" t="inlineStr">
        <is>
          <t>VÄRMLANDS LÄN</t>
        </is>
      </c>
      <c r="G705" t="inlineStr">
        <is>
          <t>HAGFORS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46190-2024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45581</v>
      </c>
      <c r="E706" s="1" t="n">
        <v>46253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2971-2025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46253</v>
      </c>
      <c r="F707" t="inlineStr">
        <is>
          <t>VÄRMLANDS LÄN</t>
        </is>
      </c>
      <c r="G707" t="inlineStr">
        <is>
          <t>HAGFORS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26859-2024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45470</v>
      </c>
      <c r="E708" s="1" t="n">
        <v>46253</v>
      </c>
      <c r="F708" t="inlineStr">
        <is>
          <t>VÄRMLANDS LÄN</t>
        </is>
      </c>
      <c r="G708" t="inlineStr">
        <is>
          <t>HAGFORS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11367-2025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45726</v>
      </c>
      <c r="E709" s="1" t="n">
        <v>46253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46208-2023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45196</v>
      </c>
      <c r="E710" s="1" t="n">
        <v>46253</v>
      </c>
      <c r="F710" t="inlineStr">
        <is>
          <t>VÄRMLANDS LÄN</t>
        </is>
      </c>
      <c r="G710" t="inlineStr">
        <is>
          <t>HAGFORS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29373-2023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45106</v>
      </c>
      <c r="E711" s="1" t="n">
        <v>46253</v>
      </c>
      <c r="F711" t="inlineStr">
        <is>
          <t>VÄRMLANDS LÄN</t>
        </is>
      </c>
      <c r="G711" t="inlineStr">
        <is>
          <t>HAGFORS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4279-2024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46253</v>
      </c>
      <c r="F712" t="inlineStr">
        <is>
          <t>VÄRMLANDS LÄN</t>
        </is>
      </c>
      <c r="G712" t="inlineStr">
        <is>
          <t>HAGFORS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52378-2021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44465</v>
      </c>
      <c r="E713" s="1" t="n">
        <v>46253</v>
      </c>
      <c r="F713" t="inlineStr">
        <is>
          <t>VÄRMLANDS LÄN</t>
        </is>
      </c>
      <c r="G713" t="inlineStr">
        <is>
          <t>HAGFORS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46253</v>
      </c>
      <c r="F714" t="inlineStr">
        <is>
          <t>VÄRMLANDS LÄN</t>
        </is>
      </c>
      <c r="G714" t="inlineStr">
        <is>
          <t>HAGFORS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42223-2022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46253</v>
      </c>
      <c r="F715" t="inlineStr">
        <is>
          <t>VÄRMLANDS LÄN</t>
        </is>
      </c>
      <c r="G715" t="inlineStr">
        <is>
          <t>HAGFORS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17584-2023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45036</v>
      </c>
      <c r="E716" s="1" t="n">
        <v>46253</v>
      </c>
      <c r="F716" t="inlineStr">
        <is>
          <t>VÄRMLANDS LÄN</t>
        </is>
      </c>
      <c r="G716" t="inlineStr">
        <is>
          <t>HAGFORS</t>
        </is>
      </c>
      <c r="H716" t="inlineStr">
        <is>
          <t>Kommuner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32696-2023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45112</v>
      </c>
      <c r="E717" s="1" t="n">
        <v>46253</v>
      </c>
      <c r="F717" t="inlineStr">
        <is>
          <t>VÄRMLANDS LÄN</t>
        </is>
      </c>
      <c r="G717" t="inlineStr">
        <is>
          <t>HAGFORS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58799-2022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44903</v>
      </c>
      <c r="E718" s="1" t="n">
        <v>46253</v>
      </c>
      <c r="F718" t="inlineStr">
        <is>
          <t>VÄRMLANDS LÄN</t>
        </is>
      </c>
      <c r="G718" t="inlineStr">
        <is>
          <t>HAGFORS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59092-2022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44904</v>
      </c>
      <c r="E719" s="1" t="n">
        <v>46253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20466-2023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45057</v>
      </c>
      <c r="E720" s="1" t="n">
        <v>46253</v>
      </c>
      <c r="F720" t="inlineStr">
        <is>
          <t>VÄRMLANDS LÄN</t>
        </is>
      </c>
      <c r="G720" t="inlineStr">
        <is>
          <t>HAGFORS</t>
        </is>
      </c>
      <c r="H720" t="inlineStr">
        <is>
          <t>Kyrkan</t>
        </is>
      </c>
      <c r="I720" t="n">
        <v>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45510</v>
      </c>
      <c r="E721" s="1" t="n">
        <v>46253</v>
      </c>
      <c r="F721" t="inlineStr">
        <is>
          <t>VÄRMLANDS LÄN</t>
        </is>
      </c>
      <c r="G721" t="inlineStr">
        <is>
          <t>HAGFORS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53192-2022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44876</v>
      </c>
      <c r="E722" s="1" t="n">
        <v>46253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45673</v>
      </c>
      <c r="E723" s="1" t="n">
        <v>46253</v>
      </c>
      <c r="F723" t="inlineStr">
        <is>
          <t>VÄRMLANDS LÄN</t>
        </is>
      </c>
      <c r="G723" t="inlineStr">
        <is>
          <t>HAGFORS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45419</v>
      </c>
      <c r="E724" s="1" t="n">
        <v>46253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1931-2024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45308</v>
      </c>
      <c r="E725" s="1" t="n">
        <v>46253</v>
      </c>
      <c r="F725" t="inlineStr">
        <is>
          <t>VÄRMLANDS LÄN</t>
        </is>
      </c>
      <c r="G725" t="inlineStr">
        <is>
          <t>HAGFORS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46253</v>
      </c>
      <c r="F726" t="inlineStr">
        <is>
          <t>VÄRMLANDS LÄN</t>
        </is>
      </c>
      <c r="G726" t="inlineStr">
        <is>
          <t>HAGFORS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56895-2023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46253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35664-2023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45147</v>
      </c>
      <c r="E728" s="1" t="n">
        <v>46253</v>
      </c>
      <c r="F728" t="inlineStr">
        <is>
          <t>VÄRMLANDS LÄN</t>
        </is>
      </c>
      <c r="G728" t="inlineStr">
        <is>
          <t>HAGFORS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45699</v>
      </c>
      <c r="E729" s="1" t="n">
        <v>46253</v>
      </c>
      <c r="F729" t="inlineStr">
        <is>
          <t>VÄRMLANDS LÄN</t>
        </is>
      </c>
      <c r="G729" t="inlineStr">
        <is>
          <t>HAGFORS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21309-2023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45062</v>
      </c>
      <c r="E730" s="1" t="n">
        <v>46253</v>
      </c>
      <c r="F730" t="inlineStr">
        <is>
          <t>VÄRMLANDS LÄN</t>
        </is>
      </c>
      <c r="G730" t="inlineStr">
        <is>
          <t>HAGFORS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4748-2024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45328</v>
      </c>
      <c r="E731" s="1" t="n">
        <v>46253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13282-2024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45386</v>
      </c>
      <c r="E732" s="1" t="n">
        <v>46253</v>
      </c>
      <c r="F732" t="inlineStr">
        <is>
          <t>VÄRMLANDS LÄN</t>
        </is>
      </c>
      <c r="G732" t="inlineStr">
        <is>
          <t>HAGFORS</t>
        </is>
      </c>
      <c r="H732" t="inlineStr">
        <is>
          <t>Kommuner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48276-2024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45590</v>
      </c>
      <c r="E733" s="1" t="n">
        <v>46253</v>
      </c>
      <c r="F733" t="inlineStr">
        <is>
          <t>VÄRMLANDS LÄN</t>
        </is>
      </c>
      <c r="G733" t="inlineStr">
        <is>
          <t>HAGFORS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57159-2024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45629</v>
      </c>
      <c r="E734" s="1" t="n">
        <v>46253</v>
      </c>
      <c r="F734" t="inlineStr">
        <is>
          <t>VÄRMLANDS LÄN</t>
        </is>
      </c>
      <c r="G734" t="inlineStr">
        <is>
          <t>HAGFORS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33146-2024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45518</v>
      </c>
      <c r="E735" s="1" t="n">
        <v>46253</v>
      </c>
      <c r="F735" t="inlineStr">
        <is>
          <t>VÄRMLANDS LÄN</t>
        </is>
      </c>
      <c r="G735" t="inlineStr">
        <is>
          <t>HAGFORS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51346-2022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44869</v>
      </c>
      <c r="E736" s="1" t="n">
        <v>46253</v>
      </c>
      <c r="F736" t="inlineStr">
        <is>
          <t>VÄRMLANDS LÄN</t>
        </is>
      </c>
      <c r="G736" t="inlineStr">
        <is>
          <t>HAGFORS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32033-2024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45510</v>
      </c>
      <c r="E737" s="1" t="n">
        <v>46253</v>
      </c>
      <c r="F737" t="inlineStr">
        <is>
          <t>VÄRMLANDS LÄN</t>
        </is>
      </c>
      <c r="G737" t="inlineStr">
        <is>
          <t>HAGFORS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42593-2021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44428</v>
      </c>
      <c r="E738" s="1" t="n">
        <v>46253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46253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60974-2024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45645</v>
      </c>
      <c r="E740" s="1" t="n">
        <v>46253</v>
      </c>
      <c r="F740" t="inlineStr">
        <is>
          <t>VÄRMLANDS LÄN</t>
        </is>
      </c>
      <c r="G740" t="inlineStr">
        <is>
          <t>HAGFORS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35775-2024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45532</v>
      </c>
      <c r="E741" s="1" t="n">
        <v>46253</v>
      </c>
      <c r="F741" t="inlineStr">
        <is>
          <t>VÄRMLANDS LÄN</t>
        </is>
      </c>
      <c r="G741" t="inlineStr">
        <is>
          <t>HAGFORS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45238-2024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45575</v>
      </c>
      <c r="E742" s="1" t="n">
        <v>46253</v>
      </c>
      <c r="F742" t="inlineStr">
        <is>
          <t>VÄRMLANDS LÄN</t>
        </is>
      </c>
      <c r="G742" t="inlineStr">
        <is>
          <t>HAGFORS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32149-2023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45107</v>
      </c>
      <c r="E743" s="1" t="n">
        <v>46253</v>
      </c>
      <c r="F743" t="inlineStr">
        <is>
          <t>VÄRMLANDS LÄN</t>
        </is>
      </c>
      <c r="G743" t="inlineStr">
        <is>
          <t>HAGFORS</t>
        </is>
      </c>
      <c r="I743" t="n">
        <v>9.1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26777-2023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46253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56165-2024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45624</v>
      </c>
      <c r="E745" s="1" t="n">
        <v>46253</v>
      </c>
      <c r="F745" t="inlineStr">
        <is>
          <t>VÄRMLANDS LÄN</t>
        </is>
      </c>
      <c r="G745" t="inlineStr">
        <is>
          <t>HAGFORS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3980-2025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45684</v>
      </c>
      <c r="E746" s="1" t="n">
        <v>46253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45684</v>
      </c>
      <c r="E747" s="1" t="n">
        <v>46253</v>
      </c>
      <c r="F747" t="inlineStr">
        <is>
          <t>VÄRMLANDS LÄN</t>
        </is>
      </c>
      <c r="G747" t="inlineStr">
        <is>
          <t>HAGFORS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45433</v>
      </c>
      <c r="E748" s="1" t="n">
        <v>46253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45335</v>
      </c>
      <c r="E749" s="1" t="n">
        <v>46253</v>
      </c>
      <c r="F749" t="inlineStr">
        <is>
          <t>VÄRMLANDS LÄN</t>
        </is>
      </c>
      <c r="G749" t="inlineStr">
        <is>
          <t>HAGFORS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4047-2024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45323</v>
      </c>
      <c r="E750" s="1" t="n">
        <v>46253</v>
      </c>
      <c r="F750" t="inlineStr">
        <is>
          <t>VÄRMLANDS LÄN</t>
        </is>
      </c>
      <c r="G750" t="inlineStr">
        <is>
          <t>HAGFORS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36228-2024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45534</v>
      </c>
      <c r="E751" s="1" t="n">
        <v>46253</v>
      </c>
      <c r="F751" t="inlineStr">
        <is>
          <t>VÄRMLANDS LÄN</t>
        </is>
      </c>
      <c r="G751" t="inlineStr">
        <is>
          <t>HAGFORS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42173-2024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45562</v>
      </c>
      <c r="E752" s="1" t="n">
        <v>46253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42178-2024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45562</v>
      </c>
      <c r="E753" s="1" t="n">
        <v>46253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46253</v>
      </c>
      <c r="F754" t="inlineStr">
        <is>
          <t>VÄRMLANDS LÄN</t>
        </is>
      </c>
      <c r="G754" t="inlineStr">
        <is>
          <t>HAGFORS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21067-2025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45777</v>
      </c>
      <c r="E755" s="1" t="n">
        <v>46253</v>
      </c>
      <c r="F755" t="inlineStr">
        <is>
          <t>VÄRMLANDS LÄN</t>
        </is>
      </c>
      <c r="G755" t="inlineStr">
        <is>
          <t>HAGFORS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47425-2024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45587</v>
      </c>
      <c r="E756" s="1" t="n">
        <v>46253</v>
      </c>
      <c r="F756" t="inlineStr">
        <is>
          <t>VÄRMLANDS LÄN</t>
        </is>
      </c>
      <c r="G756" t="inlineStr">
        <is>
          <t>HAGFORS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45460</v>
      </c>
      <c r="E757" s="1" t="n">
        <v>46253</v>
      </c>
      <c r="F757" t="inlineStr">
        <is>
          <t>VÄRMLANDS LÄN</t>
        </is>
      </c>
      <c r="G757" t="inlineStr">
        <is>
          <t>HAGFORS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40332-2023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45169</v>
      </c>
      <c r="E758" s="1" t="n">
        <v>46253</v>
      </c>
      <c r="F758" t="inlineStr">
        <is>
          <t>VÄRMLANDS LÄN</t>
        </is>
      </c>
      <c r="G758" t="inlineStr">
        <is>
          <t>HAGFORS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45783</v>
      </c>
      <c r="E759" s="1" t="n">
        <v>46253</v>
      </c>
      <c r="F759" t="inlineStr">
        <is>
          <t>VÄRMLANDS LÄN</t>
        </is>
      </c>
      <c r="G759" t="inlineStr">
        <is>
          <t>HAGFORS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22461-2025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45786</v>
      </c>
      <c r="E760" s="1" t="n">
        <v>46253</v>
      </c>
      <c r="F760" t="inlineStr">
        <is>
          <t>VÄRMLANDS LÄN</t>
        </is>
      </c>
      <c r="G760" t="inlineStr">
        <is>
          <t>HAGFORS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17833-2022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44683</v>
      </c>
      <c r="E761" s="1" t="n">
        <v>46253</v>
      </c>
      <c r="F761" t="inlineStr">
        <is>
          <t>VÄRMLANDS LÄN</t>
        </is>
      </c>
      <c r="G761" t="inlineStr">
        <is>
          <t>HAGFORS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22917-2025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46253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22964-2025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46253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22799-2025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45789</v>
      </c>
      <c r="E764" s="1" t="n">
        <v>46253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23268-2025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45791</v>
      </c>
      <c r="E765" s="1" t="n">
        <v>46253</v>
      </c>
      <c r="F765" t="inlineStr">
        <is>
          <t>VÄRMLANDS LÄN</t>
        </is>
      </c>
      <c r="G765" t="inlineStr">
        <is>
          <t>HAGFORS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23556-2025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45792</v>
      </c>
      <c r="E766" s="1" t="n">
        <v>46253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23525-2025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45792</v>
      </c>
      <c r="E767" s="1" t="n">
        <v>46253</v>
      </c>
      <c r="F767" t="inlineStr">
        <is>
          <t>VÄRMLANDS LÄN</t>
        </is>
      </c>
      <c r="G767" t="inlineStr">
        <is>
          <t>HAGFORS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46253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54008-2024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45615</v>
      </c>
      <c r="E769" s="1" t="n">
        <v>46253</v>
      </c>
      <c r="F769" t="inlineStr">
        <is>
          <t>VÄRMLANDS LÄN</t>
        </is>
      </c>
      <c r="G769" t="inlineStr">
        <is>
          <t>HAGFORS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55950-2024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46253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45793</v>
      </c>
      <c r="E771" s="1" t="n">
        <v>46253</v>
      </c>
      <c r="F771" t="inlineStr">
        <is>
          <t>VÄRMLANDS LÄN</t>
        </is>
      </c>
      <c r="G771" t="inlineStr">
        <is>
          <t>HAGFORS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15643-2024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45404</v>
      </c>
      <c r="E772" s="1" t="n">
        <v>46253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45793</v>
      </c>
      <c r="E773" s="1" t="n">
        <v>46253</v>
      </c>
      <c r="F773" t="inlineStr">
        <is>
          <t>VÄRMLANDS LÄN</t>
        </is>
      </c>
      <c r="G773" t="inlineStr">
        <is>
          <t>HAGFORS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24435-2025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45797</v>
      </c>
      <c r="E774" s="1" t="n">
        <v>46253</v>
      </c>
      <c r="F774" t="inlineStr">
        <is>
          <t>VÄRMLANDS LÄN</t>
        </is>
      </c>
      <c r="G774" t="inlineStr">
        <is>
          <t>HAGFORS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16798-2025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45754</v>
      </c>
      <c r="E775" s="1" t="n">
        <v>46253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24434-2025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45797</v>
      </c>
      <c r="E776" s="1" t="n">
        <v>46253</v>
      </c>
      <c r="F776" t="inlineStr">
        <is>
          <t>VÄRMLANDS LÄN</t>
        </is>
      </c>
      <c r="G776" t="inlineStr">
        <is>
          <t>HAGFORS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13524-2025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45736</v>
      </c>
      <c r="E777" s="1" t="n">
        <v>46253</v>
      </c>
      <c r="F777" t="inlineStr">
        <is>
          <t>VÄRMLANDS LÄN</t>
        </is>
      </c>
      <c r="G777" t="inlineStr">
        <is>
          <t>HAGFORS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24438-2025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45797</v>
      </c>
      <c r="E778" s="1" t="n">
        <v>46253</v>
      </c>
      <c r="F778" t="inlineStr">
        <is>
          <t>VÄRMLANDS LÄN</t>
        </is>
      </c>
      <c r="G778" t="inlineStr">
        <is>
          <t>HAGFORS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24895-2025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45799</v>
      </c>
      <c r="E779" s="1" t="n">
        <v>46253</v>
      </c>
      <c r="F779" t="inlineStr">
        <is>
          <t>VÄRMLANDS LÄN</t>
        </is>
      </c>
      <c r="G779" t="inlineStr">
        <is>
          <t>HAGFORS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24793-2025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45799</v>
      </c>
      <c r="E780" s="1" t="n">
        <v>46253</v>
      </c>
      <c r="F780" t="inlineStr">
        <is>
          <t>VÄRMLANDS LÄN</t>
        </is>
      </c>
      <c r="G780" t="inlineStr">
        <is>
          <t>HAGFORS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25031-2025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45799</v>
      </c>
      <c r="E781" s="1" t="n">
        <v>46253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2225-2020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44127</v>
      </c>
      <c r="E782" s="1" t="n">
        <v>46253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2050-2022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44671</v>
      </c>
      <c r="E783" s="1" t="n">
        <v>46253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937-2022</t>
        </is>
      </c>
      <c r="B784" t="inlineStr">
        <is>
          <t>samrådsanmälan</t>
        </is>
      </c>
      <c r="C784" t="inlineStr">
        <is>
          <t>Skogsgödsling</t>
        </is>
      </c>
      <c r="D784" s="1" t="n">
        <v>44606</v>
      </c>
      <c r="E784" s="1" t="n">
        <v>46253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59.4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931-2022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44606</v>
      </c>
      <c r="E785" s="1" t="n">
        <v>46253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49.5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262-2022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44578</v>
      </c>
      <c r="E786" s="1" t="n">
        <v>46253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78.90000000000001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907-2022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44606</v>
      </c>
      <c r="E787" s="1" t="n">
        <v>46253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913-2022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44606</v>
      </c>
      <c r="E788" s="1" t="n">
        <v>46253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22.4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898-2022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46253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24.9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900-2022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46253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914-2022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46253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19.3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4419-2023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45266</v>
      </c>
      <c r="E792" s="1" t="n">
        <v>46253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35.6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4420-2023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44.2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4426-2023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46253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9.699999999999999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5512-2022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44834</v>
      </c>
      <c r="E795" s="1" t="n">
        <v>46253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46253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6970-2022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44901</v>
      </c>
      <c r="E797" s="1" t="n">
        <v>46253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29.3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4408-2023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46253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6968-2022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44901</v>
      </c>
      <c r="E799" s="1" t="n">
        <v>46253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19.3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4423-2023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46253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4418-2023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46253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651-2024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45356</v>
      </c>
      <c r="E802" s="1" t="n">
        <v>46253</v>
      </c>
      <c r="F802" t="inlineStr">
        <is>
          <t>VÄRMLANDS LÄN</t>
        </is>
      </c>
      <c r="G802" t="inlineStr">
        <is>
          <t>HAGFORS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4145-2023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45247</v>
      </c>
      <c r="E803" s="1" t="n">
        <v>46253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6967-2022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44901</v>
      </c>
      <c r="E804" s="1" t="n">
        <v>46253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89-2025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45316</v>
      </c>
      <c r="E805" s="1" t="n">
        <v>46253</v>
      </c>
      <c r="F805" t="inlineStr">
        <is>
          <t>VÄRMLANDS LÄN</t>
        </is>
      </c>
      <c r="G805" t="inlineStr">
        <is>
          <t>HAGFORS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6969-2022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46253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220-2025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45680</v>
      </c>
      <c r="E807" s="1" t="n">
        <v>46253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4150-2023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45247</v>
      </c>
      <c r="E808" s="1" t="n">
        <v>46253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34.4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4410-2023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46253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39.3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4409-2023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46253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4155-2023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45247</v>
      </c>
      <c r="E811" s="1" t="n">
        <v>46253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4140-2023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6977-2022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46253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6973-2022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44901</v>
      </c>
      <c r="E814" s="1" t="n">
        <v>46253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4143-2023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46253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4407-2023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46253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6965-2022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46253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662-2025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45716</v>
      </c>
      <c r="E818" s="1" t="n">
        <v>46253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52.4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108-2026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46037</v>
      </c>
      <c r="E819" s="1" t="n">
        <v>46253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204.4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46036</v>
      </c>
      <c r="E820" s="1" t="n">
        <v>46253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57.9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60-2026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46013</v>
      </c>
      <c r="E821" s="1" t="n">
        <v>46253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382-2025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45691</v>
      </c>
      <c r="E822" s="1" t="n">
        <v>46253</v>
      </c>
      <c r="F822" t="inlineStr">
        <is>
          <t>VÄRMLANDS LÄN</t>
        </is>
      </c>
      <c r="G822" t="inlineStr">
        <is>
          <t>HAGFORS</t>
        </is>
      </c>
      <c r="I822" t="n">
        <v>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2026-08-19T01:45:10Z</dcterms:created>
  <dcterms:modified xmlns:dcterms="http://purl.org/dc/terms/" xmlns:xsi="http://www.w3.org/2001/XMLSchema-instance" xsi:type="dcterms:W3CDTF">2026-08-19T01:45:11Z</dcterms:modified>
</cp:coreProperties>
</file>