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45968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45968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45968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45968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45968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45968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45968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45968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45968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45968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45968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45968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45968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45968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45968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45968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45968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45968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45968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24885-2025</t>
        </is>
      </c>
      <c r="B21" s="1" t="n">
        <v>45799.50837962963</v>
      </c>
      <c r="C21" s="1" t="n">
        <v>45968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Mörk husmossa</t>
        </is>
      </c>
      <c r="S21">
        <f>HYPERLINK("https://klasma.github.io/Logging_1783/artfynd/A 24885-2025 artfynd.xlsx", "A 24885-2025")</f>
        <v/>
      </c>
      <c r="T21">
        <f>HYPERLINK("https://klasma.github.io/Logging_1783/kartor/A 24885-2025 karta.png", "A 24885-2025")</f>
        <v/>
      </c>
      <c r="V21">
        <f>HYPERLINK("https://klasma.github.io/Logging_1783/klagomål/A 24885-2025 FSC-klagomål.docx", "A 24885-2025")</f>
        <v/>
      </c>
      <c r="W21">
        <f>HYPERLINK("https://klasma.github.io/Logging_1783/klagomålsmail/A 24885-2025 FSC-klagomål mail.docx", "A 24885-2025")</f>
        <v/>
      </c>
      <c r="X21">
        <f>HYPERLINK("https://klasma.github.io/Logging_1783/tillsyn/A 24885-2025 tillsynsbegäran.docx", "A 24885-2025")</f>
        <v/>
      </c>
      <c r="Y21">
        <f>HYPERLINK("https://klasma.github.io/Logging_1783/tillsynsmail/A 24885-2025 tillsynsbegäran mail.docx", "A 24885-2025")</f>
        <v/>
      </c>
    </row>
    <row r="22" ht="15" customHeight="1">
      <c r="A22" t="inlineStr">
        <is>
          <t>A 26624-2025</t>
        </is>
      </c>
      <c r="B22" s="1" t="n">
        <v>45810</v>
      </c>
      <c r="C22" s="1" t="n">
        <v>45968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HYPERLINK("https://klasma.github.io/Logging_1783/artfynd/A 26624-2025 artfynd.xlsx", "A 26624-2025")</f>
        <v/>
      </c>
      <c r="T22">
        <f>HYPERLINK("https://klasma.github.io/Logging_1783/kartor/A 26624-2025 karta.png", "A 26624-2025")</f>
        <v/>
      </c>
      <c r="V22">
        <f>HYPERLINK("https://klasma.github.io/Logging_1783/klagomål/A 26624-2025 FSC-klagomål.docx", "A 26624-2025")</f>
        <v/>
      </c>
      <c r="W22">
        <f>HYPERLINK("https://klasma.github.io/Logging_1783/klagomålsmail/A 26624-2025 FSC-klagomål mail.docx", "A 26624-2025")</f>
        <v/>
      </c>
      <c r="X22">
        <f>HYPERLINK("https://klasma.github.io/Logging_1783/tillsyn/A 26624-2025 tillsynsbegäran.docx", "A 26624-2025")</f>
        <v/>
      </c>
      <c r="Y22">
        <f>HYPERLINK("https://klasma.github.io/Logging_1783/tillsynsmail/A 26624-2025 tillsynsbegäran mail.docx", "A 26624-2025")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45968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45968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45968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51839-2024</t>
        </is>
      </c>
      <c r="B26" s="1" t="n">
        <v>45607</v>
      </c>
      <c r="C26" s="1" t="n">
        <v>45968</v>
      </c>
      <c r="D26" t="inlineStr">
        <is>
          <t>VÄRMLANDS LÄN</t>
        </is>
      </c>
      <c r="E26" t="inlineStr">
        <is>
          <t>HAGFORS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51839-2024 artfynd.xlsx", "A 51839-2024")</f>
        <v/>
      </c>
      <c r="T26">
        <f>HYPERLINK("https://klasma.github.io/Logging_1783/kartor/A 51839-2024 karta.png", "A 51839-2024")</f>
        <v/>
      </c>
      <c r="V26">
        <f>HYPERLINK("https://klasma.github.io/Logging_1783/klagomål/A 51839-2024 FSC-klagomål.docx", "A 51839-2024")</f>
        <v/>
      </c>
      <c r="W26">
        <f>HYPERLINK("https://klasma.github.io/Logging_1783/klagomålsmail/A 51839-2024 FSC-klagomål mail.docx", "A 51839-2024")</f>
        <v/>
      </c>
      <c r="X26">
        <f>HYPERLINK("https://klasma.github.io/Logging_1783/tillsyn/A 51839-2024 tillsynsbegäran.docx", "A 51839-2024")</f>
        <v/>
      </c>
      <c r="Y26">
        <f>HYPERLINK("https://klasma.github.io/Logging_1783/tillsynsmail/A 51839-2024 tillsynsbegäran mail.docx", "A 51839-2024")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45968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45968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45264-2024</t>
        </is>
      </c>
      <c r="B29" s="1" t="n">
        <v>45576</v>
      </c>
      <c r="C29" s="1" t="n">
        <v>45968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HYPERLINK("https://klasma.github.io/Logging_1783/artfynd/A 45264-2024 artfynd.xlsx", "A 45264-2024")</f>
        <v/>
      </c>
      <c r="T29">
        <f>HYPERLINK("https://klasma.github.io/Logging_1783/kartor/A 45264-2024 karta.png", "A 45264-2024")</f>
        <v/>
      </c>
      <c r="V29">
        <f>HYPERLINK("https://klasma.github.io/Logging_1783/klagomål/A 45264-2024 FSC-klagomål.docx", "A 45264-2024")</f>
        <v/>
      </c>
      <c r="W29">
        <f>HYPERLINK("https://klasma.github.io/Logging_1783/klagomålsmail/A 45264-2024 FSC-klagomål mail.docx", "A 45264-2024")</f>
        <v/>
      </c>
      <c r="X29">
        <f>HYPERLINK("https://klasma.github.io/Logging_1783/tillsyn/A 45264-2024 tillsynsbegäran.docx", "A 45264-2024")</f>
        <v/>
      </c>
      <c r="Y29">
        <f>HYPERLINK("https://klasma.github.io/Logging_1783/tillsynsmail/A 45264-2024 tillsynsbegäran mail.docx", "A 45264-2024")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45968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45968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45968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18623-2025</t>
        </is>
      </c>
      <c r="B33" s="1" t="n">
        <v>45763</v>
      </c>
      <c r="C33" s="1" t="n">
        <v>45968</v>
      </c>
      <c r="D33" t="inlineStr">
        <is>
          <t>VÄRMLANDS LÄN</t>
        </is>
      </c>
      <c r="E33" t="inlineStr">
        <is>
          <t>HAGFORS</t>
        </is>
      </c>
      <c r="G33" t="n">
        <v>6.3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HYPERLINK("https://klasma.github.io/Logging_1783/artfynd/A 18623-2025 artfynd.xlsx", "A 18623-2025")</f>
        <v/>
      </c>
      <c r="T33">
        <f>HYPERLINK("https://klasma.github.io/Logging_1783/kartor/A 18623-2025 karta.png", "A 18623-2025")</f>
        <v/>
      </c>
      <c r="U33">
        <f>HYPERLINK("https://klasma.github.io/Logging_1783/knärot/A 18623-2025 karta knärot.png", "A 18623-2025")</f>
        <v/>
      </c>
      <c r="V33">
        <f>HYPERLINK("https://klasma.github.io/Logging_1783/klagomål/A 18623-2025 FSC-klagomål.docx", "A 18623-2025")</f>
        <v/>
      </c>
      <c r="W33">
        <f>HYPERLINK("https://klasma.github.io/Logging_1783/klagomålsmail/A 18623-2025 FSC-klagomål mail.docx", "A 18623-2025")</f>
        <v/>
      </c>
      <c r="X33">
        <f>HYPERLINK("https://klasma.github.io/Logging_1783/tillsyn/A 18623-2025 tillsynsbegäran.docx", "A 18623-2025")</f>
        <v/>
      </c>
      <c r="Y33">
        <f>HYPERLINK("https://klasma.github.io/Logging_1783/tillsynsmail/A 18623-2025 tillsynsbegäran mail.docx", "A 18623-2025")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45968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15219-2025</t>
        </is>
      </c>
      <c r="B35" s="1" t="n">
        <v>45744.58121527778</v>
      </c>
      <c r="C35" s="1" t="n">
        <v>45968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15.8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Borsttagging</t>
        </is>
      </c>
      <c r="S35">
        <f>HYPERLINK("https://klasma.github.io/Logging_1783/artfynd/A 15219-2025 artfynd.xlsx", "A 15219-2025")</f>
        <v/>
      </c>
      <c r="T35">
        <f>HYPERLINK("https://klasma.github.io/Logging_1783/kartor/A 15219-2025 karta.png", "A 15219-2025")</f>
        <v/>
      </c>
      <c r="V35">
        <f>HYPERLINK("https://klasma.github.io/Logging_1783/klagomål/A 15219-2025 FSC-klagomål.docx", "A 15219-2025")</f>
        <v/>
      </c>
      <c r="W35">
        <f>HYPERLINK("https://klasma.github.io/Logging_1783/klagomålsmail/A 15219-2025 FSC-klagomål mail.docx", "A 15219-2025")</f>
        <v/>
      </c>
      <c r="X35">
        <f>HYPERLINK("https://klasma.github.io/Logging_1783/tillsyn/A 15219-2025 tillsynsbegäran.docx", "A 15219-2025")</f>
        <v/>
      </c>
      <c r="Y35">
        <f>HYPERLINK("https://klasma.github.io/Logging_1783/tillsynsmail/A 15219-2025 tillsynsbegäran mail.docx", "A 15219-2025")</f>
        <v/>
      </c>
    </row>
    <row r="36" ht="15" customHeight="1">
      <c r="A36" t="inlineStr">
        <is>
          <t>A 42739-2022</t>
        </is>
      </c>
      <c r="B36" s="1" t="n">
        <v>44832.45053240741</v>
      </c>
      <c r="C36" s="1" t="n">
        <v>45968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45968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45968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45968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45968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45968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45968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45968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45968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45968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45968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45968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22642-2021</t>
        </is>
      </c>
      <c r="B48" s="1" t="n">
        <v>44327.485625</v>
      </c>
      <c r="C48" s="1" t="n">
        <v>45968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45968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45968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45968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45968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45968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45968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45968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45968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45968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45968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45968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45968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45968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45968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45968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45968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45968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45968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45968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45968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45968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63473-2020</t>
        </is>
      </c>
      <c r="B70" s="1" t="n">
        <v>44161</v>
      </c>
      <c r="C70" s="1" t="n">
        <v>45968</v>
      </c>
      <c r="D70" t="inlineStr">
        <is>
          <t>VÄRMLANDS LÄN</t>
        </is>
      </c>
      <c r="E70" t="inlineStr">
        <is>
          <t>HAGFORS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45968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45968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45968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7606-2021</t>
        </is>
      </c>
      <c r="B74" s="1" t="n">
        <v>44241</v>
      </c>
      <c r="C74" s="1" t="n">
        <v>45968</v>
      </c>
      <c r="D74" t="inlineStr">
        <is>
          <t>VÄRMLANDS LÄN</t>
        </is>
      </c>
      <c r="E74" t="inlineStr">
        <is>
          <t>HAGFORS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45968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45968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45968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45968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45968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45968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45968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45968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45968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45968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45968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58548-2020</t>
        </is>
      </c>
      <c r="B86" s="1" t="n">
        <v>44145</v>
      </c>
      <c r="C86" s="1" t="n">
        <v>45968</v>
      </c>
      <c r="D86" t="inlineStr">
        <is>
          <t>VÄRMLANDS LÄN</t>
        </is>
      </c>
      <c r="E86" t="inlineStr">
        <is>
          <t>HAGFORS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66141-2020</t>
        </is>
      </c>
      <c r="B87" s="1" t="n">
        <v>44175</v>
      </c>
      <c r="C87" s="1" t="n">
        <v>45968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68252-2021</t>
        </is>
      </c>
      <c r="B88" s="1" t="n">
        <v>44526</v>
      </c>
      <c r="C88" s="1" t="n">
        <v>45968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17923-2022</t>
        </is>
      </c>
      <c r="B89" s="1" t="n">
        <v>44683</v>
      </c>
      <c r="C89" s="1" t="n">
        <v>45968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43473-2021</t>
        </is>
      </c>
      <c r="B90" s="1" t="n">
        <v>44432</v>
      </c>
      <c r="C90" s="1" t="n">
        <v>45968</v>
      </c>
      <c r="D90" t="inlineStr">
        <is>
          <t>VÄRMLANDS LÄN</t>
        </is>
      </c>
      <c r="E90" t="inlineStr">
        <is>
          <t>HAGFORS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33107-2021</t>
        </is>
      </c>
      <c r="B91" s="1" t="n">
        <v>44376</v>
      </c>
      <c r="C91" s="1" t="n">
        <v>45968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37773-2022</t>
        </is>
      </c>
      <c r="B92" s="1" t="n">
        <v>44810.64122685185</v>
      </c>
      <c r="C92" s="1" t="n">
        <v>45968</v>
      </c>
      <c r="D92" t="inlineStr">
        <is>
          <t>VÄRMLANDS LÄN</t>
        </is>
      </c>
      <c r="E92" t="inlineStr">
        <is>
          <t>HAGFORS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28703-2021</t>
        </is>
      </c>
      <c r="B93" s="1" t="n">
        <v>44357.43211805556</v>
      </c>
      <c r="C93" s="1" t="n">
        <v>45968</v>
      </c>
      <c r="D93" t="inlineStr">
        <is>
          <t>VÄRMLANDS LÄN</t>
        </is>
      </c>
      <c r="E93" t="inlineStr">
        <is>
          <t>HAGFORS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27045-2022</t>
        </is>
      </c>
      <c r="B94" s="1" t="n">
        <v>44741.31314814815</v>
      </c>
      <c r="C94" s="1" t="n">
        <v>45968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48203-2022</t>
        </is>
      </c>
      <c r="B95" s="1" t="n">
        <v>44858</v>
      </c>
      <c r="C95" s="1" t="n">
        <v>45968</v>
      </c>
      <c r="D95" t="inlineStr">
        <is>
          <t>VÄRMLANDS LÄN</t>
        </is>
      </c>
      <c r="E95" t="inlineStr">
        <is>
          <t>HAGFORS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40601-2021</t>
        </is>
      </c>
      <c r="B96" s="1" t="n">
        <v>44420.48331018518</v>
      </c>
      <c r="C96" s="1" t="n">
        <v>45968</v>
      </c>
      <c r="D96" t="inlineStr">
        <is>
          <t>VÄRMLANDS LÄN</t>
        </is>
      </c>
      <c r="E96" t="inlineStr">
        <is>
          <t>HAGFORS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65565-2021</t>
        </is>
      </c>
      <c r="B97" s="1" t="n">
        <v>44516</v>
      </c>
      <c r="C97" s="1" t="n">
        <v>45968</v>
      </c>
      <c r="D97" t="inlineStr">
        <is>
          <t>VÄRMLANDS LÄN</t>
        </is>
      </c>
      <c r="E97" t="inlineStr">
        <is>
          <t>HAGFORS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10096-2021</t>
        </is>
      </c>
      <c r="B98" s="1" t="n">
        <v>44256</v>
      </c>
      <c r="C98" s="1" t="n">
        <v>45968</v>
      </c>
      <c r="D98" t="inlineStr">
        <is>
          <t>VÄRMLANDS LÄN</t>
        </is>
      </c>
      <c r="E98" t="inlineStr">
        <is>
          <t>HAGFORS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63478-2020</t>
        </is>
      </c>
      <c r="B99" s="1" t="n">
        <v>44161</v>
      </c>
      <c r="C99" s="1" t="n">
        <v>45968</v>
      </c>
      <c r="D99" t="inlineStr">
        <is>
          <t>VÄRMLANDS LÄN</t>
        </is>
      </c>
      <c r="E99" t="inlineStr">
        <is>
          <t>HAGFORS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2428-2021</t>
        </is>
      </c>
      <c r="B100" s="1" t="n">
        <v>44214</v>
      </c>
      <c r="C100" s="1" t="n">
        <v>45968</v>
      </c>
      <c r="D100" t="inlineStr">
        <is>
          <t>VÄRMLANDS LÄN</t>
        </is>
      </c>
      <c r="E100" t="inlineStr">
        <is>
          <t>HAGFORS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17402-2022</t>
        </is>
      </c>
      <c r="B101" s="1" t="n">
        <v>44678</v>
      </c>
      <c r="C101" s="1" t="n">
        <v>45968</v>
      </c>
      <c r="D101" t="inlineStr">
        <is>
          <t>VÄRMLANDS LÄN</t>
        </is>
      </c>
      <c r="E101" t="inlineStr">
        <is>
          <t>HAGFORS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40651-2021</t>
        </is>
      </c>
      <c r="B102" s="1" t="n">
        <v>44420.56142361111</v>
      </c>
      <c r="C102" s="1" t="n">
        <v>45968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21442-2022</t>
        </is>
      </c>
      <c r="B103" s="1" t="n">
        <v>44706</v>
      </c>
      <c r="C103" s="1" t="n">
        <v>45968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39698-2021</t>
        </is>
      </c>
      <c r="B104" s="1" t="n">
        <v>44417</v>
      </c>
      <c r="C104" s="1" t="n">
        <v>45968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8577-2022</t>
        </is>
      </c>
      <c r="B105" s="1" t="n">
        <v>44613.54695601852</v>
      </c>
      <c r="C105" s="1" t="n">
        <v>45968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31937-2021</t>
        </is>
      </c>
      <c r="B106" s="1" t="n">
        <v>44370</v>
      </c>
      <c r="C106" s="1" t="n">
        <v>45968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40675-2021</t>
        </is>
      </c>
      <c r="B107" s="1" t="n">
        <v>44420.5846875</v>
      </c>
      <c r="C107" s="1" t="n">
        <v>45968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5202-2022</t>
        </is>
      </c>
      <c r="B108" s="1" t="n">
        <v>44594</v>
      </c>
      <c r="C108" s="1" t="n">
        <v>45968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8378-2021</t>
        </is>
      </c>
      <c r="B109" s="1" t="n">
        <v>44245</v>
      </c>
      <c r="C109" s="1" t="n">
        <v>45968</v>
      </c>
      <c r="D109" t="inlineStr">
        <is>
          <t>VÄRMLANDS LÄN</t>
        </is>
      </c>
      <c r="E109" t="inlineStr">
        <is>
          <t>HAGFORS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72365-2021</t>
        </is>
      </c>
      <c r="B110" s="1" t="n">
        <v>44545</v>
      </c>
      <c r="C110" s="1" t="n">
        <v>45968</v>
      </c>
      <c r="D110" t="inlineStr">
        <is>
          <t>VÄRMLANDS LÄN</t>
        </is>
      </c>
      <c r="E110" t="inlineStr">
        <is>
          <t>HAGFORS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66091-2020</t>
        </is>
      </c>
      <c r="B111" s="1" t="n">
        <v>44175</v>
      </c>
      <c r="C111" s="1" t="n">
        <v>45968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43475-2022</t>
        </is>
      </c>
      <c r="B112" s="1" t="n">
        <v>44836.91193287037</v>
      </c>
      <c r="C112" s="1" t="n">
        <v>45968</v>
      </c>
      <c r="D112" t="inlineStr">
        <is>
          <t>VÄRMLANDS LÄN</t>
        </is>
      </c>
      <c r="E112" t="inlineStr">
        <is>
          <t>HAGFORS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51759-2022</t>
        </is>
      </c>
      <c r="B113" s="1" t="n">
        <v>44872.51354166667</v>
      </c>
      <c r="C113" s="1" t="n">
        <v>45968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6708-2022</t>
        </is>
      </c>
      <c r="B114" s="1" t="n">
        <v>44602.43873842592</v>
      </c>
      <c r="C114" s="1" t="n">
        <v>45968</v>
      </c>
      <c r="D114" t="inlineStr">
        <is>
          <t>VÄRMLANDS LÄN</t>
        </is>
      </c>
      <c r="E114" t="inlineStr">
        <is>
          <t>HAGFORS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53757-2021</t>
        </is>
      </c>
      <c r="B115" s="1" t="n">
        <v>44469</v>
      </c>
      <c r="C115" s="1" t="n">
        <v>45968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23116-2022</t>
        </is>
      </c>
      <c r="B116" s="1" t="n">
        <v>44719</v>
      </c>
      <c r="C116" s="1" t="n">
        <v>45968</v>
      </c>
      <c r="D116" t="inlineStr">
        <is>
          <t>VÄRMLANDS LÄN</t>
        </is>
      </c>
      <c r="E116" t="inlineStr">
        <is>
          <t>HAGFORS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30707-2022</t>
        </is>
      </c>
      <c r="B117" s="1" t="n">
        <v>44763.73310185185</v>
      </c>
      <c r="C117" s="1" t="n">
        <v>45968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66165-2020</t>
        </is>
      </c>
      <c r="B118" s="1" t="n">
        <v>44175</v>
      </c>
      <c r="C118" s="1" t="n">
        <v>45968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62835-2020</t>
        </is>
      </c>
      <c r="B119" s="1" t="n">
        <v>44161</v>
      </c>
      <c r="C119" s="1" t="n">
        <v>45968</v>
      </c>
      <c r="D119" t="inlineStr">
        <is>
          <t>VÄRMLANDS LÄN</t>
        </is>
      </c>
      <c r="E119" t="inlineStr">
        <is>
          <t>HAGFORS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61232-2024</t>
        </is>
      </c>
      <c r="B120" s="1" t="n">
        <v>45645</v>
      </c>
      <c r="C120" s="1" t="n">
        <v>45968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70713-2021</t>
        </is>
      </c>
      <c r="B121" s="1" t="n">
        <v>44537</v>
      </c>
      <c r="C121" s="1" t="n">
        <v>45968</v>
      </c>
      <c r="D121" t="inlineStr">
        <is>
          <t>VÄRMLANDS LÄN</t>
        </is>
      </c>
      <c r="E121" t="inlineStr">
        <is>
          <t>HAGFORS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3681-2024</t>
        </is>
      </c>
      <c r="B122" s="1" t="n">
        <v>45321</v>
      </c>
      <c r="C122" s="1" t="n">
        <v>45968</v>
      </c>
      <c r="D122" t="inlineStr">
        <is>
          <t>VÄRMLANDS LÄN</t>
        </is>
      </c>
      <c r="E122" t="inlineStr">
        <is>
          <t>HAGFORS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28594-2023</t>
        </is>
      </c>
      <c r="B123" s="1" t="n">
        <v>45103.57027777778</v>
      </c>
      <c r="C123" s="1" t="n">
        <v>45968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15738-2022</t>
        </is>
      </c>
      <c r="B124" s="1" t="n">
        <v>44663</v>
      </c>
      <c r="C124" s="1" t="n">
        <v>45968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7304-2022</t>
        </is>
      </c>
      <c r="B125" s="1" t="n">
        <v>44606</v>
      </c>
      <c r="C125" s="1" t="n">
        <v>45968</v>
      </c>
      <c r="D125" t="inlineStr">
        <is>
          <t>VÄRMLANDS LÄN</t>
        </is>
      </c>
      <c r="E125" t="inlineStr">
        <is>
          <t>HAGFORS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34219-2022</t>
        </is>
      </c>
      <c r="B126" s="1" t="n">
        <v>44791.68009259259</v>
      </c>
      <c r="C126" s="1" t="n">
        <v>45968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35622-2022</t>
        </is>
      </c>
      <c r="B127" s="1" t="n">
        <v>44799.50680555555</v>
      </c>
      <c r="C127" s="1" t="n">
        <v>45968</v>
      </c>
      <c r="D127" t="inlineStr">
        <is>
          <t>VÄRMLANDS LÄN</t>
        </is>
      </c>
      <c r="E127" t="inlineStr">
        <is>
          <t>HAGFORS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20436-2022</t>
        </is>
      </c>
      <c r="B128" s="1" t="n">
        <v>44699.56317129629</v>
      </c>
      <c r="C128" s="1" t="n">
        <v>45968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3199-2022</t>
        </is>
      </c>
      <c r="B129" s="1" t="n">
        <v>44582</v>
      </c>
      <c r="C129" s="1" t="n">
        <v>45968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39059-2022</t>
        </is>
      </c>
      <c r="B130" s="1" t="n">
        <v>44817</v>
      </c>
      <c r="C130" s="1" t="n">
        <v>45968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48210-2022</t>
        </is>
      </c>
      <c r="B131" s="1" t="n">
        <v>44858</v>
      </c>
      <c r="C131" s="1" t="n">
        <v>45968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72375-2021</t>
        </is>
      </c>
      <c r="B132" s="1" t="n">
        <v>44545</v>
      </c>
      <c r="C132" s="1" t="n">
        <v>45968</v>
      </c>
      <c r="D132" t="inlineStr">
        <is>
          <t>VÄRMLANDS LÄN</t>
        </is>
      </c>
      <c r="E132" t="inlineStr">
        <is>
          <t>HAGFORS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53419-2022</t>
        </is>
      </c>
      <c r="B133" s="1" t="n">
        <v>44879</v>
      </c>
      <c r="C133" s="1" t="n">
        <v>45968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14850-2025</t>
        </is>
      </c>
      <c r="B134" s="1" t="n">
        <v>45743</v>
      </c>
      <c r="C134" s="1" t="n">
        <v>45968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6910-2024</t>
        </is>
      </c>
      <c r="B135" s="1" t="n">
        <v>45343.26494212963</v>
      </c>
      <c r="C135" s="1" t="n">
        <v>45968</v>
      </c>
      <c r="D135" t="inlineStr">
        <is>
          <t>VÄRMLANDS LÄN</t>
        </is>
      </c>
      <c r="E135" t="inlineStr">
        <is>
          <t>HAGFORS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34529-2023</t>
        </is>
      </c>
      <c r="B136" s="1" t="n">
        <v>45140.4346412037</v>
      </c>
      <c r="C136" s="1" t="n">
        <v>45968</v>
      </c>
      <c r="D136" t="inlineStr">
        <is>
          <t>VÄRMLANDS LÄN</t>
        </is>
      </c>
      <c r="E136" t="inlineStr">
        <is>
          <t>HAGFORS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42423-2022</t>
        </is>
      </c>
      <c r="B137" s="1" t="n">
        <v>44830</v>
      </c>
      <c r="C137" s="1" t="n">
        <v>45968</v>
      </c>
      <c r="D137" t="inlineStr">
        <is>
          <t>VÄRMLANDS LÄN</t>
        </is>
      </c>
      <c r="E137" t="inlineStr">
        <is>
          <t>HAGFORS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9474-2025</t>
        </is>
      </c>
      <c r="B138" s="1" t="n">
        <v>45715.47229166667</v>
      </c>
      <c r="C138" s="1" t="n">
        <v>45968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18131-2024</t>
        </is>
      </c>
      <c r="B139" s="1" t="n">
        <v>45420.56835648148</v>
      </c>
      <c r="C139" s="1" t="n">
        <v>45968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14464-2025</t>
        </is>
      </c>
      <c r="B140" s="1" t="n">
        <v>45741.57142361111</v>
      </c>
      <c r="C140" s="1" t="n">
        <v>45968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55950-2024</t>
        </is>
      </c>
      <c r="B141" s="1" t="n">
        <v>45623</v>
      </c>
      <c r="C141" s="1" t="n">
        <v>45968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60221-2023</t>
        </is>
      </c>
      <c r="B142" s="1" t="n">
        <v>45258</v>
      </c>
      <c r="C142" s="1" t="n">
        <v>45968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54757-2022</t>
        </is>
      </c>
      <c r="B143" s="1" t="n">
        <v>44883.60331018519</v>
      </c>
      <c r="C143" s="1" t="n">
        <v>45968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23441-2025</t>
        </is>
      </c>
      <c r="B144" s="1" t="n">
        <v>45792.37693287037</v>
      </c>
      <c r="C144" s="1" t="n">
        <v>45968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23556-2025</t>
        </is>
      </c>
      <c r="B145" s="1" t="n">
        <v>45792.58064814815</v>
      </c>
      <c r="C145" s="1" t="n">
        <v>45968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18934-2025</t>
        </is>
      </c>
      <c r="B146" s="1" t="n">
        <v>45764</v>
      </c>
      <c r="C146" s="1" t="n">
        <v>45968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23525-2025</t>
        </is>
      </c>
      <c r="B147" s="1" t="n">
        <v>45792.52019675926</v>
      </c>
      <c r="C147" s="1" t="n">
        <v>45968</v>
      </c>
      <c r="D147" t="inlineStr">
        <is>
          <t>VÄRMLANDS LÄN</t>
        </is>
      </c>
      <c r="E147" t="inlineStr">
        <is>
          <t>HAGFORS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45238-2024</t>
        </is>
      </c>
      <c r="B148" s="1" t="n">
        <v>45575.8860300926</v>
      </c>
      <c r="C148" s="1" t="n">
        <v>45968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61981-2024</t>
        </is>
      </c>
      <c r="B149" s="1" t="n">
        <v>45653.66377314815</v>
      </c>
      <c r="C149" s="1" t="n">
        <v>45968</v>
      </c>
      <c r="D149" t="inlineStr">
        <is>
          <t>VÄRMLANDS LÄN</t>
        </is>
      </c>
      <c r="E149" t="inlineStr">
        <is>
          <t>HAGFORS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23674-2025</t>
        </is>
      </c>
      <c r="B150" s="1" t="n">
        <v>45793.30849537037</v>
      </c>
      <c r="C150" s="1" t="n">
        <v>45968</v>
      </c>
      <c r="D150" t="inlineStr">
        <is>
          <t>VÄRMLANDS LÄN</t>
        </is>
      </c>
      <c r="E150" t="inlineStr">
        <is>
          <t>HAGFORS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35668-2023</t>
        </is>
      </c>
      <c r="B151" s="1" t="n">
        <v>45147.61315972222</v>
      </c>
      <c r="C151" s="1" t="n">
        <v>45968</v>
      </c>
      <c r="D151" t="inlineStr">
        <is>
          <t>VÄRMLANDS LÄN</t>
        </is>
      </c>
      <c r="E151" t="inlineStr">
        <is>
          <t>HAGFORS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23712-2025</t>
        </is>
      </c>
      <c r="B152" s="1" t="n">
        <v>45793</v>
      </c>
      <c r="C152" s="1" t="n">
        <v>45968</v>
      </c>
      <c r="D152" t="inlineStr">
        <is>
          <t>VÄRMLANDS LÄN</t>
        </is>
      </c>
      <c r="E152" t="inlineStr">
        <is>
          <t>HAGFORS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23888-2025</t>
        </is>
      </c>
      <c r="B153" s="1" t="n">
        <v>45793</v>
      </c>
      <c r="C153" s="1" t="n">
        <v>45968</v>
      </c>
      <c r="D153" t="inlineStr">
        <is>
          <t>VÄRMLANDS LÄN</t>
        </is>
      </c>
      <c r="E153" t="inlineStr">
        <is>
          <t>HAGFORS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23443-2025</t>
        </is>
      </c>
      <c r="B154" s="1" t="n">
        <v>45792.37883101852</v>
      </c>
      <c r="C154" s="1" t="n">
        <v>45968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30524-2022</t>
        </is>
      </c>
      <c r="B155" s="1" t="n">
        <v>44762</v>
      </c>
      <c r="C155" s="1" t="n">
        <v>45968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37085-2023</t>
        </is>
      </c>
      <c r="B156" s="1" t="n">
        <v>45155</v>
      </c>
      <c r="C156" s="1" t="n">
        <v>45968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54008-2024</t>
        </is>
      </c>
      <c r="B157" s="1" t="n">
        <v>45615</v>
      </c>
      <c r="C157" s="1" t="n">
        <v>45968</v>
      </c>
      <c r="D157" t="inlineStr">
        <is>
          <t>VÄRMLANDS LÄN</t>
        </is>
      </c>
      <c r="E157" t="inlineStr">
        <is>
          <t>HAGFORS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23951-2025</t>
        </is>
      </c>
      <c r="B158" s="1" t="n">
        <v>45796.36059027778</v>
      </c>
      <c r="C158" s="1" t="n">
        <v>45968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37463-2022</t>
        </is>
      </c>
      <c r="B159" s="1" t="n">
        <v>44809.5108912037</v>
      </c>
      <c r="C159" s="1" t="n">
        <v>45968</v>
      </c>
      <c r="D159" t="inlineStr">
        <is>
          <t>VÄRMLANDS LÄN</t>
        </is>
      </c>
      <c r="E159" t="inlineStr">
        <is>
          <t>HAGFORS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43309-2022</t>
        </is>
      </c>
      <c r="B160" s="1" t="n">
        <v>44834</v>
      </c>
      <c r="C160" s="1" t="n">
        <v>45968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16798-2025</t>
        </is>
      </c>
      <c r="B161" s="1" t="n">
        <v>45754</v>
      </c>
      <c r="C161" s="1" t="n">
        <v>45968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62461-2023</t>
        </is>
      </c>
      <c r="B162" s="1" t="n">
        <v>45268.51887731482</v>
      </c>
      <c r="C162" s="1" t="n">
        <v>45968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20466-2023</t>
        </is>
      </c>
      <c r="B163" s="1" t="n">
        <v>45057.29209490741</v>
      </c>
      <c r="C163" s="1" t="n">
        <v>45968</v>
      </c>
      <c r="D163" t="inlineStr">
        <is>
          <t>VÄRMLANDS LÄN</t>
        </is>
      </c>
      <c r="E163" t="inlineStr">
        <is>
          <t>HAGFORS</t>
        </is>
      </c>
      <c r="F163" t="inlineStr">
        <is>
          <t>Kyrkan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19783-2023</t>
        </is>
      </c>
      <c r="B164" s="1" t="n">
        <v>45051</v>
      </c>
      <c r="C164" s="1" t="n">
        <v>45968</v>
      </c>
      <c r="D164" t="inlineStr">
        <is>
          <t>VÄRMLANDS LÄN</t>
        </is>
      </c>
      <c r="E164" t="inlineStr">
        <is>
          <t>HAGFORS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55447-2022</t>
        </is>
      </c>
      <c r="B165" s="1" t="n">
        <v>44887.63310185185</v>
      </c>
      <c r="C165" s="1" t="n">
        <v>45968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59874-2023</t>
        </is>
      </c>
      <c r="B166" s="1" t="n">
        <v>45257.58802083333</v>
      </c>
      <c r="C166" s="1" t="n">
        <v>45968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49585-2023</t>
        </is>
      </c>
      <c r="B167" s="1" t="n">
        <v>45211.67328703704</v>
      </c>
      <c r="C167" s="1" t="n">
        <v>45968</v>
      </c>
      <c r="D167" t="inlineStr">
        <is>
          <t>VÄRMLANDS LÄN</t>
        </is>
      </c>
      <c r="E167" t="inlineStr">
        <is>
          <t>HAGFORS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5796-2024</t>
        </is>
      </c>
      <c r="B168" s="1" t="n">
        <v>45335.4540625</v>
      </c>
      <c r="C168" s="1" t="n">
        <v>45968</v>
      </c>
      <c r="D168" t="inlineStr">
        <is>
          <t>VÄRMLANDS LÄN</t>
        </is>
      </c>
      <c r="E168" t="inlineStr">
        <is>
          <t>HAGFORS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20447-2024</t>
        </is>
      </c>
      <c r="B169" s="1" t="n">
        <v>45435.62854166667</v>
      </c>
      <c r="C169" s="1" t="n">
        <v>45968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38612-2023</t>
        </is>
      </c>
      <c r="B170" s="1" t="n">
        <v>45162.65785879629</v>
      </c>
      <c r="C170" s="1" t="n">
        <v>45968</v>
      </c>
      <c r="D170" t="inlineStr">
        <is>
          <t>VÄRMLANDS LÄN</t>
        </is>
      </c>
      <c r="E170" t="inlineStr">
        <is>
          <t>HAGFORS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233-2025</t>
        </is>
      </c>
      <c r="B171" s="1" t="n">
        <v>45660.37150462963</v>
      </c>
      <c r="C171" s="1" t="n">
        <v>45968</v>
      </c>
      <c r="D171" t="inlineStr">
        <is>
          <t>VÄRMLANDS LÄN</t>
        </is>
      </c>
      <c r="E171" t="inlineStr">
        <is>
          <t>HAGFORS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60582-2024</t>
        </is>
      </c>
      <c r="B172" s="1" t="n">
        <v>45644.34481481482</v>
      </c>
      <c r="C172" s="1" t="n">
        <v>45968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53813-2024</t>
        </is>
      </c>
      <c r="B173" s="1" t="n">
        <v>45615.60076388889</v>
      </c>
      <c r="C173" s="1" t="n">
        <v>45968</v>
      </c>
      <c r="D173" t="inlineStr">
        <is>
          <t>VÄRMLANDS LÄN</t>
        </is>
      </c>
      <c r="E173" t="inlineStr">
        <is>
          <t>HAGFORS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44906-2024</t>
        </is>
      </c>
      <c r="B174" s="1" t="n">
        <v>45575</v>
      </c>
      <c r="C174" s="1" t="n">
        <v>45968</v>
      </c>
      <c r="D174" t="inlineStr">
        <is>
          <t>VÄRMLANDS LÄN</t>
        </is>
      </c>
      <c r="E174" t="inlineStr">
        <is>
          <t>HAGFORS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57-2025</t>
        </is>
      </c>
      <c r="B175" s="1" t="n">
        <v>45659.39619212963</v>
      </c>
      <c r="C175" s="1" t="n">
        <v>45968</v>
      </c>
      <c r="D175" t="inlineStr">
        <is>
          <t>VÄRMLANDS LÄN</t>
        </is>
      </c>
      <c r="E175" t="inlineStr">
        <is>
          <t>HAGFORS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13850-2022</t>
        </is>
      </c>
      <c r="B176" s="1" t="n">
        <v>44649</v>
      </c>
      <c r="C176" s="1" t="n">
        <v>45968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26859-2024</t>
        </is>
      </c>
      <c r="B177" s="1" t="n">
        <v>45470.60206018519</v>
      </c>
      <c r="C177" s="1" t="n">
        <v>45968</v>
      </c>
      <c r="D177" t="inlineStr">
        <is>
          <t>VÄRMLANDS LÄN</t>
        </is>
      </c>
      <c r="E177" t="inlineStr">
        <is>
          <t>HAGFORS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15643-2024</t>
        </is>
      </c>
      <c r="B178" s="1" t="n">
        <v>45404.31303240741</v>
      </c>
      <c r="C178" s="1" t="n">
        <v>45968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51302-2023</t>
        </is>
      </c>
      <c r="B179" s="1" t="n">
        <v>45219.5571412037</v>
      </c>
      <c r="C179" s="1" t="n">
        <v>45968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24000-2025</t>
        </is>
      </c>
      <c r="B180" s="1" t="n">
        <v>45796.42369212963</v>
      </c>
      <c r="C180" s="1" t="n">
        <v>45968</v>
      </c>
      <c r="D180" t="inlineStr">
        <is>
          <t>VÄRMLANDS LÄN</t>
        </is>
      </c>
      <c r="E180" t="inlineStr">
        <is>
          <t>HAGFORS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24929-2025</t>
        </is>
      </c>
      <c r="B181" s="1" t="n">
        <v>45799.55447916667</v>
      </c>
      <c r="C181" s="1" t="n">
        <v>45968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70712-2021</t>
        </is>
      </c>
      <c r="B182" s="1" t="n">
        <v>44537</v>
      </c>
      <c r="C182" s="1" t="n">
        <v>45968</v>
      </c>
      <c r="D182" t="inlineStr">
        <is>
          <t>VÄRMLANDS LÄN</t>
        </is>
      </c>
      <c r="E182" t="inlineStr">
        <is>
          <t>HAGFORS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42175-2024</t>
        </is>
      </c>
      <c r="B183" s="1" t="n">
        <v>45562.47100694444</v>
      </c>
      <c r="C183" s="1" t="n">
        <v>45968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24434-2025</t>
        </is>
      </c>
      <c r="B184" s="1" t="n">
        <v>45797.75887731482</v>
      </c>
      <c r="C184" s="1" t="n">
        <v>45968</v>
      </c>
      <c r="D184" t="inlineStr">
        <is>
          <t>VÄRMLANDS LÄN</t>
        </is>
      </c>
      <c r="E184" t="inlineStr">
        <is>
          <t>HAGFORS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58799-2022</t>
        </is>
      </c>
      <c r="B185" s="1" t="n">
        <v>44903</v>
      </c>
      <c r="C185" s="1" t="n">
        <v>45968</v>
      </c>
      <c r="D185" t="inlineStr">
        <is>
          <t>VÄRMLANDS LÄN</t>
        </is>
      </c>
      <c r="E185" t="inlineStr">
        <is>
          <t>HAGFORS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58307-2023</t>
        </is>
      </c>
      <c r="B186" s="1" t="n">
        <v>45250.56344907408</v>
      </c>
      <c r="C186" s="1" t="n">
        <v>45968</v>
      </c>
      <c r="D186" t="inlineStr">
        <is>
          <t>VÄRMLANDS LÄN</t>
        </is>
      </c>
      <c r="E186" t="inlineStr">
        <is>
          <t>HAGFORS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24435-2025</t>
        </is>
      </c>
      <c r="B187" s="1" t="n">
        <v>45797.77982638889</v>
      </c>
      <c r="C187" s="1" t="n">
        <v>45968</v>
      </c>
      <c r="D187" t="inlineStr">
        <is>
          <t>VÄRMLANDS LÄN</t>
        </is>
      </c>
      <c r="E187" t="inlineStr">
        <is>
          <t>HAGFORS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24438-2025</t>
        </is>
      </c>
      <c r="B188" s="1" t="n">
        <v>45797.80165509259</v>
      </c>
      <c r="C188" s="1" t="n">
        <v>45968</v>
      </c>
      <c r="D188" t="inlineStr">
        <is>
          <t>VÄRMLANDS LÄN</t>
        </is>
      </c>
      <c r="E188" t="inlineStr">
        <is>
          <t>HAGFORS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24632-2025</t>
        </is>
      </c>
      <c r="B189" s="1" t="n">
        <v>45798.60412037037</v>
      </c>
      <c r="C189" s="1" t="n">
        <v>45968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43.9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24977-2025</t>
        </is>
      </c>
      <c r="B190" s="1" t="n">
        <v>45799.59422453704</v>
      </c>
      <c r="C190" s="1" t="n">
        <v>45968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25258-2023</t>
        </is>
      </c>
      <c r="B191" s="1" t="n">
        <v>45079</v>
      </c>
      <c r="C191" s="1" t="n">
        <v>45968</v>
      </c>
      <c r="D191" t="inlineStr">
        <is>
          <t>VÄRMLANDS LÄN</t>
        </is>
      </c>
      <c r="E191" t="inlineStr">
        <is>
          <t>HAGFORS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22016-2021</t>
        </is>
      </c>
      <c r="B192" s="1" t="n">
        <v>44323</v>
      </c>
      <c r="C192" s="1" t="n">
        <v>45968</v>
      </c>
      <c r="D192" t="inlineStr">
        <is>
          <t>VÄRMLANDS LÄN</t>
        </is>
      </c>
      <c r="E192" t="inlineStr">
        <is>
          <t>HAGFORS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13524-2025</t>
        </is>
      </c>
      <c r="B193" s="1" t="n">
        <v>45736</v>
      </c>
      <c r="C193" s="1" t="n">
        <v>45968</v>
      </c>
      <c r="D193" t="inlineStr">
        <is>
          <t>VÄRMLANDS LÄN</t>
        </is>
      </c>
      <c r="E193" t="inlineStr">
        <is>
          <t>HAGFORS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25051-2025</t>
        </is>
      </c>
      <c r="B194" s="1" t="n">
        <v>45799.67479166666</v>
      </c>
      <c r="C194" s="1" t="n">
        <v>45968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24804-2025</t>
        </is>
      </c>
      <c r="B195" s="1" t="n">
        <v>45799.44024305556</v>
      </c>
      <c r="C195" s="1" t="n">
        <v>45968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24598-2025</t>
        </is>
      </c>
      <c r="B196" s="1" t="n">
        <v>45798.56194444445</v>
      </c>
      <c r="C196" s="1" t="n">
        <v>45968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31166-2022</t>
        </is>
      </c>
      <c r="B197" s="1" t="n">
        <v>44770.51526620371</v>
      </c>
      <c r="C197" s="1" t="n">
        <v>45968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24895-2025</t>
        </is>
      </c>
      <c r="B198" s="1" t="n">
        <v>45799.51512731481</v>
      </c>
      <c r="C198" s="1" t="n">
        <v>45968</v>
      </c>
      <c r="D198" t="inlineStr">
        <is>
          <t>VÄRMLANDS LÄN</t>
        </is>
      </c>
      <c r="E198" t="inlineStr">
        <is>
          <t>HAGFORS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21451-2024</t>
        </is>
      </c>
      <c r="B199" s="1" t="n">
        <v>45441.46148148148</v>
      </c>
      <c r="C199" s="1" t="n">
        <v>45968</v>
      </c>
      <c r="D199" t="inlineStr">
        <is>
          <t>VÄRMLANDS LÄN</t>
        </is>
      </c>
      <c r="E199" t="inlineStr">
        <is>
          <t>HAGFORS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24793-2025</t>
        </is>
      </c>
      <c r="B200" s="1" t="n">
        <v>45799.43309027778</v>
      </c>
      <c r="C200" s="1" t="n">
        <v>45968</v>
      </c>
      <c r="D200" t="inlineStr">
        <is>
          <t>VÄRMLANDS LÄN</t>
        </is>
      </c>
      <c r="E200" t="inlineStr">
        <is>
          <t>HAGFORS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25031-2025</t>
        </is>
      </c>
      <c r="B201" s="1" t="n">
        <v>45799.65331018518</v>
      </c>
      <c r="C201" s="1" t="n">
        <v>45968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32147-2023</t>
        </is>
      </c>
      <c r="B202" s="1" t="n">
        <v>45107</v>
      </c>
      <c r="C202" s="1" t="n">
        <v>45968</v>
      </c>
      <c r="D202" t="inlineStr">
        <is>
          <t>VÄRMLANDS LÄN</t>
        </is>
      </c>
      <c r="E202" t="inlineStr">
        <is>
          <t>HAGFORS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24978-2025</t>
        </is>
      </c>
      <c r="B203" s="1" t="n">
        <v>45799.59434027778</v>
      </c>
      <c r="C203" s="1" t="n">
        <v>45968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49766-2023</t>
        </is>
      </c>
      <c r="B204" s="1" t="n">
        <v>45212.56666666667</v>
      </c>
      <c r="C204" s="1" t="n">
        <v>45968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1734-2023</t>
        </is>
      </c>
      <c r="B205" s="1" t="n">
        <v>44938</v>
      </c>
      <c r="C205" s="1" t="n">
        <v>45968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21457-2024</t>
        </is>
      </c>
      <c r="B206" s="1" t="n">
        <v>45441</v>
      </c>
      <c r="C206" s="1" t="n">
        <v>45968</v>
      </c>
      <c r="D206" t="inlineStr">
        <is>
          <t>VÄRMLANDS LÄN</t>
        </is>
      </c>
      <c r="E206" t="inlineStr">
        <is>
          <t>HAGFORS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47516-2023</t>
        </is>
      </c>
      <c r="B207" s="1" t="n">
        <v>45203.32716435185</v>
      </c>
      <c r="C207" s="1" t="n">
        <v>45968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25194-2025</t>
        </is>
      </c>
      <c r="B208" s="1" t="n">
        <v>45800</v>
      </c>
      <c r="C208" s="1" t="n">
        <v>45968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31657-2024</t>
        </is>
      </c>
      <c r="B209" s="1" t="n">
        <v>45506.69709490741</v>
      </c>
      <c r="C209" s="1" t="n">
        <v>45968</v>
      </c>
      <c r="D209" t="inlineStr">
        <is>
          <t>VÄRMLANDS LÄN</t>
        </is>
      </c>
      <c r="E209" t="inlineStr">
        <is>
          <t>HAGFORS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25490-2025</t>
        </is>
      </c>
      <c r="B210" s="1" t="n">
        <v>45803.30792824074</v>
      </c>
      <c r="C210" s="1" t="n">
        <v>45968</v>
      </c>
      <c r="D210" t="inlineStr">
        <is>
          <t>VÄRMLANDS LÄN</t>
        </is>
      </c>
      <c r="E210" t="inlineStr">
        <is>
          <t>HAGFORS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25091-2025</t>
        </is>
      </c>
      <c r="B211" s="1" t="n">
        <v>45800.31751157407</v>
      </c>
      <c r="C211" s="1" t="n">
        <v>45968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12197-2025</t>
        </is>
      </c>
      <c r="B212" s="1" t="n">
        <v>45729.47384259259</v>
      </c>
      <c r="C212" s="1" t="n">
        <v>45968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38555-2023</t>
        </is>
      </c>
      <c r="B213" s="1" t="n">
        <v>45162</v>
      </c>
      <c r="C213" s="1" t="n">
        <v>45968</v>
      </c>
      <c r="D213" t="inlineStr">
        <is>
          <t>VÄRMLANDS LÄN</t>
        </is>
      </c>
      <c r="E213" t="inlineStr">
        <is>
          <t>HAGFORS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32696-2023</t>
        </is>
      </c>
      <c r="B214" s="1" t="n">
        <v>45112</v>
      </c>
      <c r="C214" s="1" t="n">
        <v>45968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33823-2025</t>
        </is>
      </c>
      <c r="B215" s="1" t="n">
        <v>45842</v>
      </c>
      <c r="C215" s="1" t="n">
        <v>45968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16475-2025</t>
        </is>
      </c>
      <c r="B216" s="1" t="n">
        <v>45751</v>
      </c>
      <c r="C216" s="1" t="n">
        <v>45968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20113-2023</t>
        </is>
      </c>
      <c r="B217" s="1" t="n">
        <v>45055</v>
      </c>
      <c r="C217" s="1" t="n">
        <v>45968</v>
      </c>
      <c r="D217" t="inlineStr">
        <is>
          <t>VÄRMLANDS LÄN</t>
        </is>
      </c>
      <c r="E217" t="inlineStr">
        <is>
          <t>HAGFORS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23247-2024</t>
        </is>
      </c>
      <c r="B218" s="1" t="n">
        <v>45453.35074074074</v>
      </c>
      <c r="C218" s="1" t="n">
        <v>45968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3846-2023</t>
        </is>
      </c>
      <c r="B219" s="1" t="n">
        <v>44951</v>
      </c>
      <c r="C219" s="1" t="n">
        <v>45968</v>
      </c>
      <c r="D219" t="inlineStr">
        <is>
          <t>VÄRMLANDS LÄN</t>
        </is>
      </c>
      <c r="E219" t="inlineStr">
        <is>
          <t>HAGFORS</t>
        </is>
      </c>
      <c r="F219" t="inlineStr">
        <is>
          <t>Kommuner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64936-2023</t>
        </is>
      </c>
      <c r="B220" s="1" t="n">
        <v>45282</v>
      </c>
      <c r="C220" s="1" t="n">
        <v>45968</v>
      </c>
      <c r="D220" t="inlineStr">
        <is>
          <t>VÄRMLANDS LÄN</t>
        </is>
      </c>
      <c r="E220" t="inlineStr">
        <is>
          <t>HAGFORS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61140-2023</t>
        </is>
      </c>
      <c r="B221" s="1" t="n">
        <v>45261</v>
      </c>
      <c r="C221" s="1" t="n">
        <v>45968</v>
      </c>
      <c r="D221" t="inlineStr">
        <is>
          <t>VÄRMLANDS LÄN</t>
        </is>
      </c>
      <c r="E221" t="inlineStr">
        <is>
          <t>HAGFORS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46208-2023</t>
        </is>
      </c>
      <c r="B222" s="1" t="n">
        <v>45196.64975694445</v>
      </c>
      <c r="C222" s="1" t="n">
        <v>45968</v>
      </c>
      <c r="D222" t="inlineStr">
        <is>
          <t>VÄRMLANDS LÄN</t>
        </is>
      </c>
      <c r="E222" t="inlineStr">
        <is>
          <t>HAGFORS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30158-2024</t>
        </is>
      </c>
      <c r="B223" s="1" t="n">
        <v>45489</v>
      </c>
      <c r="C223" s="1" t="n">
        <v>45968</v>
      </c>
      <c r="D223" t="inlineStr">
        <is>
          <t>VÄRMLANDS LÄN</t>
        </is>
      </c>
      <c r="E223" t="inlineStr">
        <is>
          <t>HAGFORS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3996-2025</t>
        </is>
      </c>
      <c r="B224" s="1" t="n">
        <v>45684</v>
      </c>
      <c r="C224" s="1" t="n">
        <v>45968</v>
      </c>
      <c r="D224" t="inlineStr">
        <is>
          <t>VÄRMLANDS LÄN</t>
        </is>
      </c>
      <c r="E224" t="inlineStr">
        <is>
          <t>HAGFORS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50318-2023</t>
        </is>
      </c>
      <c r="B225" s="1" t="n">
        <v>45216.54363425926</v>
      </c>
      <c r="C225" s="1" t="n">
        <v>45968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50337-2023</t>
        </is>
      </c>
      <c r="B226" s="1" t="n">
        <v>45216.56710648148</v>
      </c>
      <c r="C226" s="1" t="n">
        <v>45968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24947-2024</t>
        </is>
      </c>
      <c r="B227" s="1" t="n">
        <v>45461</v>
      </c>
      <c r="C227" s="1" t="n">
        <v>45968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24965-2024</t>
        </is>
      </c>
      <c r="B228" s="1" t="n">
        <v>45461</v>
      </c>
      <c r="C228" s="1" t="n">
        <v>45968</v>
      </c>
      <c r="D228" t="inlineStr">
        <is>
          <t>VÄRMLANDS LÄN</t>
        </is>
      </c>
      <c r="E228" t="inlineStr">
        <is>
          <t>HAGFORS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12321-2025</t>
        </is>
      </c>
      <c r="B229" s="1" t="n">
        <v>45730.28657407407</v>
      </c>
      <c r="C229" s="1" t="n">
        <v>45968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20682-2024</t>
        </is>
      </c>
      <c r="B230" s="1" t="n">
        <v>45436.58063657407</v>
      </c>
      <c r="C230" s="1" t="n">
        <v>45968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3426-2023</t>
        </is>
      </c>
      <c r="B231" s="1" t="n">
        <v>44949</v>
      </c>
      <c r="C231" s="1" t="n">
        <v>45968</v>
      </c>
      <c r="D231" t="inlineStr">
        <is>
          <t>VÄRMLANDS LÄN</t>
        </is>
      </c>
      <c r="E231" t="inlineStr">
        <is>
          <t>HAGFORS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26456-2025</t>
        </is>
      </c>
      <c r="B232" s="1" t="n">
        <v>45807.42472222223</v>
      </c>
      <c r="C232" s="1" t="n">
        <v>45968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13094-2024</t>
        </is>
      </c>
      <c r="B233" s="1" t="n">
        <v>45385.68678240741</v>
      </c>
      <c r="C233" s="1" t="n">
        <v>45968</v>
      </c>
      <c r="D233" t="inlineStr">
        <is>
          <t>VÄRMLANDS LÄN</t>
        </is>
      </c>
      <c r="E233" t="inlineStr">
        <is>
          <t>HAGFORS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12778-2025</t>
        </is>
      </c>
      <c r="B234" s="1" t="n">
        <v>45733.5946875</v>
      </c>
      <c r="C234" s="1" t="n">
        <v>45968</v>
      </c>
      <c r="D234" t="inlineStr">
        <is>
          <t>VÄRMLANDS LÄN</t>
        </is>
      </c>
      <c r="E234" t="inlineStr">
        <is>
          <t>HAGFORS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44246-2022</t>
        </is>
      </c>
      <c r="B235" s="1" t="n">
        <v>44839.55957175926</v>
      </c>
      <c r="C235" s="1" t="n">
        <v>45968</v>
      </c>
      <c r="D235" t="inlineStr">
        <is>
          <t>VÄRMLANDS LÄN</t>
        </is>
      </c>
      <c r="E235" t="inlineStr">
        <is>
          <t>HAGFORS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2971-2025</t>
        </is>
      </c>
      <c r="B236" s="1" t="n">
        <v>45678.46741898148</v>
      </c>
      <c r="C236" s="1" t="n">
        <v>45968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38887-2024</t>
        </is>
      </c>
      <c r="B237" s="1" t="n">
        <v>45547.66456018519</v>
      </c>
      <c r="C237" s="1" t="n">
        <v>45968</v>
      </c>
      <c r="D237" t="inlineStr">
        <is>
          <t>VÄRMLANDS LÄN</t>
        </is>
      </c>
      <c r="E237" t="inlineStr">
        <is>
          <t>HAGFORS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26463-2025</t>
        </is>
      </c>
      <c r="B238" s="1" t="n">
        <v>45807</v>
      </c>
      <c r="C238" s="1" t="n">
        <v>45968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26490-2025</t>
        </is>
      </c>
      <c r="B239" s="1" t="n">
        <v>45807.4874537037</v>
      </c>
      <c r="C239" s="1" t="n">
        <v>45968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55049-2024</t>
        </is>
      </c>
      <c r="B240" s="1" t="n">
        <v>45621.39585648148</v>
      </c>
      <c r="C240" s="1" t="n">
        <v>45968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62497-2022</t>
        </is>
      </c>
      <c r="B241" s="1" t="n">
        <v>44924.58979166667</v>
      </c>
      <c r="C241" s="1" t="n">
        <v>45968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16755-2025</t>
        </is>
      </c>
      <c r="B242" s="1" t="n">
        <v>45754</v>
      </c>
      <c r="C242" s="1" t="n">
        <v>45968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21867-2024</t>
        </is>
      </c>
      <c r="B243" s="1" t="n">
        <v>45443.30052083333</v>
      </c>
      <c r="C243" s="1" t="n">
        <v>45968</v>
      </c>
      <c r="D243" t="inlineStr">
        <is>
          <t>VÄRMLANDS LÄN</t>
        </is>
      </c>
      <c r="E243" t="inlineStr">
        <is>
          <t>HAGFORS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36360-2023</t>
        </is>
      </c>
      <c r="B244" s="1" t="n">
        <v>45152</v>
      </c>
      <c r="C244" s="1" t="n">
        <v>45968</v>
      </c>
      <c r="D244" t="inlineStr">
        <is>
          <t>VÄRMLANDS LÄN</t>
        </is>
      </c>
      <c r="E244" t="inlineStr">
        <is>
          <t>HAGFORS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38474-2024</t>
        </is>
      </c>
      <c r="B245" s="1" t="n">
        <v>45546</v>
      </c>
      <c r="C245" s="1" t="n">
        <v>45968</v>
      </c>
      <c r="D245" t="inlineStr">
        <is>
          <t>VÄRMLANDS LÄN</t>
        </is>
      </c>
      <c r="E245" t="inlineStr">
        <is>
          <t>HAGFORS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11419-2025</t>
        </is>
      </c>
      <c r="B246" s="1" t="n">
        <v>45726</v>
      </c>
      <c r="C246" s="1" t="n">
        <v>45968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30327-2022</t>
        </is>
      </c>
      <c r="B247" s="1" t="n">
        <v>44760.45733796297</v>
      </c>
      <c r="C247" s="1" t="n">
        <v>45968</v>
      </c>
      <c r="D247" t="inlineStr">
        <is>
          <t>VÄRMLANDS LÄN</t>
        </is>
      </c>
      <c r="E247" t="inlineStr">
        <is>
          <t>HAGFORS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26637-2025</t>
        </is>
      </c>
      <c r="B248" s="1" t="n">
        <v>45810</v>
      </c>
      <c r="C248" s="1" t="n">
        <v>45968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27071-2025</t>
        </is>
      </c>
      <c r="B249" s="1" t="n">
        <v>45811.63986111111</v>
      </c>
      <c r="C249" s="1" t="n">
        <v>45968</v>
      </c>
      <c r="D249" t="inlineStr">
        <is>
          <t>VÄRMLANDS LÄN</t>
        </is>
      </c>
      <c r="E249" t="inlineStr">
        <is>
          <t>HAGFORS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52383-2024</t>
        </is>
      </c>
      <c r="B250" s="1" t="n">
        <v>45608</v>
      </c>
      <c r="C250" s="1" t="n">
        <v>45968</v>
      </c>
      <c r="D250" t="inlineStr">
        <is>
          <t>VÄRMLANDS LÄN</t>
        </is>
      </c>
      <c r="E250" t="inlineStr">
        <is>
          <t>HAGFORS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5790-2024</t>
        </is>
      </c>
      <c r="B251" s="1" t="n">
        <v>45335</v>
      </c>
      <c r="C251" s="1" t="n">
        <v>45968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26973-2025</t>
        </is>
      </c>
      <c r="B252" s="1" t="n">
        <v>45811.48480324074</v>
      </c>
      <c r="C252" s="1" t="n">
        <v>45968</v>
      </c>
      <c r="D252" t="inlineStr">
        <is>
          <t>VÄRMLANDS LÄN</t>
        </is>
      </c>
      <c r="E252" t="inlineStr">
        <is>
          <t>HAGFORS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26976-2025</t>
        </is>
      </c>
      <c r="B253" s="1" t="n">
        <v>45811.48766203703</v>
      </c>
      <c r="C253" s="1" t="n">
        <v>45968</v>
      </c>
      <c r="D253" t="inlineStr">
        <is>
          <t>VÄRMLANDS LÄN</t>
        </is>
      </c>
      <c r="E253" t="inlineStr">
        <is>
          <t>HAGFORS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27739-2024</t>
        </is>
      </c>
      <c r="B254" s="1" t="n">
        <v>45475.4516087963</v>
      </c>
      <c r="C254" s="1" t="n">
        <v>45968</v>
      </c>
      <c r="D254" t="inlineStr">
        <is>
          <t>VÄRMLANDS LÄN</t>
        </is>
      </c>
      <c r="E254" t="inlineStr">
        <is>
          <t>HAGFORS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51346-2022</t>
        </is>
      </c>
      <c r="B255" s="1" t="n">
        <v>44869.3710300926</v>
      </c>
      <c r="C255" s="1" t="n">
        <v>45968</v>
      </c>
      <c r="D255" t="inlineStr">
        <is>
          <t>VÄRMLANDS LÄN</t>
        </is>
      </c>
      <c r="E255" t="inlineStr">
        <is>
          <t>HAGFORS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19583-2023</t>
        </is>
      </c>
      <c r="B256" s="1" t="n">
        <v>45050</v>
      </c>
      <c r="C256" s="1" t="n">
        <v>45968</v>
      </c>
      <c r="D256" t="inlineStr">
        <is>
          <t>VÄRMLANDS LÄN</t>
        </is>
      </c>
      <c r="E256" t="inlineStr">
        <is>
          <t>HAGFORS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26617-2025</t>
        </is>
      </c>
      <c r="B257" s="1" t="n">
        <v>45810.30788194444</v>
      </c>
      <c r="C257" s="1" t="n">
        <v>45968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26980-2025</t>
        </is>
      </c>
      <c r="B258" s="1" t="n">
        <v>45811.48958333334</v>
      </c>
      <c r="C258" s="1" t="n">
        <v>45968</v>
      </c>
      <c r="D258" t="inlineStr">
        <is>
          <t>VÄRMLANDS LÄN</t>
        </is>
      </c>
      <c r="E258" t="inlineStr">
        <is>
          <t>HAGFORS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26982-2025</t>
        </is>
      </c>
      <c r="B259" s="1" t="n">
        <v>45811.49100694444</v>
      </c>
      <c r="C259" s="1" t="n">
        <v>45968</v>
      </c>
      <c r="D259" t="inlineStr">
        <is>
          <t>VÄRMLANDS LÄN</t>
        </is>
      </c>
      <c r="E259" t="inlineStr">
        <is>
          <t>HAGFORS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37152-2023</t>
        </is>
      </c>
      <c r="B260" s="1" t="n">
        <v>45155.6027662037</v>
      </c>
      <c r="C260" s="1" t="n">
        <v>45968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27263-2025</t>
        </is>
      </c>
      <c r="B261" s="1" t="n">
        <v>45812.4793287037</v>
      </c>
      <c r="C261" s="1" t="n">
        <v>45968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27229-2025</t>
        </is>
      </c>
      <c r="B262" s="1" t="n">
        <v>45812.43690972222</v>
      </c>
      <c r="C262" s="1" t="n">
        <v>45968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27121-2025</t>
        </is>
      </c>
      <c r="B263" s="1" t="n">
        <v>45811.76255787037</v>
      </c>
      <c r="C263" s="1" t="n">
        <v>45968</v>
      </c>
      <c r="D263" t="inlineStr">
        <is>
          <t>VÄRMLANDS LÄN</t>
        </is>
      </c>
      <c r="E263" t="inlineStr">
        <is>
          <t>HAGFORS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27260-2025</t>
        </is>
      </c>
      <c r="B264" s="1" t="n">
        <v>45812.4759375</v>
      </c>
      <c r="C264" s="1" t="n">
        <v>45968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27319-2025</t>
        </is>
      </c>
      <c r="B265" s="1" t="n">
        <v>45812.5916087963</v>
      </c>
      <c r="C265" s="1" t="n">
        <v>45968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27335-2025</t>
        </is>
      </c>
      <c r="B266" s="1" t="n">
        <v>45812.61487268518</v>
      </c>
      <c r="C266" s="1" t="n">
        <v>45968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25123-2024</t>
        </is>
      </c>
      <c r="B267" s="1" t="n">
        <v>45462.45428240741</v>
      </c>
      <c r="C267" s="1" t="n">
        <v>45968</v>
      </c>
      <c r="D267" t="inlineStr">
        <is>
          <t>VÄRMLANDS LÄN</t>
        </is>
      </c>
      <c r="E267" t="inlineStr">
        <is>
          <t>HAGFORS</t>
        </is>
      </c>
      <c r="F267" t="inlineStr">
        <is>
          <t>Kyrkan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27119-2025</t>
        </is>
      </c>
      <c r="B268" s="1" t="n">
        <v>45811.75707175926</v>
      </c>
      <c r="C268" s="1" t="n">
        <v>45968</v>
      </c>
      <c r="D268" t="inlineStr">
        <is>
          <t>VÄRMLANDS LÄN</t>
        </is>
      </c>
      <c r="E268" t="inlineStr">
        <is>
          <t>HAGFORS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27181-2025</t>
        </is>
      </c>
      <c r="B269" s="1" t="n">
        <v>45812</v>
      </c>
      <c r="C269" s="1" t="n">
        <v>45968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27195-2025</t>
        </is>
      </c>
      <c r="B270" s="1" t="n">
        <v>45812.38479166666</v>
      </c>
      <c r="C270" s="1" t="n">
        <v>45968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39029-2022</t>
        </is>
      </c>
      <c r="B271" s="1" t="n">
        <v>44817.3400462963</v>
      </c>
      <c r="C271" s="1" t="n">
        <v>45968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3669-2025</t>
        </is>
      </c>
      <c r="B272" s="1" t="n">
        <v>45681.43167824074</v>
      </c>
      <c r="C272" s="1" t="n">
        <v>45968</v>
      </c>
      <c r="D272" t="inlineStr">
        <is>
          <t>VÄRMLANDS LÄN</t>
        </is>
      </c>
      <c r="E272" t="inlineStr">
        <is>
          <t>HAGFORS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27293-2025</t>
        </is>
      </c>
      <c r="B273" s="1" t="n">
        <v>45812.56776620371</v>
      </c>
      <c r="C273" s="1" t="n">
        <v>45968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35021-2024</t>
        </is>
      </c>
      <c r="B274" s="1" t="n">
        <v>45527.59814814815</v>
      </c>
      <c r="C274" s="1" t="n">
        <v>45968</v>
      </c>
      <c r="D274" t="inlineStr">
        <is>
          <t>VÄRMLANDS LÄN</t>
        </is>
      </c>
      <c r="E274" t="inlineStr">
        <is>
          <t>HAGFORS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27325-2025</t>
        </is>
      </c>
      <c r="B275" s="1" t="n">
        <v>45812.60623842593</v>
      </c>
      <c r="C275" s="1" t="n">
        <v>45968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42169-2024</t>
        </is>
      </c>
      <c r="B276" s="1" t="n">
        <v>45562.46731481481</v>
      </c>
      <c r="C276" s="1" t="n">
        <v>45968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42173-2024</t>
        </is>
      </c>
      <c r="B277" s="1" t="n">
        <v>45562.46958333333</v>
      </c>
      <c r="C277" s="1" t="n">
        <v>45968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42178-2024</t>
        </is>
      </c>
      <c r="B278" s="1" t="n">
        <v>45562.47201388889</v>
      </c>
      <c r="C278" s="1" t="n">
        <v>45968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15228-2024</t>
        </is>
      </c>
      <c r="B279" s="1" t="n">
        <v>45400.48208333334</v>
      </c>
      <c r="C279" s="1" t="n">
        <v>45968</v>
      </c>
      <c r="D279" t="inlineStr">
        <is>
          <t>VÄRMLANDS LÄN</t>
        </is>
      </c>
      <c r="E279" t="inlineStr">
        <is>
          <t>HAGFORS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658-2022</t>
        </is>
      </c>
      <c r="B280" s="1" t="n">
        <v>44566</v>
      </c>
      <c r="C280" s="1" t="n">
        <v>45968</v>
      </c>
      <c r="D280" t="inlineStr">
        <is>
          <t>VÄRMLANDS LÄN</t>
        </is>
      </c>
      <c r="E280" t="inlineStr">
        <is>
          <t>HAGFORS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13340-2025</t>
        </is>
      </c>
      <c r="B281" s="1" t="n">
        <v>45735.62614583333</v>
      </c>
      <c r="C281" s="1" t="n">
        <v>45968</v>
      </c>
      <c r="D281" t="inlineStr">
        <is>
          <t>VÄRMLANDS LÄN</t>
        </is>
      </c>
      <c r="E281" t="inlineStr">
        <is>
          <t>HAGFORS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57379-2022</t>
        </is>
      </c>
      <c r="B282" s="1" t="n">
        <v>44896</v>
      </c>
      <c r="C282" s="1" t="n">
        <v>45968</v>
      </c>
      <c r="D282" t="inlineStr">
        <is>
          <t>VÄRMLANDS LÄN</t>
        </is>
      </c>
      <c r="E282" t="inlineStr">
        <is>
          <t>HAGFORS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26348-2024</t>
        </is>
      </c>
      <c r="B283" s="1" t="n">
        <v>45469.35829861111</v>
      </c>
      <c r="C283" s="1" t="n">
        <v>45968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50922-2023</t>
        </is>
      </c>
      <c r="B284" s="1" t="n">
        <v>45211</v>
      </c>
      <c r="C284" s="1" t="n">
        <v>45968</v>
      </c>
      <c r="D284" t="inlineStr">
        <is>
          <t>VÄRMLANDS LÄN</t>
        </is>
      </c>
      <c r="E284" t="inlineStr">
        <is>
          <t>HAGFORS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17774-2024</t>
        </is>
      </c>
      <c r="B285" s="1" t="n">
        <v>45418.65559027778</v>
      </c>
      <c r="C285" s="1" t="n">
        <v>45968</v>
      </c>
      <c r="D285" t="inlineStr">
        <is>
          <t>VÄRMLANDS LÄN</t>
        </is>
      </c>
      <c r="E285" t="inlineStr">
        <is>
          <t>HAGFORS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11744-2024</t>
        </is>
      </c>
      <c r="B286" s="1" t="n">
        <v>45373.80883101852</v>
      </c>
      <c r="C286" s="1" t="n">
        <v>45968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34541-2024</t>
        </is>
      </c>
      <c r="B287" s="1" t="n">
        <v>45525.74459490741</v>
      </c>
      <c r="C287" s="1" t="n">
        <v>45968</v>
      </c>
      <c r="D287" t="inlineStr">
        <is>
          <t>VÄRMLANDS LÄN</t>
        </is>
      </c>
      <c r="E287" t="inlineStr">
        <is>
          <t>HAGFORS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28571-2025</t>
        </is>
      </c>
      <c r="B288" s="1" t="n">
        <v>45819</v>
      </c>
      <c r="C288" s="1" t="n">
        <v>45968</v>
      </c>
      <c r="D288" t="inlineStr">
        <is>
          <t>VÄRMLANDS LÄN</t>
        </is>
      </c>
      <c r="E288" t="inlineStr">
        <is>
          <t>HAGFORS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28437-2025</t>
        </is>
      </c>
      <c r="B289" s="1" t="n">
        <v>45819.38481481482</v>
      </c>
      <c r="C289" s="1" t="n">
        <v>45968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28309-2025</t>
        </is>
      </c>
      <c r="B290" s="1" t="n">
        <v>45818.62083333333</v>
      </c>
      <c r="C290" s="1" t="n">
        <v>45968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58437-2023</t>
        </is>
      </c>
      <c r="B291" s="1" t="n">
        <v>45250</v>
      </c>
      <c r="C291" s="1" t="n">
        <v>45968</v>
      </c>
      <c r="D291" t="inlineStr">
        <is>
          <t>VÄRMLANDS LÄN</t>
        </is>
      </c>
      <c r="E291" t="inlineStr">
        <is>
          <t>HAGFORS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44975-2024</t>
        </is>
      </c>
      <c r="B292" s="1" t="n">
        <v>45575</v>
      </c>
      <c r="C292" s="1" t="n">
        <v>45968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29149-2025</t>
        </is>
      </c>
      <c r="B293" s="1" t="n">
        <v>45821</v>
      </c>
      <c r="C293" s="1" t="n">
        <v>45968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29115-2025</t>
        </is>
      </c>
      <c r="B294" s="1" t="n">
        <v>45821</v>
      </c>
      <c r="C294" s="1" t="n">
        <v>45968</v>
      </c>
      <c r="D294" t="inlineStr">
        <is>
          <t>VÄRMLANDS LÄN</t>
        </is>
      </c>
      <c r="E294" t="inlineStr">
        <is>
          <t>HAGFORS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52224-2023</t>
        </is>
      </c>
      <c r="B295" s="1" t="n">
        <v>45224</v>
      </c>
      <c r="C295" s="1" t="n">
        <v>45968</v>
      </c>
      <c r="D295" t="inlineStr">
        <is>
          <t>VÄRMLANDS LÄN</t>
        </is>
      </c>
      <c r="E295" t="inlineStr">
        <is>
          <t>HAGFORS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26514-2024</t>
        </is>
      </c>
      <c r="B296" s="1" t="n">
        <v>45469</v>
      </c>
      <c r="C296" s="1" t="n">
        <v>45968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28723-2025</t>
        </is>
      </c>
      <c r="B297" s="1" t="n">
        <v>45820.35928240741</v>
      </c>
      <c r="C297" s="1" t="n">
        <v>45968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29032-2025</t>
        </is>
      </c>
      <c r="B298" s="1" t="n">
        <v>45821.44164351852</v>
      </c>
      <c r="C298" s="1" t="n">
        <v>45968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29114-2025</t>
        </is>
      </c>
      <c r="B299" s="1" t="n">
        <v>45821</v>
      </c>
      <c r="C299" s="1" t="n">
        <v>45968</v>
      </c>
      <c r="D299" t="inlineStr">
        <is>
          <t>VÄRMLANDS LÄN</t>
        </is>
      </c>
      <c r="E299" t="inlineStr">
        <is>
          <t>HAGFORS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30180-2023</t>
        </is>
      </c>
      <c r="B300" s="1" t="n">
        <v>45110</v>
      </c>
      <c r="C300" s="1" t="n">
        <v>45968</v>
      </c>
      <c r="D300" t="inlineStr">
        <is>
          <t>VÄRMLANDS LÄN</t>
        </is>
      </c>
      <c r="E300" t="inlineStr">
        <is>
          <t>HAGFORS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35664-2023</t>
        </is>
      </c>
      <c r="B301" s="1" t="n">
        <v>45147.60292824074</v>
      </c>
      <c r="C301" s="1" t="n">
        <v>45968</v>
      </c>
      <c r="D301" t="inlineStr">
        <is>
          <t>VÄRMLANDS LÄN</t>
        </is>
      </c>
      <c r="E301" t="inlineStr">
        <is>
          <t>HAGFORS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22022-2021</t>
        </is>
      </c>
      <c r="B302" s="1" t="n">
        <v>44323.47359953704</v>
      </c>
      <c r="C302" s="1" t="n">
        <v>45968</v>
      </c>
      <c r="D302" t="inlineStr">
        <is>
          <t>VÄRMLANDS LÄN</t>
        </is>
      </c>
      <c r="E302" t="inlineStr">
        <is>
          <t>HAGFORS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29412-2025</t>
        </is>
      </c>
      <c r="B303" s="1" t="n">
        <v>45824.62241898148</v>
      </c>
      <c r="C303" s="1" t="n">
        <v>45968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39211-2022</t>
        </is>
      </c>
      <c r="B304" s="1" t="n">
        <v>44817.55997685185</v>
      </c>
      <c r="C304" s="1" t="n">
        <v>45968</v>
      </c>
      <c r="D304" t="inlineStr">
        <is>
          <t>VÄRMLANDS LÄN</t>
        </is>
      </c>
      <c r="E304" t="inlineStr">
        <is>
          <t>HAGFORS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29755-2025</t>
        </is>
      </c>
      <c r="B305" s="1" t="n">
        <v>45825.61381944444</v>
      </c>
      <c r="C305" s="1" t="n">
        <v>45968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59331-2024</t>
        </is>
      </c>
      <c r="B306" s="1" t="n">
        <v>45637.79212962963</v>
      </c>
      <c r="C306" s="1" t="n">
        <v>45968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15637-2025</t>
        </is>
      </c>
      <c r="B307" s="1" t="n">
        <v>45748.38106481481</v>
      </c>
      <c r="C307" s="1" t="n">
        <v>45968</v>
      </c>
      <c r="D307" t="inlineStr">
        <is>
          <t>VÄRMLANDS LÄN</t>
        </is>
      </c>
      <c r="E307" t="inlineStr">
        <is>
          <t>HAGFORS</t>
        </is>
      </c>
      <c r="F307" t="inlineStr">
        <is>
          <t>Kyrkan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58808-2022</t>
        </is>
      </c>
      <c r="B308" s="1" t="n">
        <v>44903</v>
      </c>
      <c r="C308" s="1" t="n">
        <v>45968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29778-2025</t>
        </is>
      </c>
      <c r="B309" s="1" t="n">
        <v>45825.6434375</v>
      </c>
      <c r="C309" s="1" t="n">
        <v>45968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29746-2025</t>
        </is>
      </c>
      <c r="B310" s="1" t="n">
        <v>45825.60394675926</v>
      </c>
      <c r="C310" s="1" t="n">
        <v>45968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20652-2022</t>
        </is>
      </c>
      <c r="B311" s="1" t="n">
        <v>44700</v>
      </c>
      <c r="C311" s="1" t="n">
        <v>45968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20217-2024</t>
        </is>
      </c>
      <c r="B312" s="1" t="n">
        <v>45434.67739583334</v>
      </c>
      <c r="C312" s="1" t="n">
        <v>45968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42219-2024</t>
        </is>
      </c>
      <c r="B313" s="1" t="n">
        <v>45562.54707175926</v>
      </c>
      <c r="C313" s="1" t="n">
        <v>45968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18160-2025</t>
        </is>
      </c>
      <c r="B314" s="1" t="n">
        <v>45761</v>
      </c>
      <c r="C314" s="1" t="n">
        <v>45968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18170-2024</t>
        </is>
      </c>
      <c r="B315" s="1" t="n">
        <v>45420</v>
      </c>
      <c r="C315" s="1" t="n">
        <v>45968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58132-2024</t>
        </is>
      </c>
      <c r="B316" s="1" t="n">
        <v>45632.40945601852</v>
      </c>
      <c r="C316" s="1" t="n">
        <v>45968</v>
      </c>
      <c r="D316" t="inlineStr">
        <is>
          <t>VÄRMLANDS LÄN</t>
        </is>
      </c>
      <c r="E316" t="inlineStr">
        <is>
          <t>HAGFORS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21309-2023</t>
        </is>
      </c>
      <c r="B317" s="1" t="n">
        <v>45062</v>
      </c>
      <c r="C317" s="1" t="n">
        <v>45968</v>
      </c>
      <c r="D317" t="inlineStr">
        <is>
          <t>VÄRMLANDS LÄN</t>
        </is>
      </c>
      <c r="E317" t="inlineStr">
        <is>
          <t>HAGFORS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30124-2025</t>
        </is>
      </c>
      <c r="B318" s="1" t="n">
        <v>45826.81473379629</v>
      </c>
      <c r="C318" s="1" t="n">
        <v>45968</v>
      </c>
      <c r="D318" t="inlineStr">
        <is>
          <t>VÄRMLANDS LÄN</t>
        </is>
      </c>
      <c r="E318" t="inlineStr">
        <is>
          <t>HAGFORS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20769-2023</t>
        </is>
      </c>
      <c r="B319" s="1" t="n">
        <v>45058.57238425926</v>
      </c>
      <c r="C319" s="1" t="n">
        <v>45968</v>
      </c>
      <c r="D319" t="inlineStr">
        <is>
          <t>VÄRMLANDS LÄN</t>
        </is>
      </c>
      <c r="E319" t="inlineStr">
        <is>
          <t>HAGFORS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19894-2024</t>
        </is>
      </c>
      <c r="B320" s="1" t="n">
        <v>45433.51168981481</v>
      </c>
      <c r="C320" s="1" t="n">
        <v>45968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29867-2025</t>
        </is>
      </c>
      <c r="B321" s="1" t="n">
        <v>45826.35269675926</v>
      </c>
      <c r="C321" s="1" t="n">
        <v>45968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3162-2025</t>
        </is>
      </c>
      <c r="B322" s="1" t="n">
        <v>45679</v>
      </c>
      <c r="C322" s="1" t="n">
        <v>45968</v>
      </c>
      <c r="D322" t="inlineStr">
        <is>
          <t>VÄRMLANDS LÄN</t>
        </is>
      </c>
      <c r="E322" t="inlineStr">
        <is>
          <t>HAGFORS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38267-2024</t>
        </is>
      </c>
      <c r="B323" s="1" t="n">
        <v>45545</v>
      </c>
      <c r="C323" s="1" t="n">
        <v>45968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29949-2025</t>
        </is>
      </c>
      <c r="B324" s="1" t="n">
        <v>45826.46570601852</v>
      </c>
      <c r="C324" s="1" t="n">
        <v>45968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29958-2025</t>
        </is>
      </c>
      <c r="B325" s="1" t="n">
        <v>45826.47554398148</v>
      </c>
      <c r="C325" s="1" t="n">
        <v>45968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30637-2025</t>
        </is>
      </c>
      <c r="B326" s="1" t="n">
        <v>45831.48282407408</v>
      </c>
      <c r="C326" s="1" t="n">
        <v>45968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30769-2025</t>
        </is>
      </c>
      <c r="B327" s="1" t="n">
        <v>45831.60834490741</v>
      </c>
      <c r="C327" s="1" t="n">
        <v>45968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8129-2024</t>
        </is>
      </c>
      <c r="B328" s="1" t="n">
        <v>45351</v>
      </c>
      <c r="C328" s="1" t="n">
        <v>45968</v>
      </c>
      <c r="D328" t="inlineStr">
        <is>
          <t>VÄRMLANDS LÄN</t>
        </is>
      </c>
      <c r="E328" t="inlineStr">
        <is>
          <t>HAGFORS</t>
        </is>
      </c>
      <c r="F328" t="inlineStr">
        <is>
          <t>Kyrkan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30778-2025</t>
        </is>
      </c>
      <c r="B329" s="1" t="n">
        <v>45831.62034722222</v>
      </c>
      <c r="C329" s="1" t="n">
        <v>45968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30635-2025</t>
        </is>
      </c>
      <c r="B330" s="1" t="n">
        <v>45831.48174768518</v>
      </c>
      <c r="C330" s="1" t="n">
        <v>45968</v>
      </c>
      <c r="D330" t="inlineStr">
        <is>
          <t>VÄRMLANDS LÄN</t>
        </is>
      </c>
      <c r="E330" t="inlineStr">
        <is>
          <t>HAGFORS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30642-2025</t>
        </is>
      </c>
      <c r="B331" s="1" t="n">
        <v>45831.48604166666</v>
      </c>
      <c r="C331" s="1" t="n">
        <v>45968</v>
      </c>
      <c r="D331" t="inlineStr">
        <is>
          <t>VÄRMLANDS LÄN</t>
        </is>
      </c>
      <c r="E331" t="inlineStr">
        <is>
          <t>HAGFORS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17286-2024</t>
        </is>
      </c>
      <c r="B332" s="1" t="n">
        <v>45414.46113425926</v>
      </c>
      <c r="C332" s="1" t="n">
        <v>45968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14897-2024</t>
        </is>
      </c>
      <c r="B333" s="1" t="n">
        <v>45398</v>
      </c>
      <c r="C333" s="1" t="n">
        <v>45968</v>
      </c>
      <c r="D333" t="inlineStr">
        <is>
          <t>VÄRMLANDS LÄN</t>
        </is>
      </c>
      <c r="E333" t="inlineStr">
        <is>
          <t>HAGFORS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26777-2023</t>
        </is>
      </c>
      <c r="B334" s="1" t="n">
        <v>45093.4815162037</v>
      </c>
      <c r="C334" s="1" t="n">
        <v>45968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2317-2025</t>
        </is>
      </c>
      <c r="B335" s="1" t="n">
        <v>45673.60954861111</v>
      </c>
      <c r="C335" s="1" t="n">
        <v>45968</v>
      </c>
      <c r="D335" t="inlineStr">
        <is>
          <t>VÄRMLANDS LÄN</t>
        </is>
      </c>
      <c r="E335" t="inlineStr">
        <is>
          <t>HAGFORS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11326-2025</t>
        </is>
      </c>
      <c r="B336" s="1" t="n">
        <v>45726.47511574074</v>
      </c>
      <c r="C336" s="1" t="n">
        <v>45968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13300-2023</t>
        </is>
      </c>
      <c r="B337" s="1" t="n">
        <v>45005.34288194445</v>
      </c>
      <c r="C337" s="1" t="n">
        <v>45968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33969-2022</t>
        </is>
      </c>
      <c r="B338" s="1" t="n">
        <v>44790.71461805556</v>
      </c>
      <c r="C338" s="1" t="n">
        <v>45968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25759-2023</t>
        </is>
      </c>
      <c r="B339" s="1" t="n">
        <v>45090</v>
      </c>
      <c r="C339" s="1" t="n">
        <v>45968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30995-2025</t>
        </is>
      </c>
      <c r="B340" s="1" t="n">
        <v>45832.48880787037</v>
      </c>
      <c r="C340" s="1" t="n">
        <v>45968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31660-2022</t>
        </is>
      </c>
      <c r="B341" s="1" t="n">
        <v>44776.29414351852</v>
      </c>
      <c r="C341" s="1" t="n">
        <v>45968</v>
      </c>
      <c r="D341" t="inlineStr">
        <is>
          <t>VÄRMLANDS LÄN</t>
        </is>
      </c>
      <c r="E341" t="inlineStr">
        <is>
          <t>HAGFORS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32185-2025</t>
        </is>
      </c>
      <c r="B342" s="1" t="n">
        <v>45835</v>
      </c>
      <c r="C342" s="1" t="n">
        <v>45968</v>
      </c>
      <c r="D342" t="inlineStr">
        <is>
          <t>VÄRMLANDS LÄN</t>
        </is>
      </c>
      <c r="E342" t="inlineStr">
        <is>
          <t>HAGFORS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23041-2024</t>
        </is>
      </c>
      <c r="B343" s="1" t="n">
        <v>45450.41297453704</v>
      </c>
      <c r="C343" s="1" t="n">
        <v>45968</v>
      </c>
      <c r="D343" t="inlineStr">
        <is>
          <t>VÄRMLANDS LÄN</t>
        </is>
      </c>
      <c r="E343" t="inlineStr">
        <is>
          <t>HAGFORS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23047-2024</t>
        </is>
      </c>
      <c r="B344" s="1" t="n">
        <v>45450.42415509259</v>
      </c>
      <c r="C344" s="1" t="n">
        <v>45968</v>
      </c>
      <c r="D344" t="inlineStr">
        <is>
          <t>VÄRMLANDS LÄN</t>
        </is>
      </c>
      <c r="E344" t="inlineStr">
        <is>
          <t>HAGFORS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15306-2025</t>
        </is>
      </c>
      <c r="B345" s="1" t="n">
        <v>45746.69599537037</v>
      </c>
      <c r="C345" s="1" t="n">
        <v>45968</v>
      </c>
      <c r="D345" t="inlineStr">
        <is>
          <t>VÄRMLANDS LÄN</t>
        </is>
      </c>
      <c r="E345" t="inlineStr">
        <is>
          <t>HAGFORS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29372-2023</t>
        </is>
      </c>
      <c r="B346" s="1" t="n">
        <v>45106</v>
      </c>
      <c r="C346" s="1" t="n">
        <v>45968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59092-2022</t>
        </is>
      </c>
      <c r="B347" s="1" t="n">
        <v>44904.38814814815</v>
      </c>
      <c r="C347" s="1" t="n">
        <v>45968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32235-2025</t>
        </is>
      </c>
      <c r="B348" s="1" t="n">
        <v>45835.60905092592</v>
      </c>
      <c r="C348" s="1" t="n">
        <v>45968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31974-2025</t>
        </is>
      </c>
      <c r="B349" s="1" t="n">
        <v>45835.35399305556</v>
      </c>
      <c r="C349" s="1" t="n">
        <v>45968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31618-2025</t>
        </is>
      </c>
      <c r="B350" s="1" t="n">
        <v>45833.84502314815</v>
      </c>
      <c r="C350" s="1" t="n">
        <v>45968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38806-2024</t>
        </is>
      </c>
      <c r="B351" s="1" t="n">
        <v>45547</v>
      </c>
      <c r="C351" s="1" t="n">
        <v>45968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32174-2025</t>
        </is>
      </c>
      <c r="B352" s="1" t="n">
        <v>45835.5549537037</v>
      </c>
      <c r="C352" s="1" t="n">
        <v>45968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56808-2023</t>
        </is>
      </c>
      <c r="B353" s="1" t="n">
        <v>45244</v>
      </c>
      <c r="C353" s="1" t="n">
        <v>45968</v>
      </c>
      <c r="D353" t="inlineStr">
        <is>
          <t>VÄRMLANDS LÄN</t>
        </is>
      </c>
      <c r="E353" t="inlineStr">
        <is>
          <t>HAGFORS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5749-2022</t>
        </is>
      </c>
      <c r="B354" s="1" t="n">
        <v>44596.46431712963</v>
      </c>
      <c r="C354" s="1" t="n">
        <v>45968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20662-2024</t>
        </is>
      </c>
      <c r="B355" s="1" t="n">
        <v>45436</v>
      </c>
      <c r="C355" s="1" t="n">
        <v>45968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64155-2023</t>
        </is>
      </c>
      <c r="B356" s="1" t="n">
        <v>45279.59862268518</v>
      </c>
      <c r="C356" s="1" t="n">
        <v>45968</v>
      </c>
      <c r="D356" t="inlineStr">
        <is>
          <t>VÄRMLANDS LÄN</t>
        </is>
      </c>
      <c r="E356" t="inlineStr">
        <is>
          <t>HAGFORS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51194-2022</t>
        </is>
      </c>
      <c r="B357" s="1" t="n">
        <v>44868</v>
      </c>
      <c r="C357" s="1" t="n">
        <v>45968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32690-2025</t>
        </is>
      </c>
      <c r="B358" s="1" t="n">
        <v>45839</v>
      </c>
      <c r="C358" s="1" t="n">
        <v>45968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32534-2025</t>
        </is>
      </c>
      <c r="B359" s="1" t="n">
        <v>45838</v>
      </c>
      <c r="C359" s="1" t="n">
        <v>45968</v>
      </c>
      <c r="D359" t="inlineStr">
        <is>
          <t>VÄRMLANDS LÄN</t>
        </is>
      </c>
      <c r="E359" t="inlineStr">
        <is>
          <t>HAGFORS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32688-2025</t>
        </is>
      </c>
      <c r="B360" s="1" t="n">
        <v>45838</v>
      </c>
      <c r="C360" s="1" t="n">
        <v>45968</v>
      </c>
      <c r="D360" t="inlineStr">
        <is>
          <t>VÄRMLANDS LÄN</t>
        </is>
      </c>
      <c r="E360" t="inlineStr">
        <is>
          <t>HAGFORS</t>
        </is>
      </c>
      <c r="F360" t="inlineStr">
        <is>
          <t>Kyrkan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52378-2021</t>
        </is>
      </c>
      <c r="B361" s="1" t="n">
        <v>44465</v>
      </c>
      <c r="C361" s="1" t="n">
        <v>45968</v>
      </c>
      <c r="D361" t="inlineStr">
        <is>
          <t>VÄRMLANDS LÄN</t>
        </is>
      </c>
      <c r="E361" t="inlineStr">
        <is>
          <t>HAGFORS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32689-2025</t>
        </is>
      </c>
      <c r="B362" s="1" t="n">
        <v>45839</v>
      </c>
      <c r="C362" s="1" t="n">
        <v>45968</v>
      </c>
      <c r="D362" t="inlineStr">
        <is>
          <t>VÄRMLANDS LÄN</t>
        </is>
      </c>
      <c r="E362" t="inlineStr">
        <is>
          <t>HAGFORS</t>
        </is>
      </c>
      <c r="F362" t="inlineStr">
        <is>
          <t>Kyrkan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20060-2023</t>
        </is>
      </c>
      <c r="B363" s="1" t="n">
        <v>45054.68832175926</v>
      </c>
      <c r="C363" s="1" t="n">
        <v>45968</v>
      </c>
      <c r="D363" t="inlineStr">
        <is>
          <t>VÄRMLANDS LÄN</t>
        </is>
      </c>
      <c r="E363" t="inlineStr">
        <is>
          <t>HAGFORS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32607-2025</t>
        </is>
      </c>
      <c r="B364" s="1" t="n">
        <v>45838.6309375</v>
      </c>
      <c r="C364" s="1" t="n">
        <v>45968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33199-2025</t>
        </is>
      </c>
      <c r="B365" s="1" t="n">
        <v>45840.60511574074</v>
      </c>
      <c r="C365" s="1" t="n">
        <v>45968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29492-2024</t>
        </is>
      </c>
      <c r="B366" s="1" t="n">
        <v>45484</v>
      </c>
      <c r="C366" s="1" t="n">
        <v>45968</v>
      </c>
      <c r="D366" t="inlineStr">
        <is>
          <t>VÄRMLANDS LÄN</t>
        </is>
      </c>
      <c r="E366" t="inlineStr">
        <is>
          <t>HAGFORS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27410-2023</t>
        </is>
      </c>
      <c r="B367" s="1" t="n">
        <v>45097.32498842593</v>
      </c>
      <c r="C367" s="1" t="n">
        <v>45968</v>
      </c>
      <c r="D367" t="inlineStr">
        <is>
          <t>VÄRMLANDS LÄN</t>
        </is>
      </c>
      <c r="E367" t="inlineStr">
        <is>
          <t>HAGFORS</t>
        </is>
      </c>
      <c r="F367" t="inlineStr">
        <is>
          <t>Kyrkan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33611-2025</t>
        </is>
      </c>
      <c r="B368" s="1" t="n">
        <v>45841.62028935185</v>
      </c>
      <c r="C368" s="1" t="n">
        <v>45968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32992-2025</t>
        </is>
      </c>
      <c r="B369" s="1" t="n">
        <v>45840.32103009259</v>
      </c>
      <c r="C369" s="1" t="n">
        <v>45968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33463-2025</t>
        </is>
      </c>
      <c r="B370" s="1" t="n">
        <v>45841</v>
      </c>
      <c r="C370" s="1" t="n">
        <v>45968</v>
      </c>
      <c r="D370" t="inlineStr">
        <is>
          <t>VÄRMLANDS LÄN</t>
        </is>
      </c>
      <c r="E370" t="inlineStr">
        <is>
          <t>HAGFORS</t>
        </is>
      </c>
      <c r="F370" t="inlineStr">
        <is>
          <t>Kyrkan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10348-2025</t>
        </is>
      </c>
      <c r="B371" s="1" t="n">
        <v>45720</v>
      </c>
      <c r="C371" s="1" t="n">
        <v>45968</v>
      </c>
      <c r="D371" t="inlineStr">
        <is>
          <t>VÄRMLANDS LÄN</t>
        </is>
      </c>
      <c r="E371" t="inlineStr">
        <is>
          <t>HAGFORS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50253-2023</t>
        </is>
      </c>
      <c r="B372" s="1" t="n">
        <v>45216.3637037037</v>
      </c>
      <c r="C372" s="1" t="n">
        <v>45968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33549-2025</t>
        </is>
      </c>
      <c r="B373" s="1" t="n">
        <v>45841</v>
      </c>
      <c r="C373" s="1" t="n">
        <v>45968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49753-2023</t>
        </is>
      </c>
      <c r="B374" s="1" t="n">
        <v>45212.54</v>
      </c>
      <c r="C374" s="1" t="n">
        <v>45968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33147-2025</t>
        </is>
      </c>
      <c r="B375" s="1" t="n">
        <v>45840.54100694445</v>
      </c>
      <c r="C375" s="1" t="n">
        <v>45968</v>
      </c>
      <c r="D375" t="inlineStr">
        <is>
          <t>VÄRMLANDS LÄN</t>
        </is>
      </c>
      <c r="E375" t="inlineStr">
        <is>
          <t>HAGFORS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33364-2025</t>
        </is>
      </c>
      <c r="B376" s="1" t="n">
        <v>45841</v>
      </c>
      <c r="C376" s="1" t="n">
        <v>45968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33187-2025</t>
        </is>
      </c>
      <c r="B377" s="1" t="n">
        <v>45840.59494212963</v>
      </c>
      <c r="C377" s="1" t="n">
        <v>45968</v>
      </c>
      <c r="D377" t="inlineStr">
        <is>
          <t>VÄRMLANDS LÄN</t>
        </is>
      </c>
      <c r="E377" t="inlineStr">
        <is>
          <t>HAGFORS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8820-2024</t>
        </is>
      </c>
      <c r="B378" s="1" t="n">
        <v>45356</v>
      </c>
      <c r="C378" s="1" t="n">
        <v>45968</v>
      </c>
      <c r="D378" t="inlineStr">
        <is>
          <t>VÄRMLANDS LÄN</t>
        </is>
      </c>
      <c r="E378" t="inlineStr">
        <is>
          <t>HAGFORS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52083-2024</t>
        </is>
      </c>
      <c r="B379" s="1" t="n">
        <v>45608.38739583334</v>
      </c>
      <c r="C379" s="1" t="n">
        <v>45968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44125-2021</t>
        </is>
      </c>
      <c r="B380" s="1" t="n">
        <v>44434</v>
      </c>
      <c r="C380" s="1" t="n">
        <v>45968</v>
      </c>
      <c r="D380" t="inlineStr">
        <is>
          <t>VÄRMLANDS LÄN</t>
        </is>
      </c>
      <c r="E380" t="inlineStr">
        <is>
          <t>HAGFORS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11104-2022</t>
        </is>
      </c>
      <c r="B381" s="1" t="n">
        <v>44628</v>
      </c>
      <c r="C381" s="1" t="n">
        <v>45968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33440-2025</t>
        </is>
      </c>
      <c r="B382" s="1" t="n">
        <v>45841</v>
      </c>
      <c r="C382" s="1" t="n">
        <v>45968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33171-2025</t>
        </is>
      </c>
      <c r="B383" s="1" t="n">
        <v>45840.58363425926</v>
      </c>
      <c r="C383" s="1" t="n">
        <v>45968</v>
      </c>
      <c r="D383" t="inlineStr">
        <is>
          <t>VÄRMLANDS LÄN</t>
        </is>
      </c>
      <c r="E383" t="inlineStr">
        <is>
          <t>HAGFORS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60991-2024</t>
        </is>
      </c>
      <c r="B384" s="1" t="n">
        <v>45645.41983796296</v>
      </c>
      <c r="C384" s="1" t="n">
        <v>45968</v>
      </c>
      <c r="D384" t="inlineStr">
        <is>
          <t>VÄRMLANDS LÄN</t>
        </is>
      </c>
      <c r="E384" t="inlineStr">
        <is>
          <t>HAGFORS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56888-2023</t>
        </is>
      </c>
      <c r="B385" s="1" t="n">
        <v>45244</v>
      </c>
      <c r="C385" s="1" t="n">
        <v>45968</v>
      </c>
      <c r="D385" t="inlineStr">
        <is>
          <t>VÄRMLANDS LÄN</t>
        </is>
      </c>
      <c r="E385" t="inlineStr">
        <is>
          <t>HAGFORS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34153-2025</t>
        </is>
      </c>
      <c r="B386" s="1" t="n">
        <v>45845.57174768519</v>
      </c>
      <c r="C386" s="1" t="n">
        <v>45968</v>
      </c>
      <c r="D386" t="inlineStr">
        <is>
          <t>VÄRMLANDS LÄN</t>
        </is>
      </c>
      <c r="E386" t="inlineStr">
        <is>
          <t>HAGFORS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34158-2025</t>
        </is>
      </c>
      <c r="B387" s="1" t="n">
        <v>45845.57493055556</v>
      </c>
      <c r="C387" s="1" t="n">
        <v>45968</v>
      </c>
      <c r="D387" t="inlineStr">
        <is>
          <t>VÄRMLANDS LÄN</t>
        </is>
      </c>
      <c r="E387" t="inlineStr">
        <is>
          <t>HAGFORS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29855-2023</t>
        </is>
      </c>
      <c r="B388" s="1" t="n">
        <v>45107.59769675926</v>
      </c>
      <c r="C388" s="1" t="n">
        <v>45968</v>
      </c>
      <c r="D388" t="inlineStr">
        <is>
          <t>VÄRMLANDS LÄN</t>
        </is>
      </c>
      <c r="E388" t="inlineStr">
        <is>
          <t>HAGFORS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22031-2023</t>
        </is>
      </c>
      <c r="B389" s="1" t="n">
        <v>45069</v>
      </c>
      <c r="C389" s="1" t="n">
        <v>45968</v>
      </c>
      <c r="D389" t="inlineStr">
        <is>
          <t>VÄRMLANDS LÄN</t>
        </is>
      </c>
      <c r="E389" t="inlineStr">
        <is>
          <t>HAGFORS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16824-2023</t>
        </is>
      </c>
      <c r="B390" s="1" t="n">
        <v>45033</v>
      </c>
      <c r="C390" s="1" t="n">
        <v>45968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8304-2022</t>
        </is>
      </c>
      <c r="B391" s="1" t="n">
        <v>44610.46342592593</v>
      </c>
      <c r="C391" s="1" t="n">
        <v>45968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47027-2023</t>
        </is>
      </c>
      <c r="B392" s="1" t="n">
        <v>45201</v>
      </c>
      <c r="C392" s="1" t="n">
        <v>45968</v>
      </c>
      <c r="D392" t="inlineStr">
        <is>
          <t>VÄRMLANDS LÄN</t>
        </is>
      </c>
      <c r="E392" t="inlineStr">
        <is>
          <t>HAGFORS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47033-2023</t>
        </is>
      </c>
      <c r="B393" s="1" t="n">
        <v>45201.5355324074</v>
      </c>
      <c r="C393" s="1" t="n">
        <v>45968</v>
      </c>
      <c r="D393" t="inlineStr">
        <is>
          <t>VÄRMLANDS LÄN</t>
        </is>
      </c>
      <c r="E393" t="inlineStr">
        <is>
          <t>HAGFORS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33454-2025</t>
        </is>
      </c>
      <c r="B394" s="1" t="n">
        <v>45841</v>
      </c>
      <c r="C394" s="1" t="n">
        <v>45968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32977-2025</t>
        </is>
      </c>
      <c r="B395" s="1" t="n">
        <v>45839</v>
      </c>
      <c r="C395" s="1" t="n">
        <v>45968</v>
      </c>
      <c r="D395" t="inlineStr">
        <is>
          <t>VÄRMLANDS LÄN</t>
        </is>
      </c>
      <c r="E395" t="inlineStr">
        <is>
          <t>HAGFORS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57162-2024</t>
        </is>
      </c>
      <c r="B396" s="1" t="n">
        <v>45629.40688657408</v>
      </c>
      <c r="C396" s="1" t="n">
        <v>45968</v>
      </c>
      <c r="D396" t="inlineStr">
        <is>
          <t>VÄRMLANDS LÄN</t>
        </is>
      </c>
      <c r="E396" t="inlineStr">
        <is>
          <t>HAGFORS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54746-2024</t>
        </is>
      </c>
      <c r="B397" s="1" t="n">
        <v>45618.44652777778</v>
      </c>
      <c r="C397" s="1" t="n">
        <v>45968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41502-2024</t>
        </is>
      </c>
      <c r="B398" s="1" t="n">
        <v>45560</v>
      </c>
      <c r="C398" s="1" t="n">
        <v>45968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56884-2023</t>
        </is>
      </c>
      <c r="B399" s="1" t="n">
        <v>45244</v>
      </c>
      <c r="C399" s="1" t="n">
        <v>45968</v>
      </c>
      <c r="D399" t="inlineStr">
        <is>
          <t>VÄRMLANDS LÄN</t>
        </is>
      </c>
      <c r="E399" t="inlineStr">
        <is>
          <t>HAGFORS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2315-2024</t>
        </is>
      </c>
      <c r="B400" s="1" t="n">
        <v>45310.48018518519</v>
      </c>
      <c r="C400" s="1" t="n">
        <v>45968</v>
      </c>
      <c r="D400" t="inlineStr">
        <is>
          <t>VÄRMLANDS LÄN</t>
        </is>
      </c>
      <c r="E400" t="inlineStr">
        <is>
          <t>HAGFORS</t>
        </is>
      </c>
      <c r="F400" t="inlineStr">
        <is>
          <t>Kyrkan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34107-2025</t>
        </is>
      </c>
      <c r="B401" s="1" t="n">
        <v>45845</v>
      </c>
      <c r="C401" s="1" t="n">
        <v>45968</v>
      </c>
      <c r="D401" t="inlineStr">
        <is>
          <t>VÄRMLANDS LÄN</t>
        </is>
      </c>
      <c r="E401" t="inlineStr">
        <is>
          <t>HAGFORS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34133-2025</t>
        </is>
      </c>
      <c r="B402" s="1" t="n">
        <v>45845.53253472222</v>
      </c>
      <c r="C402" s="1" t="n">
        <v>45968</v>
      </c>
      <c r="D402" t="inlineStr">
        <is>
          <t>VÄRMLANDS LÄN</t>
        </is>
      </c>
      <c r="E402" t="inlineStr">
        <is>
          <t>HAGFORS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34121-2025</t>
        </is>
      </c>
      <c r="B403" s="1" t="n">
        <v>45845.51818287037</v>
      </c>
      <c r="C403" s="1" t="n">
        <v>45968</v>
      </c>
      <c r="D403" t="inlineStr">
        <is>
          <t>VÄRMLANDS LÄN</t>
        </is>
      </c>
      <c r="E403" t="inlineStr">
        <is>
          <t>HAGFORS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34149-2025</t>
        </is>
      </c>
      <c r="B404" s="1" t="n">
        <v>45845.5663425926</v>
      </c>
      <c r="C404" s="1" t="n">
        <v>45968</v>
      </c>
      <c r="D404" t="inlineStr">
        <is>
          <t>VÄRMLANDS LÄN</t>
        </is>
      </c>
      <c r="E404" t="inlineStr">
        <is>
          <t>HAGFORS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33848-2025</t>
        </is>
      </c>
      <c r="B405" s="1" t="n">
        <v>45842</v>
      </c>
      <c r="C405" s="1" t="n">
        <v>45968</v>
      </c>
      <c r="D405" t="inlineStr">
        <is>
          <t>VÄRMLANDS LÄN</t>
        </is>
      </c>
      <c r="E405" t="inlineStr">
        <is>
          <t>HAGFORS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3557-2023</t>
        </is>
      </c>
      <c r="B406" s="1" t="n">
        <v>44950</v>
      </c>
      <c r="C406" s="1" t="n">
        <v>45968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3566-2023</t>
        </is>
      </c>
      <c r="B407" s="1" t="n">
        <v>44950</v>
      </c>
      <c r="C407" s="1" t="n">
        <v>45968</v>
      </c>
      <c r="D407" t="inlineStr">
        <is>
          <t>VÄRMLANDS LÄN</t>
        </is>
      </c>
      <c r="E407" t="inlineStr">
        <is>
          <t>HAGFORS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34134-2025</t>
        </is>
      </c>
      <c r="B408" s="1" t="n">
        <v>45845.53645833334</v>
      </c>
      <c r="C408" s="1" t="n">
        <v>45968</v>
      </c>
      <c r="D408" t="inlineStr">
        <is>
          <t>VÄRMLANDS LÄN</t>
        </is>
      </c>
      <c r="E408" t="inlineStr">
        <is>
          <t>HAGFORS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46190-2024</t>
        </is>
      </c>
      <c r="B409" s="1" t="n">
        <v>45581</v>
      </c>
      <c r="C409" s="1" t="n">
        <v>45968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34572-2025</t>
        </is>
      </c>
      <c r="B410" s="1" t="n">
        <v>45847.59761574074</v>
      </c>
      <c r="C410" s="1" t="n">
        <v>45968</v>
      </c>
      <c r="D410" t="inlineStr">
        <is>
          <t>VÄRMLANDS LÄN</t>
        </is>
      </c>
      <c r="E410" t="inlineStr">
        <is>
          <t>HAGFORS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34281-2025</t>
        </is>
      </c>
      <c r="B411" s="1" t="n">
        <v>45846</v>
      </c>
      <c r="C411" s="1" t="n">
        <v>45968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19515-2025</t>
        </is>
      </c>
      <c r="B412" s="1" t="n">
        <v>45770.43998842593</v>
      </c>
      <c r="C412" s="1" t="n">
        <v>45968</v>
      </c>
      <c r="D412" t="inlineStr">
        <is>
          <t>VÄRMLANDS LÄN</t>
        </is>
      </c>
      <c r="E412" t="inlineStr">
        <is>
          <t>HAGFORS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34649-2025</t>
        </is>
      </c>
      <c r="B413" s="1" t="n">
        <v>45848.34846064815</v>
      </c>
      <c r="C413" s="1" t="n">
        <v>45968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55137-2024</t>
        </is>
      </c>
      <c r="B414" s="1" t="n">
        <v>45621.4802199074</v>
      </c>
      <c r="C414" s="1" t="n">
        <v>45968</v>
      </c>
      <c r="D414" t="inlineStr">
        <is>
          <t>VÄRMLANDS LÄN</t>
        </is>
      </c>
      <c r="E414" t="inlineStr">
        <is>
          <t>HAGFORS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42801-2024</t>
        </is>
      </c>
      <c r="B415" s="1" t="n">
        <v>45565</v>
      </c>
      <c r="C415" s="1" t="n">
        <v>45968</v>
      </c>
      <c r="D415" t="inlineStr">
        <is>
          <t>VÄRMLANDS LÄN</t>
        </is>
      </c>
      <c r="E415" t="inlineStr">
        <is>
          <t>HAGFORS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33146-2024</t>
        </is>
      </c>
      <c r="B416" s="1" t="n">
        <v>45518.36734953704</v>
      </c>
      <c r="C416" s="1" t="n">
        <v>45968</v>
      </c>
      <c r="D416" t="inlineStr">
        <is>
          <t>VÄRMLANDS LÄN</t>
        </is>
      </c>
      <c r="E416" t="inlineStr">
        <is>
          <t>HAGFORS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42223-2022</t>
        </is>
      </c>
      <c r="B417" s="1" t="n">
        <v>44830.69011574074</v>
      </c>
      <c r="C417" s="1" t="n">
        <v>45968</v>
      </c>
      <c r="D417" t="inlineStr">
        <is>
          <t>VÄRMLANDS LÄN</t>
        </is>
      </c>
      <c r="E417" t="inlineStr">
        <is>
          <t>HAGFORS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45218-2021</t>
        </is>
      </c>
      <c r="B418" s="1" t="n">
        <v>44439</v>
      </c>
      <c r="C418" s="1" t="n">
        <v>45968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19125-2024</t>
        </is>
      </c>
      <c r="B419" s="1" t="n">
        <v>45428.39799768518</v>
      </c>
      <c r="C419" s="1" t="n">
        <v>45968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21954-2025</t>
        </is>
      </c>
      <c r="B420" s="1" t="n">
        <v>45784.59996527778</v>
      </c>
      <c r="C420" s="1" t="n">
        <v>45968</v>
      </c>
      <c r="D420" t="inlineStr">
        <is>
          <t>VÄRMLANDS LÄN</t>
        </is>
      </c>
      <c r="E420" t="inlineStr">
        <is>
          <t>HAGFORS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35212-2025</t>
        </is>
      </c>
      <c r="B421" s="1" t="n">
        <v>45853.46285879629</v>
      </c>
      <c r="C421" s="1" t="n">
        <v>45968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4745-2024</t>
        </is>
      </c>
      <c r="B422" s="1" t="n">
        <v>45328</v>
      </c>
      <c r="C422" s="1" t="n">
        <v>45968</v>
      </c>
      <c r="D422" t="inlineStr">
        <is>
          <t>VÄRMLANDS LÄN</t>
        </is>
      </c>
      <c r="E422" t="inlineStr">
        <is>
          <t>HAGFORS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35441-2025</t>
        </is>
      </c>
      <c r="B423" s="1" t="n">
        <v>45855</v>
      </c>
      <c r="C423" s="1" t="n">
        <v>45968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28654-2023</t>
        </is>
      </c>
      <c r="B424" s="1" t="n">
        <v>45103</v>
      </c>
      <c r="C424" s="1" t="n">
        <v>45968</v>
      </c>
      <c r="D424" t="inlineStr">
        <is>
          <t>VÄRMLANDS LÄN</t>
        </is>
      </c>
      <c r="E424" t="inlineStr">
        <is>
          <t>HAGFORS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35312-2025</t>
        </is>
      </c>
      <c r="B425" s="1" t="n">
        <v>45854</v>
      </c>
      <c r="C425" s="1" t="n">
        <v>45968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60615-2020</t>
        </is>
      </c>
      <c r="B426" s="1" t="n">
        <v>44153</v>
      </c>
      <c r="C426" s="1" t="n">
        <v>45968</v>
      </c>
      <c r="D426" t="inlineStr">
        <is>
          <t>VÄRMLANDS LÄN</t>
        </is>
      </c>
      <c r="E426" t="inlineStr">
        <is>
          <t>HAGFORS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35307-2025</t>
        </is>
      </c>
      <c r="B427" s="1" t="n">
        <v>45854</v>
      </c>
      <c r="C427" s="1" t="n">
        <v>45968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56466-2024</t>
        </is>
      </c>
      <c r="B428" s="1" t="n">
        <v>45625.45358796296</v>
      </c>
      <c r="C428" s="1" t="n">
        <v>45968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16840-2025</t>
        </is>
      </c>
      <c r="B429" s="1" t="n">
        <v>45754</v>
      </c>
      <c r="C429" s="1" t="n">
        <v>45968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16803-2025</t>
        </is>
      </c>
      <c r="B430" s="1" t="n">
        <v>45754</v>
      </c>
      <c r="C430" s="1" t="n">
        <v>45968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35282-2025</t>
        </is>
      </c>
      <c r="B431" s="1" t="n">
        <v>45854</v>
      </c>
      <c r="C431" s="1" t="n">
        <v>45968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35289-2025</t>
        </is>
      </c>
      <c r="B432" s="1" t="n">
        <v>45854</v>
      </c>
      <c r="C432" s="1" t="n">
        <v>45968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35508-2025</t>
        </is>
      </c>
      <c r="B433" s="1" t="n">
        <v>45856</v>
      </c>
      <c r="C433" s="1" t="n">
        <v>45968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23813-2025</t>
        </is>
      </c>
      <c r="B434" s="1" t="n">
        <v>45793</v>
      </c>
      <c r="C434" s="1" t="n">
        <v>45968</v>
      </c>
      <c r="D434" t="inlineStr">
        <is>
          <t>VÄRMLANDS LÄN</t>
        </is>
      </c>
      <c r="E434" t="inlineStr">
        <is>
          <t>HAGFORS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35502-2025</t>
        </is>
      </c>
      <c r="B435" s="1" t="n">
        <v>45856</v>
      </c>
      <c r="C435" s="1" t="n">
        <v>45968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35698-2025</t>
        </is>
      </c>
      <c r="B436" s="1" t="n">
        <v>45860</v>
      </c>
      <c r="C436" s="1" t="n">
        <v>45968</v>
      </c>
      <c r="D436" t="inlineStr">
        <is>
          <t>VÄRMLANDS LÄN</t>
        </is>
      </c>
      <c r="E436" t="inlineStr">
        <is>
          <t>HAGFORS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24961-2024</t>
        </is>
      </c>
      <c r="B437" s="1" t="n">
        <v>45461</v>
      </c>
      <c r="C437" s="1" t="n">
        <v>45968</v>
      </c>
      <c r="D437" t="inlineStr">
        <is>
          <t>VÄRMLANDS LÄN</t>
        </is>
      </c>
      <c r="E437" t="inlineStr">
        <is>
          <t>HAGFORS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11241-2024</t>
        </is>
      </c>
      <c r="B438" s="1" t="n">
        <v>45371.62233796297</v>
      </c>
      <c r="C438" s="1" t="n">
        <v>45968</v>
      </c>
      <c r="D438" t="inlineStr">
        <is>
          <t>VÄRMLANDS LÄN</t>
        </is>
      </c>
      <c r="E438" t="inlineStr">
        <is>
          <t>HAGFORS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9763-2025</t>
        </is>
      </c>
      <c r="B439" s="1" t="n">
        <v>45716.47974537037</v>
      </c>
      <c r="C439" s="1" t="n">
        <v>45968</v>
      </c>
      <c r="D439" t="inlineStr">
        <is>
          <t>VÄRMLANDS LÄN</t>
        </is>
      </c>
      <c r="E439" t="inlineStr">
        <is>
          <t>HAGFORS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18585-2025</t>
        </is>
      </c>
      <c r="B440" s="1" t="n">
        <v>45763</v>
      </c>
      <c r="C440" s="1" t="n">
        <v>45968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26628-2024</t>
        </is>
      </c>
      <c r="B441" s="1" t="n">
        <v>45469</v>
      </c>
      <c r="C441" s="1" t="n">
        <v>45968</v>
      </c>
      <c r="D441" t="inlineStr">
        <is>
          <t>VÄRMLANDS LÄN</t>
        </is>
      </c>
      <c r="E441" t="inlineStr">
        <is>
          <t>HAGFORS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35908-2022</t>
        </is>
      </c>
      <c r="B442" s="1" t="n">
        <v>44802</v>
      </c>
      <c r="C442" s="1" t="n">
        <v>45968</v>
      </c>
      <c r="D442" t="inlineStr">
        <is>
          <t>VÄRMLANDS LÄN</t>
        </is>
      </c>
      <c r="E442" t="inlineStr">
        <is>
          <t>HAGFORS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33905-2025</t>
        </is>
      </c>
      <c r="B443" s="1" t="n">
        <v>45842</v>
      </c>
      <c r="C443" s="1" t="n">
        <v>45968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30180-2022</t>
        </is>
      </c>
      <c r="B444" s="1" t="n">
        <v>44757.58894675926</v>
      </c>
      <c r="C444" s="1" t="n">
        <v>45968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61304-2023</t>
        </is>
      </c>
      <c r="B445" s="1" t="n">
        <v>45264</v>
      </c>
      <c r="C445" s="1" t="n">
        <v>45968</v>
      </c>
      <c r="D445" t="inlineStr">
        <is>
          <t>VÄRMLANDS LÄN</t>
        </is>
      </c>
      <c r="E445" t="inlineStr">
        <is>
          <t>HAGFORS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4047-2024</t>
        </is>
      </c>
      <c r="B446" s="1" t="n">
        <v>45323.47203703703</v>
      </c>
      <c r="C446" s="1" t="n">
        <v>45968</v>
      </c>
      <c r="D446" t="inlineStr">
        <is>
          <t>VÄRMLANDS LÄN</t>
        </is>
      </c>
      <c r="E446" t="inlineStr">
        <is>
          <t>HAGFORS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20119-2025</t>
        </is>
      </c>
      <c r="B447" s="1" t="n">
        <v>45772</v>
      </c>
      <c r="C447" s="1" t="n">
        <v>45968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36152-2025</t>
        </is>
      </c>
      <c r="B448" s="1" t="n">
        <v>45867.33517361111</v>
      </c>
      <c r="C448" s="1" t="n">
        <v>45968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36059-2025</t>
        </is>
      </c>
      <c r="B449" s="1" t="n">
        <v>45866.39311342593</v>
      </c>
      <c r="C449" s="1" t="n">
        <v>45968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36254-2025</t>
        </is>
      </c>
      <c r="B450" s="1" t="n">
        <v>45867.5820949074</v>
      </c>
      <c r="C450" s="1" t="n">
        <v>45968</v>
      </c>
      <c r="D450" t="inlineStr">
        <is>
          <t>VÄRMLANDS LÄN</t>
        </is>
      </c>
      <c r="E450" t="inlineStr">
        <is>
          <t>HAGFORS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36235-2025</t>
        </is>
      </c>
      <c r="B451" s="1" t="n">
        <v>45867</v>
      </c>
      <c r="C451" s="1" t="n">
        <v>45968</v>
      </c>
      <c r="D451" t="inlineStr">
        <is>
          <t>VÄRMLANDS LÄN</t>
        </is>
      </c>
      <c r="E451" t="inlineStr">
        <is>
          <t>HAGFORS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36039-2025</t>
        </is>
      </c>
      <c r="B452" s="1" t="n">
        <v>45865.98025462963</v>
      </c>
      <c r="C452" s="1" t="n">
        <v>45968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34901-2024</t>
        </is>
      </c>
      <c r="B453" s="1" t="n">
        <v>45527.38928240741</v>
      </c>
      <c r="C453" s="1" t="n">
        <v>45968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47019-2023</t>
        </is>
      </c>
      <c r="B454" s="1" t="n">
        <v>45201</v>
      </c>
      <c r="C454" s="1" t="n">
        <v>45968</v>
      </c>
      <c r="D454" t="inlineStr">
        <is>
          <t>VÄRMLANDS LÄN</t>
        </is>
      </c>
      <c r="E454" t="inlineStr">
        <is>
          <t>HAGFORS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2436-2021</t>
        </is>
      </c>
      <c r="B455" s="1" t="n">
        <v>44214</v>
      </c>
      <c r="C455" s="1" t="n">
        <v>45968</v>
      </c>
      <c r="D455" t="inlineStr">
        <is>
          <t>VÄRMLANDS LÄN</t>
        </is>
      </c>
      <c r="E455" t="inlineStr">
        <is>
          <t>HAGFORS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31908-2024</t>
        </is>
      </c>
      <c r="B456" s="1" t="n">
        <v>45510.34908564815</v>
      </c>
      <c r="C456" s="1" t="n">
        <v>45968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18853-2025</t>
        </is>
      </c>
      <c r="B457" s="1" t="n">
        <v>45764</v>
      </c>
      <c r="C457" s="1" t="n">
        <v>45968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18699-2022</t>
        </is>
      </c>
      <c r="B458" s="1" t="n">
        <v>44687</v>
      </c>
      <c r="C458" s="1" t="n">
        <v>45968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20.2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35888-2023</t>
        </is>
      </c>
      <c r="B459" s="1" t="n">
        <v>45148.6049537037</v>
      </c>
      <c r="C459" s="1" t="n">
        <v>45968</v>
      </c>
      <c r="D459" t="inlineStr">
        <is>
          <t>VÄRMLANDS LÄN</t>
        </is>
      </c>
      <c r="E459" t="inlineStr">
        <is>
          <t>HAGFORS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32604-2025</t>
        </is>
      </c>
      <c r="B460" s="1" t="n">
        <v>45838</v>
      </c>
      <c r="C460" s="1" t="n">
        <v>45968</v>
      </c>
      <c r="D460" t="inlineStr">
        <is>
          <t>VÄRMLANDS LÄN</t>
        </is>
      </c>
      <c r="E460" t="inlineStr">
        <is>
          <t>HAGFORS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60664-2023</t>
        </is>
      </c>
      <c r="B461" s="1" t="n">
        <v>45259</v>
      </c>
      <c r="C461" s="1" t="n">
        <v>45968</v>
      </c>
      <c r="D461" t="inlineStr">
        <is>
          <t>VÄRMLANDS LÄN</t>
        </is>
      </c>
      <c r="E461" t="inlineStr">
        <is>
          <t>HAGFORS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59449-2024</t>
        </is>
      </c>
      <c r="B462" s="1" t="n">
        <v>45638.46268518519</v>
      </c>
      <c r="C462" s="1" t="n">
        <v>45968</v>
      </c>
      <c r="D462" t="inlineStr">
        <is>
          <t>VÄRMLANDS LÄN</t>
        </is>
      </c>
      <c r="E462" t="inlineStr">
        <is>
          <t>HAGFORS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43595-2024</t>
        </is>
      </c>
      <c r="B463" s="1" t="n">
        <v>45569.44310185185</v>
      </c>
      <c r="C463" s="1" t="n">
        <v>45968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36494-2025</t>
        </is>
      </c>
      <c r="B464" s="1" t="n">
        <v>45869</v>
      </c>
      <c r="C464" s="1" t="n">
        <v>45968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35775-2024</t>
        </is>
      </c>
      <c r="B465" s="1" t="n">
        <v>45532</v>
      </c>
      <c r="C465" s="1" t="n">
        <v>45968</v>
      </c>
      <c r="D465" t="inlineStr">
        <is>
          <t>VÄRMLANDS LÄN</t>
        </is>
      </c>
      <c r="E465" t="inlineStr">
        <is>
          <t>HAGFORS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17696-2025</t>
        </is>
      </c>
      <c r="B466" s="1" t="n">
        <v>45758.41444444445</v>
      </c>
      <c r="C466" s="1" t="n">
        <v>45968</v>
      </c>
      <c r="D466" t="inlineStr">
        <is>
          <t>VÄRMLANDS LÄN</t>
        </is>
      </c>
      <c r="E466" t="inlineStr">
        <is>
          <t>HAGFORS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59329-2024</t>
        </is>
      </c>
      <c r="B467" s="1" t="n">
        <v>45637.76869212963</v>
      </c>
      <c r="C467" s="1" t="n">
        <v>45968</v>
      </c>
      <c r="D467" t="inlineStr">
        <is>
          <t>VÄRMLANDS LÄN</t>
        </is>
      </c>
      <c r="E467" t="inlineStr">
        <is>
          <t>HAGFORS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13635-2024</t>
        </is>
      </c>
      <c r="B468" s="1" t="n">
        <v>45390</v>
      </c>
      <c r="C468" s="1" t="n">
        <v>45968</v>
      </c>
      <c r="D468" t="inlineStr">
        <is>
          <t>VÄRMLANDS LÄN</t>
        </is>
      </c>
      <c r="E468" t="inlineStr">
        <is>
          <t>HAGFORS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59666-2024</t>
        </is>
      </c>
      <c r="B469" s="1" t="n">
        <v>45639</v>
      </c>
      <c r="C469" s="1" t="n">
        <v>45968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36030-2023</t>
        </is>
      </c>
      <c r="B470" s="1" t="n">
        <v>45149.38164351852</v>
      </c>
      <c r="C470" s="1" t="n">
        <v>45968</v>
      </c>
      <c r="D470" t="inlineStr">
        <is>
          <t>VÄRMLANDS LÄN</t>
        </is>
      </c>
      <c r="E470" t="inlineStr">
        <is>
          <t>HAGFORS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29269-2025</t>
        </is>
      </c>
      <c r="B471" s="1" t="n">
        <v>45824</v>
      </c>
      <c r="C471" s="1" t="n">
        <v>45968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50929-2023</t>
        </is>
      </c>
      <c r="B472" s="1" t="n">
        <v>45211</v>
      </c>
      <c r="C472" s="1" t="n">
        <v>45968</v>
      </c>
      <c r="D472" t="inlineStr">
        <is>
          <t>VÄRMLANDS LÄN</t>
        </is>
      </c>
      <c r="E472" t="inlineStr">
        <is>
          <t>HAGFORS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35065-2023</t>
        </is>
      </c>
      <c r="B473" s="1" t="n">
        <v>45145</v>
      </c>
      <c r="C473" s="1" t="n">
        <v>45968</v>
      </c>
      <c r="D473" t="inlineStr">
        <is>
          <t>VÄRMLANDS LÄN</t>
        </is>
      </c>
      <c r="E473" t="inlineStr">
        <is>
          <t>HAGFORS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38132-2022</t>
        </is>
      </c>
      <c r="B474" s="1" t="n">
        <v>44812</v>
      </c>
      <c r="C474" s="1" t="n">
        <v>45968</v>
      </c>
      <c r="D474" t="inlineStr">
        <is>
          <t>VÄRMLANDS LÄN</t>
        </is>
      </c>
      <c r="E474" t="inlineStr">
        <is>
          <t>HAGFORS</t>
        </is>
      </c>
      <c r="F474" t="inlineStr">
        <is>
          <t>Kyrkan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11980-2022</t>
        </is>
      </c>
      <c r="B475" s="1" t="n">
        <v>44635</v>
      </c>
      <c r="C475" s="1" t="n">
        <v>45968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57359-2022</t>
        </is>
      </c>
      <c r="B476" s="1" t="n">
        <v>44896</v>
      </c>
      <c r="C476" s="1" t="n">
        <v>45968</v>
      </c>
      <c r="D476" t="inlineStr">
        <is>
          <t>VÄRMLANDS LÄN</t>
        </is>
      </c>
      <c r="E476" t="inlineStr">
        <is>
          <t>HAGFORS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41092-2024</t>
        </is>
      </c>
      <c r="B477" s="1" t="n">
        <v>45559.42854166667</v>
      </c>
      <c r="C477" s="1" t="n">
        <v>45968</v>
      </c>
      <c r="D477" t="inlineStr">
        <is>
          <t>VÄRMLANDS LÄN</t>
        </is>
      </c>
      <c r="E477" t="inlineStr">
        <is>
          <t>HAGFORS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5778-2024</t>
        </is>
      </c>
      <c r="B478" s="1" t="n">
        <v>45335.41743055556</v>
      </c>
      <c r="C478" s="1" t="n">
        <v>45968</v>
      </c>
      <c r="D478" t="inlineStr">
        <is>
          <t>VÄRMLANDS LÄN</t>
        </is>
      </c>
      <c r="E478" t="inlineStr">
        <is>
          <t>HAGFORS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36764-2025</t>
        </is>
      </c>
      <c r="B479" s="1" t="n">
        <v>45873</v>
      </c>
      <c r="C479" s="1" t="n">
        <v>45968</v>
      </c>
      <c r="D479" t="inlineStr">
        <is>
          <t>VÄRMLANDS LÄN</t>
        </is>
      </c>
      <c r="E479" t="inlineStr">
        <is>
          <t>HAGFORS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15886-2022</t>
        </is>
      </c>
      <c r="B480" s="1" t="n">
        <v>44664.50883101852</v>
      </c>
      <c r="C480" s="1" t="n">
        <v>45968</v>
      </c>
      <c r="D480" t="inlineStr">
        <is>
          <t>VÄRMLANDS LÄN</t>
        </is>
      </c>
      <c r="E480" t="inlineStr">
        <is>
          <t>HAGFORS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50199-2022</t>
        </is>
      </c>
      <c r="B481" s="1" t="n">
        <v>44865</v>
      </c>
      <c r="C481" s="1" t="n">
        <v>45968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17750-2023</t>
        </is>
      </c>
      <c r="B482" s="1" t="n">
        <v>45037</v>
      </c>
      <c r="C482" s="1" t="n">
        <v>45968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26297-2024</t>
        </is>
      </c>
      <c r="B483" s="1" t="n">
        <v>45468</v>
      </c>
      <c r="C483" s="1" t="n">
        <v>45968</v>
      </c>
      <c r="D483" t="inlineStr">
        <is>
          <t>VÄRMLANDS LÄN</t>
        </is>
      </c>
      <c r="E483" t="inlineStr">
        <is>
          <t>HAGFORS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39396-2023</t>
        </is>
      </c>
      <c r="B484" s="1" t="n">
        <v>45166</v>
      </c>
      <c r="C484" s="1" t="n">
        <v>45968</v>
      </c>
      <c r="D484" t="inlineStr">
        <is>
          <t>VÄRMLANDS LÄN</t>
        </is>
      </c>
      <c r="E484" t="inlineStr">
        <is>
          <t>HAGFORS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32031-2024</t>
        </is>
      </c>
      <c r="B485" s="1" t="n">
        <v>45510.6646875</v>
      </c>
      <c r="C485" s="1" t="n">
        <v>45968</v>
      </c>
      <c r="D485" t="inlineStr">
        <is>
          <t>VÄRMLANDS LÄN</t>
        </is>
      </c>
      <c r="E485" t="inlineStr">
        <is>
          <t>HAGFORS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37027-2025</t>
        </is>
      </c>
      <c r="B486" s="1" t="n">
        <v>45874.88440972222</v>
      </c>
      <c r="C486" s="1" t="n">
        <v>45968</v>
      </c>
      <c r="D486" t="inlineStr">
        <is>
          <t>VÄRMLANDS LÄN</t>
        </is>
      </c>
      <c r="E486" t="inlineStr">
        <is>
          <t>HAGFORS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18629-2025</t>
        </is>
      </c>
      <c r="B487" s="1" t="n">
        <v>45763</v>
      </c>
      <c r="C487" s="1" t="n">
        <v>45968</v>
      </c>
      <c r="D487" t="inlineStr">
        <is>
          <t>VÄRMLANDS LÄN</t>
        </is>
      </c>
      <c r="E487" t="inlineStr">
        <is>
          <t>HAGFORS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18630-2025</t>
        </is>
      </c>
      <c r="B488" s="1" t="n">
        <v>45763</v>
      </c>
      <c r="C488" s="1" t="n">
        <v>45968</v>
      </c>
      <c r="D488" t="inlineStr">
        <is>
          <t>VÄRMLANDS LÄN</t>
        </is>
      </c>
      <c r="E488" t="inlineStr">
        <is>
          <t>HAGFORS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51258-2023</t>
        </is>
      </c>
      <c r="B489" s="1" t="n">
        <v>45219.49118055555</v>
      </c>
      <c r="C489" s="1" t="n">
        <v>45968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9288-2025</t>
        </is>
      </c>
      <c r="B490" s="1" t="n">
        <v>45714.65424768518</v>
      </c>
      <c r="C490" s="1" t="n">
        <v>45968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15538-2024</t>
        </is>
      </c>
      <c r="B491" s="1" t="n">
        <v>45401.61784722222</v>
      </c>
      <c r="C491" s="1" t="n">
        <v>45968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18472-2024</t>
        </is>
      </c>
      <c r="B492" s="1" t="n">
        <v>45425.50491898148</v>
      </c>
      <c r="C492" s="1" t="n">
        <v>45968</v>
      </c>
      <c r="D492" t="inlineStr">
        <is>
          <t>VÄRMLANDS LÄN</t>
        </is>
      </c>
      <c r="E492" t="inlineStr">
        <is>
          <t>HAGFORS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24955-2024</t>
        </is>
      </c>
      <c r="B493" s="1" t="n">
        <v>45461</v>
      </c>
      <c r="C493" s="1" t="n">
        <v>45968</v>
      </c>
      <c r="D493" t="inlineStr">
        <is>
          <t>VÄRMLANDS LÄN</t>
        </is>
      </c>
      <c r="E493" t="inlineStr">
        <is>
          <t>HAGFORS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58084-2024</t>
        </is>
      </c>
      <c r="B494" s="1" t="n">
        <v>45632.34158564815</v>
      </c>
      <c r="C494" s="1" t="n">
        <v>45968</v>
      </c>
      <c r="D494" t="inlineStr">
        <is>
          <t>VÄRMLANDS LÄN</t>
        </is>
      </c>
      <c r="E494" t="inlineStr">
        <is>
          <t>HAGFORS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19702-2022</t>
        </is>
      </c>
      <c r="B495" s="1" t="n">
        <v>44694</v>
      </c>
      <c r="C495" s="1" t="n">
        <v>45968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43558-2024</t>
        </is>
      </c>
      <c r="B496" s="1" t="n">
        <v>45569.39258101852</v>
      </c>
      <c r="C496" s="1" t="n">
        <v>45968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8830-2024</t>
        </is>
      </c>
      <c r="B497" s="1" t="n">
        <v>45356</v>
      </c>
      <c r="C497" s="1" t="n">
        <v>45968</v>
      </c>
      <c r="D497" t="inlineStr">
        <is>
          <t>VÄRMLANDS LÄN</t>
        </is>
      </c>
      <c r="E497" t="inlineStr">
        <is>
          <t>HAGFORS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60974-2024</t>
        </is>
      </c>
      <c r="B498" s="1" t="n">
        <v>45645</v>
      </c>
      <c r="C498" s="1" t="n">
        <v>45968</v>
      </c>
      <c r="D498" t="inlineStr">
        <is>
          <t>VÄRMLANDS LÄN</t>
        </is>
      </c>
      <c r="E498" t="inlineStr">
        <is>
          <t>HAGFORS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62546-2022</t>
        </is>
      </c>
      <c r="B499" s="1" t="n">
        <v>44924</v>
      </c>
      <c r="C499" s="1" t="n">
        <v>45968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31087-2024</t>
        </is>
      </c>
      <c r="B500" s="1" t="n">
        <v>45502</v>
      </c>
      <c r="C500" s="1" t="n">
        <v>45968</v>
      </c>
      <c r="D500" t="inlineStr">
        <is>
          <t>VÄRMLANDS LÄN</t>
        </is>
      </c>
      <c r="E500" t="inlineStr">
        <is>
          <t>HAGFORS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16153-2025</t>
        </is>
      </c>
      <c r="B501" s="1" t="n">
        <v>45750.48366898148</v>
      </c>
      <c r="C501" s="1" t="n">
        <v>45968</v>
      </c>
      <c r="D501" t="inlineStr">
        <is>
          <t>VÄRMLANDS LÄN</t>
        </is>
      </c>
      <c r="E501" t="inlineStr">
        <is>
          <t>HAGFORS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1781-2024</t>
        </is>
      </c>
      <c r="B502" s="1" t="n">
        <v>45307</v>
      </c>
      <c r="C502" s="1" t="n">
        <v>45968</v>
      </c>
      <c r="D502" t="inlineStr">
        <is>
          <t>VÄRMLANDS LÄN</t>
        </is>
      </c>
      <c r="E502" t="inlineStr">
        <is>
          <t>HAGFORS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6478-2025</t>
        </is>
      </c>
      <c r="B503" s="1" t="n">
        <v>45699</v>
      </c>
      <c r="C503" s="1" t="n">
        <v>45968</v>
      </c>
      <c r="D503" t="inlineStr">
        <is>
          <t>VÄRMLANDS LÄN</t>
        </is>
      </c>
      <c r="E503" t="inlineStr">
        <is>
          <t>HAGFORS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37542-2025</t>
        </is>
      </c>
      <c r="B504" s="1" t="n">
        <v>45879</v>
      </c>
      <c r="C504" s="1" t="n">
        <v>45968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24958-2024</t>
        </is>
      </c>
      <c r="B505" s="1" t="n">
        <v>45461</v>
      </c>
      <c r="C505" s="1" t="n">
        <v>45968</v>
      </c>
      <c r="D505" t="inlineStr">
        <is>
          <t>VÄRMLANDS LÄN</t>
        </is>
      </c>
      <c r="E505" t="inlineStr">
        <is>
          <t>HAGFORS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3724-2023</t>
        </is>
      </c>
      <c r="B506" s="1" t="n">
        <v>44951</v>
      </c>
      <c r="C506" s="1" t="n">
        <v>45968</v>
      </c>
      <c r="D506" t="inlineStr">
        <is>
          <t>VÄRMLANDS LÄN</t>
        </is>
      </c>
      <c r="E506" t="inlineStr">
        <is>
          <t>HAGFORS</t>
        </is>
      </c>
      <c r="F506" t="inlineStr">
        <is>
          <t>Kyrkan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22503-2024</t>
        </is>
      </c>
      <c r="B507" s="1" t="n">
        <v>45447</v>
      </c>
      <c r="C507" s="1" t="n">
        <v>45968</v>
      </c>
      <c r="D507" t="inlineStr">
        <is>
          <t>VÄRMLANDS LÄN</t>
        </is>
      </c>
      <c r="E507" t="inlineStr">
        <is>
          <t>HAGFORS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4260-2023</t>
        </is>
      </c>
      <c r="B508" s="1" t="n">
        <v>44953</v>
      </c>
      <c r="C508" s="1" t="n">
        <v>45968</v>
      </c>
      <c r="D508" t="inlineStr">
        <is>
          <t>VÄRMLANDS LÄN</t>
        </is>
      </c>
      <c r="E508" t="inlineStr">
        <is>
          <t>HAGFORS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4279-2024</t>
        </is>
      </c>
      <c r="B509" s="1" t="n">
        <v>45324.58115740741</v>
      </c>
      <c r="C509" s="1" t="n">
        <v>45968</v>
      </c>
      <c r="D509" t="inlineStr">
        <is>
          <t>VÄRMLANDS LÄN</t>
        </is>
      </c>
      <c r="E509" t="inlineStr">
        <is>
          <t>HAGFORS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920-2022</t>
        </is>
      </c>
      <c r="B510" s="1" t="n">
        <v>44571.48952546297</v>
      </c>
      <c r="C510" s="1" t="n">
        <v>45968</v>
      </c>
      <c r="D510" t="inlineStr">
        <is>
          <t>VÄRMLANDS LÄN</t>
        </is>
      </c>
      <c r="E510" t="inlineStr">
        <is>
          <t>HAGFORS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20081-2025</t>
        </is>
      </c>
      <c r="B511" s="1" t="n">
        <v>45772</v>
      </c>
      <c r="C511" s="1" t="n">
        <v>45968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27185-2025</t>
        </is>
      </c>
      <c r="B512" s="1" t="n">
        <v>45812</v>
      </c>
      <c r="C512" s="1" t="n">
        <v>45968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22332-2024</t>
        </is>
      </c>
      <c r="B513" s="1" t="n">
        <v>45446</v>
      </c>
      <c r="C513" s="1" t="n">
        <v>45968</v>
      </c>
      <c r="D513" t="inlineStr">
        <is>
          <t>VÄRMLANDS LÄN</t>
        </is>
      </c>
      <c r="E513" t="inlineStr">
        <is>
          <t>HAGFORS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26615-2024</t>
        </is>
      </c>
      <c r="B514" s="1" t="n">
        <v>45469</v>
      </c>
      <c r="C514" s="1" t="n">
        <v>45968</v>
      </c>
      <c r="D514" t="inlineStr">
        <is>
          <t>VÄRMLANDS LÄN</t>
        </is>
      </c>
      <c r="E514" t="inlineStr">
        <is>
          <t>HAGFORS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12426-2024</t>
        </is>
      </c>
      <c r="B515" s="1" t="n">
        <v>45379</v>
      </c>
      <c r="C515" s="1" t="n">
        <v>45968</v>
      </c>
      <c r="D515" t="inlineStr">
        <is>
          <t>VÄRMLANDS LÄN</t>
        </is>
      </c>
      <c r="E515" t="inlineStr">
        <is>
          <t>HAGFORS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8922-2025</t>
        </is>
      </c>
      <c r="B516" s="1" t="n">
        <v>45713</v>
      </c>
      <c r="C516" s="1" t="n">
        <v>45968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38164-2025</t>
        </is>
      </c>
      <c r="B517" s="1" t="n">
        <v>45882.6293287037</v>
      </c>
      <c r="C517" s="1" t="n">
        <v>45968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17662-2025</t>
        </is>
      </c>
      <c r="B518" s="1" t="n">
        <v>45758</v>
      </c>
      <c r="C518" s="1" t="n">
        <v>45968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38135-2025</t>
        </is>
      </c>
      <c r="B519" s="1" t="n">
        <v>45882</v>
      </c>
      <c r="C519" s="1" t="n">
        <v>45968</v>
      </c>
      <c r="D519" t="inlineStr">
        <is>
          <t>VÄRMLANDS LÄN</t>
        </is>
      </c>
      <c r="E519" t="inlineStr">
        <is>
          <t>HAGFORS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5621-2024</t>
        </is>
      </c>
      <c r="B520" s="1" t="n">
        <v>45334.58969907407</v>
      </c>
      <c r="C520" s="1" t="n">
        <v>45968</v>
      </c>
      <c r="D520" t="inlineStr">
        <is>
          <t>VÄRMLANDS LÄN</t>
        </is>
      </c>
      <c r="E520" t="inlineStr">
        <is>
          <t>HAGFORS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2085-2025</t>
        </is>
      </c>
      <c r="B521" s="1" t="n">
        <v>45672.58905092593</v>
      </c>
      <c r="C521" s="1" t="n">
        <v>45968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17297-2024</t>
        </is>
      </c>
      <c r="B522" s="1" t="n">
        <v>45414.48494212963</v>
      </c>
      <c r="C522" s="1" t="n">
        <v>45968</v>
      </c>
      <c r="D522" t="inlineStr">
        <is>
          <t>VÄRMLANDS LÄN</t>
        </is>
      </c>
      <c r="E522" t="inlineStr">
        <is>
          <t>HAGFORS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46832-2025</t>
        </is>
      </c>
      <c r="B523" s="1" t="n">
        <v>45927.48753472222</v>
      </c>
      <c r="C523" s="1" t="n">
        <v>45968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61818-2023</t>
        </is>
      </c>
      <c r="B524" s="1" t="n">
        <v>45266</v>
      </c>
      <c r="C524" s="1" t="n">
        <v>45968</v>
      </c>
      <c r="D524" t="inlineStr">
        <is>
          <t>VÄRMLANDS LÄN</t>
        </is>
      </c>
      <c r="E524" t="inlineStr">
        <is>
          <t>HAGFORS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3963-2025</t>
        </is>
      </c>
      <c r="B525" s="1" t="n">
        <v>45684.50480324074</v>
      </c>
      <c r="C525" s="1" t="n">
        <v>45968</v>
      </c>
      <c r="D525" t="inlineStr">
        <is>
          <t>VÄRMLANDS LÄN</t>
        </is>
      </c>
      <c r="E525" t="inlineStr">
        <is>
          <t>HAGFORS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17882-2025</t>
        </is>
      </c>
      <c r="B526" s="1" t="n">
        <v>45758.65695601852</v>
      </c>
      <c r="C526" s="1" t="n">
        <v>45968</v>
      </c>
      <c r="D526" t="inlineStr">
        <is>
          <t>VÄRMLANDS LÄN</t>
        </is>
      </c>
      <c r="E526" t="inlineStr">
        <is>
          <t>HAGFORS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12434-2022</t>
        </is>
      </c>
      <c r="B527" s="1" t="n">
        <v>44638</v>
      </c>
      <c r="C527" s="1" t="n">
        <v>45968</v>
      </c>
      <c r="D527" t="inlineStr">
        <is>
          <t>VÄRMLANDS LÄN</t>
        </is>
      </c>
      <c r="E527" t="inlineStr">
        <is>
          <t>HAGFORS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56893-2023</t>
        </is>
      </c>
      <c r="B528" s="1" t="n">
        <v>45244</v>
      </c>
      <c r="C528" s="1" t="n">
        <v>45968</v>
      </c>
      <c r="D528" t="inlineStr">
        <is>
          <t>VÄRMLANDS LÄN</t>
        </is>
      </c>
      <c r="E528" t="inlineStr">
        <is>
          <t>HAGFORS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7332-2025</t>
        </is>
      </c>
      <c r="B529" s="1" t="n">
        <v>45703</v>
      </c>
      <c r="C529" s="1" t="n">
        <v>45968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15.9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17329-2024</t>
        </is>
      </c>
      <c r="B530" s="1" t="n">
        <v>45414</v>
      </c>
      <c r="C530" s="1" t="n">
        <v>45968</v>
      </c>
      <c r="D530" t="inlineStr">
        <is>
          <t>VÄRMLANDS LÄN</t>
        </is>
      </c>
      <c r="E530" t="inlineStr">
        <is>
          <t>HAGFORS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46560-2025</t>
        </is>
      </c>
      <c r="B531" s="1" t="n">
        <v>45926.35246527778</v>
      </c>
      <c r="C531" s="1" t="n">
        <v>45968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5612-2024</t>
        </is>
      </c>
      <c r="B532" s="1" t="n">
        <v>45334</v>
      </c>
      <c r="C532" s="1" t="n">
        <v>45968</v>
      </c>
      <c r="D532" t="inlineStr">
        <is>
          <t>VÄRMLANDS LÄN</t>
        </is>
      </c>
      <c r="E532" t="inlineStr">
        <is>
          <t>HAGFORS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3980-2025</t>
        </is>
      </c>
      <c r="B533" s="1" t="n">
        <v>45684.54350694444</v>
      </c>
      <c r="C533" s="1" t="n">
        <v>45968</v>
      </c>
      <c r="D533" t="inlineStr">
        <is>
          <t>VÄRMLANDS LÄN</t>
        </is>
      </c>
      <c r="E533" t="inlineStr">
        <is>
          <t>HAGFORS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40692-2022</t>
        </is>
      </c>
      <c r="B534" s="1" t="n">
        <v>44824</v>
      </c>
      <c r="C534" s="1" t="n">
        <v>45968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58210-2022</t>
        </is>
      </c>
      <c r="B535" s="1" t="n">
        <v>44901</v>
      </c>
      <c r="C535" s="1" t="n">
        <v>45968</v>
      </c>
      <c r="D535" t="inlineStr">
        <is>
          <t>VÄRMLANDS LÄN</t>
        </is>
      </c>
      <c r="E535" t="inlineStr">
        <is>
          <t>HAGFORS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52924-2023</t>
        </is>
      </c>
      <c r="B536" s="1" t="n">
        <v>45226</v>
      </c>
      <c r="C536" s="1" t="n">
        <v>45968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29726-2021</t>
        </is>
      </c>
      <c r="B537" s="1" t="n">
        <v>44362.44429398148</v>
      </c>
      <c r="C537" s="1" t="n">
        <v>45968</v>
      </c>
      <c r="D537" t="inlineStr">
        <is>
          <t>VÄRMLANDS LÄN</t>
        </is>
      </c>
      <c r="E537" t="inlineStr">
        <is>
          <t>HAGFORS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46559-2025</t>
        </is>
      </c>
      <c r="B538" s="1" t="n">
        <v>45926.34967592593</v>
      </c>
      <c r="C538" s="1" t="n">
        <v>45968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54112-2023</t>
        </is>
      </c>
      <c r="B539" s="1" t="n">
        <v>45232</v>
      </c>
      <c r="C539" s="1" t="n">
        <v>45968</v>
      </c>
      <c r="D539" t="inlineStr">
        <is>
          <t>VÄRMLANDS LÄN</t>
        </is>
      </c>
      <c r="E539" t="inlineStr">
        <is>
          <t>HAGFORS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39362-2024</t>
        </is>
      </c>
      <c r="B540" s="1" t="n">
        <v>45551.46563657407</v>
      </c>
      <c r="C540" s="1" t="n">
        <v>45968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46838-2025</t>
        </is>
      </c>
      <c r="B541" s="1" t="n">
        <v>45928.43569444444</v>
      </c>
      <c r="C541" s="1" t="n">
        <v>45968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46653-2025</t>
        </is>
      </c>
      <c r="B542" s="1" t="n">
        <v>45926.49155092592</v>
      </c>
      <c r="C542" s="1" t="n">
        <v>45968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46656-2025</t>
        </is>
      </c>
      <c r="B543" s="1" t="n">
        <v>45926.49839120371</v>
      </c>
      <c r="C543" s="1" t="n">
        <v>45968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46581-2025</t>
        </is>
      </c>
      <c r="B544" s="1" t="n">
        <v>45926.37900462963</v>
      </c>
      <c r="C544" s="1" t="n">
        <v>45968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47021-2023</t>
        </is>
      </c>
      <c r="B545" s="1" t="n">
        <v>45201.51458333333</v>
      </c>
      <c r="C545" s="1" t="n">
        <v>45968</v>
      </c>
      <c r="D545" t="inlineStr">
        <is>
          <t>VÄRMLANDS LÄN</t>
        </is>
      </c>
      <c r="E545" t="inlineStr">
        <is>
          <t>HAGFORS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1710-2025</t>
        </is>
      </c>
      <c r="B546" s="1" t="n">
        <v>45671.31046296296</v>
      </c>
      <c r="C546" s="1" t="n">
        <v>45968</v>
      </c>
      <c r="D546" t="inlineStr">
        <is>
          <t>VÄRMLANDS LÄN</t>
        </is>
      </c>
      <c r="E546" t="inlineStr">
        <is>
          <t>HAGFORS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18014-2024</t>
        </is>
      </c>
      <c r="B547" s="1" t="n">
        <v>45419.96755787037</v>
      </c>
      <c r="C547" s="1" t="n">
        <v>45968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31661-2022</t>
        </is>
      </c>
      <c r="B548" s="1" t="n">
        <v>44776.29803240741</v>
      </c>
      <c r="C548" s="1" t="n">
        <v>45968</v>
      </c>
      <c r="D548" t="inlineStr">
        <is>
          <t>VÄRMLANDS LÄN</t>
        </is>
      </c>
      <c r="E548" t="inlineStr">
        <is>
          <t>HAGFORS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48276-2024</t>
        </is>
      </c>
      <c r="B549" s="1" t="n">
        <v>45590</v>
      </c>
      <c r="C549" s="1" t="n">
        <v>45968</v>
      </c>
      <c r="D549" t="inlineStr">
        <is>
          <t>VÄRMLANDS LÄN</t>
        </is>
      </c>
      <c r="E549" t="inlineStr">
        <is>
          <t>HAGFORS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71447-2021</t>
        </is>
      </c>
      <c r="B550" s="1" t="n">
        <v>44540.45888888889</v>
      </c>
      <c r="C550" s="1" t="n">
        <v>45968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54751-2022</t>
        </is>
      </c>
      <c r="B551" s="1" t="n">
        <v>44883</v>
      </c>
      <c r="C551" s="1" t="n">
        <v>45968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38819-2025</t>
        </is>
      </c>
      <c r="B552" s="1" t="n">
        <v>45887.49913194445</v>
      </c>
      <c r="C552" s="1" t="n">
        <v>45968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32149-2023</t>
        </is>
      </c>
      <c r="B553" s="1" t="n">
        <v>45107</v>
      </c>
      <c r="C553" s="1" t="n">
        <v>45968</v>
      </c>
      <c r="D553" t="inlineStr">
        <is>
          <t>VÄRMLANDS LÄN</t>
        </is>
      </c>
      <c r="E553" t="inlineStr">
        <is>
          <t>HAGFORS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22007-2021</t>
        </is>
      </c>
      <c r="B554" s="1" t="n">
        <v>44323</v>
      </c>
      <c r="C554" s="1" t="n">
        <v>45968</v>
      </c>
      <c r="D554" t="inlineStr">
        <is>
          <t>VÄRMLANDS LÄN</t>
        </is>
      </c>
      <c r="E554" t="inlineStr">
        <is>
          <t>HAGFORS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52494-2024</t>
        </is>
      </c>
      <c r="B555" s="1" t="n">
        <v>45609.56731481481</v>
      </c>
      <c r="C555" s="1" t="n">
        <v>45968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24908-2024</t>
        </is>
      </c>
      <c r="B556" s="1" t="n">
        <v>45461</v>
      </c>
      <c r="C556" s="1" t="n">
        <v>45968</v>
      </c>
      <c r="D556" t="inlineStr">
        <is>
          <t>VÄRMLANDS LÄN</t>
        </is>
      </c>
      <c r="E556" t="inlineStr">
        <is>
          <t>HAGFORS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38751-2025</t>
        </is>
      </c>
      <c r="B557" s="1" t="n">
        <v>45887.38981481481</v>
      </c>
      <c r="C557" s="1" t="n">
        <v>45968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5338-2025</t>
        </is>
      </c>
      <c r="B558" s="1" t="n">
        <v>45692.5511574074</v>
      </c>
      <c r="C558" s="1" t="n">
        <v>45968</v>
      </c>
      <c r="D558" t="inlineStr">
        <is>
          <t>VÄRMLANDS LÄN</t>
        </is>
      </c>
      <c r="E558" t="inlineStr">
        <is>
          <t>HAGFORS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24721-2024</t>
        </is>
      </c>
      <c r="B559" s="1" t="n">
        <v>45460.63473379629</v>
      </c>
      <c r="C559" s="1" t="n">
        <v>45968</v>
      </c>
      <c r="D559" t="inlineStr">
        <is>
          <t>VÄRMLANDS LÄN</t>
        </is>
      </c>
      <c r="E559" t="inlineStr">
        <is>
          <t>HAGFORS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46831-2025</t>
        </is>
      </c>
      <c r="B560" s="1" t="n">
        <v>45927.42596064815</v>
      </c>
      <c r="C560" s="1" t="n">
        <v>45968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10562-2024</t>
        </is>
      </c>
      <c r="B561" s="1" t="n">
        <v>45366.59958333334</v>
      </c>
      <c r="C561" s="1" t="n">
        <v>45968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10297-2025</t>
        </is>
      </c>
      <c r="B562" s="1" t="n">
        <v>45720.42957175926</v>
      </c>
      <c r="C562" s="1" t="n">
        <v>45968</v>
      </c>
      <c r="D562" t="inlineStr">
        <is>
          <t>VÄRMLANDS LÄN</t>
        </is>
      </c>
      <c r="E562" t="inlineStr">
        <is>
          <t>HAGFORS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5482-2022</t>
        </is>
      </c>
      <c r="B563" s="1" t="n">
        <v>44595.48184027777</v>
      </c>
      <c r="C563" s="1" t="n">
        <v>45968</v>
      </c>
      <c r="D563" t="inlineStr">
        <is>
          <t>VÄRMLANDS LÄN</t>
        </is>
      </c>
      <c r="E563" t="inlineStr">
        <is>
          <t>HAGFORS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10310-2021</t>
        </is>
      </c>
      <c r="B564" s="1" t="n">
        <v>44257</v>
      </c>
      <c r="C564" s="1" t="n">
        <v>45968</v>
      </c>
      <c r="D564" t="inlineStr">
        <is>
          <t>VÄRMLANDS LÄN</t>
        </is>
      </c>
      <c r="E564" t="inlineStr">
        <is>
          <t>HAGFORS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32627-2023</t>
        </is>
      </c>
      <c r="B565" s="1" t="n">
        <v>45121</v>
      </c>
      <c r="C565" s="1" t="n">
        <v>45968</v>
      </c>
      <c r="D565" t="inlineStr">
        <is>
          <t>VÄRMLANDS LÄN</t>
        </is>
      </c>
      <c r="E565" t="inlineStr">
        <is>
          <t>HAGFORS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24857-2025</t>
        </is>
      </c>
      <c r="B566" s="1" t="n">
        <v>45799.47836805556</v>
      </c>
      <c r="C566" s="1" t="n">
        <v>45968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41336-2024</t>
        </is>
      </c>
      <c r="B567" s="1" t="n">
        <v>45559</v>
      </c>
      <c r="C567" s="1" t="n">
        <v>45968</v>
      </c>
      <c r="D567" t="inlineStr">
        <is>
          <t>VÄRMLANDS LÄN</t>
        </is>
      </c>
      <c r="E567" t="inlineStr">
        <is>
          <t>HAGFORS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47031-2025</t>
        </is>
      </c>
      <c r="B568" s="1" t="n">
        <v>45929</v>
      </c>
      <c r="C568" s="1" t="n">
        <v>45968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39245-2025</t>
        </is>
      </c>
      <c r="B569" s="1" t="n">
        <v>45889</v>
      </c>
      <c r="C569" s="1" t="n">
        <v>45968</v>
      </c>
      <c r="D569" t="inlineStr">
        <is>
          <t>VÄRMLANDS LÄN</t>
        </is>
      </c>
      <c r="E569" t="inlineStr">
        <is>
          <t>HAGFORS</t>
        </is>
      </c>
      <c r="F569" t="inlineStr">
        <is>
          <t>Kyrkan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39249-2025</t>
        </is>
      </c>
      <c r="B570" s="1" t="n">
        <v>45889</v>
      </c>
      <c r="C570" s="1" t="n">
        <v>45968</v>
      </c>
      <c r="D570" t="inlineStr">
        <is>
          <t>VÄRMLANDS LÄN</t>
        </is>
      </c>
      <c r="E570" t="inlineStr">
        <is>
          <t>HAGFORS</t>
        </is>
      </c>
      <c r="F570" t="inlineStr">
        <is>
          <t>Kyrkan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47794-2025</t>
        </is>
      </c>
      <c r="B571" s="1" t="n">
        <v>45931.81756944444</v>
      </c>
      <c r="C571" s="1" t="n">
        <v>45968</v>
      </c>
      <c r="D571" t="inlineStr">
        <is>
          <t>VÄRMLANDS LÄN</t>
        </is>
      </c>
      <c r="E571" t="inlineStr">
        <is>
          <t>HAGFORS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20487-2025</t>
        </is>
      </c>
      <c r="B572" s="1" t="n">
        <v>45775</v>
      </c>
      <c r="C572" s="1" t="n">
        <v>45968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60167-2023</t>
        </is>
      </c>
      <c r="B573" s="1" t="n">
        <v>45258</v>
      </c>
      <c r="C573" s="1" t="n">
        <v>45968</v>
      </c>
      <c r="D573" t="inlineStr">
        <is>
          <t>VÄRMLANDS LÄN</t>
        </is>
      </c>
      <c r="E573" t="inlineStr">
        <is>
          <t>HAGFORS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60178-2023</t>
        </is>
      </c>
      <c r="B574" s="1" t="n">
        <v>45258</v>
      </c>
      <c r="C574" s="1" t="n">
        <v>45968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52977-2023</t>
        </is>
      </c>
      <c r="B575" s="1" t="n">
        <v>45226.60950231482</v>
      </c>
      <c r="C575" s="1" t="n">
        <v>45968</v>
      </c>
      <c r="D575" t="inlineStr">
        <is>
          <t>VÄRMLANDS LÄN</t>
        </is>
      </c>
      <c r="E575" t="inlineStr">
        <is>
          <t>HAGFORS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47333-2025</t>
        </is>
      </c>
      <c r="B576" s="1" t="n">
        <v>45930.56335648148</v>
      </c>
      <c r="C576" s="1" t="n">
        <v>45968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4748-2024</t>
        </is>
      </c>
      <c r="B577" s="1" t="n">
        <v>45328.65340277777</v>
      </c>
      <c r="C577" s="1" t="n">
        <v>45968</v>
      </c>
      <c r="D577" t="inlineStr">
        <is>
          <t>VÄRMLANDS LÄN</t>
        </is>
      </c>
      <c r="E577" t="inlineStr">
        <is>
          <t>HAGFORS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4012-2025</t>
        </is>
      </c>
      <c r="B578" s="1" t="n">
        <v>45684.57827546296</v>
      </c>
      <c r="C578" s="1" t="n">
        <v>45968</v>
      </c>
      <c r="D578" t="inlineStr">
        <is>
          <t>VÄRMLANDS LÄN</t>
        </is>
      </c>
      <c r="E578" t="inlineStr">
        <is>
          <t>HAGFORS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31812-2024</t>
        </is>
      </c>
      <c r="B579" s="1" t="n">
        <v>45509</v>
      </c>
      <c r="C579" s="1" t="n">
        <v>45968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63957-2020</t>
        </is>
      </c>
      <c r="B580" s="1" t="n">
        <v>44167</v>
      </c>
      <c r="C580" s="1" t="n">
        <v>45968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16525-2023</t>
        </is>
      </c>
      <c r="B581" s="1" t="n">
        <v>45029.66664351852</v>
      </c>
      <c r="C581" s="1" t="n">
        <v>45968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47184-2025</t>
        </is>
      </c>
      <c r="B582" s="1" t="n">
        <v>45930.32061342592</v>
      </c>
      <c r="C582" s="1" t="n">
        <v>45968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41603-2023</t>
        </is>
      </c>
      <c r="B583" s="1" t="n">
        <v>45175</v>
      </c>
      <c r="C583" s="1" t="n">
        <v>45968</v>
      </c>
      <c r="D583" t="inlineStr">
        <is>
          <t>VÄRMLANDS LÄN</t>
        </is>
      </c>
      <c r="E583" t="inlineStr">
        <is>
          <t>HAGFORS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55758-2024</t>
        </is>
      </c>
      <c r="B584" s="1" t="n">
        <v>45623</v>
      </c>
      <c r="C584" s="1" t="n">
        <v>45968</v>
      </c>
      <c r="D584" t="inlineStr">
        <is>
          <t>VÄRMLANDS LÄN</t>
        </is>
      </c>
      <c r="E584" t="inlineStr">
        <is>
          <t>HAGFORS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1464-2023</t>
        </is>
      </c>
      <c r="B585" s="1" t="n">
        <v>44937</v>
      </c>
      <c r="C585" s="1" t="n">
        <v>45968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34063-2021</t>
        </is>
      </c>
      <c r="B586" s="1" t="n">
        <v>44379.39650462963</v>
      </c>
      <c r="C586" s="1" t="n">
        <v>45968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25349-2023</t>
        </is>
      </c>
      <c r="B587" s="1" t="n">
        <v>45087.93266203703</v>
      </c>
      <c r="C587" s="1" t="n">
        <v>45968</v>
      </c>
      <c r="D587" t="inlineStr">
        <is>
          <t>VÄRMLANDS LÄN</t>
        </is>
      </c>
      <c r="E587" t="inlineStr">
        <is>
          <t>HAGFORS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12673-2024</t>
        </is>
      </c>
      <c r="B588" s="1" t="n">
        <v>45384</v>
      </c>
      <c r="C588" s="1" t="n">
        <v>45968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35088-2024</t>
        </is>
      </c>
      <c r="B589" s="1" t="n">
        <v>45527.71361111111</v>
      </c>
      <c r="C589" s="1" t="n">
        <v>45968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11367-2025</t>
        </is>
      </c>
      <c r="B590" s="1" t="n">
        <v>45726.54690972222</v>
      </c>
      <c r="C590" s="1" t="n">
        <v>45968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56895-2023</t>
        </is>
      </c>
      <c r="B591" s="1" t="n">
        <v>45244</v>
      </c>
      <c r="C591" s="1" t="n">
        <v>45968</v>
      </c>
      <c r="D591" t="inlineStr">
        <is>
          <t>VÄRMLANDS LÄN</t>
        </is>
      </c>
      <c r="E591" t="inlineStr">
        <is>
          <t>HAGFORS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2371-2025</t>
        </is>
      </c>
      <c r="B592" s="1" t="n">
        <v>45673.7546875</v>
      </c>
      <c r="C592" s="1" t="n">
        <v>45968</v>
      </c>
      <c r="D592" t="inlineStr">
        <is>
          <t>VÄRMLANDS LÄN</t>
        </is>
      </c>
      <c r="E592" t="inlineStr">
        <is>
          <t>HAGFORS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4834-2021</t>
        </is>
      </c>
      <c r="B593" s="1" t="n">
        <v>44225</v>
      </c>
      <c r="C593" s="1" t="n">
        <v>45968</v>
      </c>
      <c r="D593" t="inlineStr">
        <is>
          <t>VÄRMLANDS LÄN</t>
        </is>
      </c>
      <c r="E593" t="inlineStr">
        <is>
          <t>HAGFORS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39904-2025</t>
        </is>
      </c>
      <c r="B594" s="1" t="n">
        <v>45891</v>
      </c>
      <c r="C594" s="1" t="n">
        <v>45968</v>
      </c>
      <c r="D594" t="inlineStr">
        <is>
          <t>VÄRMLANDS LÄN</t>
        </is>
      </c>
      <c r="E594" t="inlineStr">
        <is>
          <t>HAGFORS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39783-2025</t>
        </is>
      </c>
      <c r="B595" s="1" t="n">
        <v>45891.4766087963</v>
      </c>
      <c r="C595" s="1" t="n">
        <v>45968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48150-2025</t>
        </is>
      </c>
      <c r="B596" s="1" t="n">
        <v>45933.40813657407</v>
      </c>
      <c r="C596" s="1" t="n">
        <v>45968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48042-2025</t>
        </is>
      </c>
      <c r="B597" s="1" t="n">
        <v>45932.66314814815</v>
      </c>
      <c r="C597" s="1" t="n">
        <v>45968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42150-2024</t>
        </is>
      </c>
      <c r="B598" s="1" t="n">
        <v>45562.44609953704</v>
      </c>
      <c r="C598" s="1" t="n">
        <v>45968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44182-2024</t>
        </is>
      </c>
      <c r="B599" s="1" t="n">
        <v>45572</v>
      </c>
      <c r="C599" s="1" t="n">
        <v>45968</v>
      </c>
      <c r="D599" t="inlineStr">
        <is>
          <t>VÄRMLANDS LÄN</t>
        </is>
      </c>
      <c r="E599" t="inlineStr">
        <is>
          <t>HAGFORS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48108-2025</t>
        </is>
      </c>
      <c r="B600" s="1" t="n">
        <v>45933.34479166667</v>
      </c>
      <c r="C600" s="1" t="n">
        <v>45968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16319-2023</t>
        </is>
      </c>
      <c r="B601" s="1" t="n">
        <v>45028</v>
      </c>
      <c r="C601" s="1" t="n">
        <v>45968</v>
      </c>
      <c r="D601" t="inlineStr">
        <is>
          <t>VÄRMLANDS LÄN</t>
        </is>
      </c>
      <c r="E601" t="inlineStr">
        <is>
          <t>HAGFORS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40835-2023</t>
        </is>
      </c>
      <c r="B602" s="1" t="n">
        <v>45172</v>
      </c>
      <c r="C602" s="1" t="n">
        <v>45968</v>
      </c>
      <c r="D602" t="inlineStr">
        <is>
          <t>VÄRMLANDS LÄN</t>
        </is>
      </c>
      <c r="E602" t="inlineStr">
        <is>
          <t>HAGFORS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19391-2025</t>
        </is>
      </c>
      <c r="B603" s="1" t="n">
        <v>45769.66221064814</v>
      </c>
      <c r="C603" s="1" t="n">
        <v>45968</v>
      </c>
      <c r="D603" t="inlineStr">
        <is>
          <t>VÄRMLANDS LÄN</t>
        </is>
      </c>
      <c r="E603" t="inlineStr">
        <is>
          <t>HAGFORS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47028-2023</t>
        </is>
      </c>
      <c r="B604" s="1" t="n">
        <v>45201.52802083334</v>
      </c>
      <c r="C604" s="1" t="n">
        <v>45968</v>
      </c>
      <c r="D604" t="inlineStr">
        <is>
          <t>VÄRMLANDS LÄN</t>
        </is>
      </c>
      <c r="E604" t="inlineStr">
        <is>
          <t>HAGFORS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1735-2023</t>
        </is>
      </c>
      <c r="B605" s="1" t="n">
        <v>44938</v>
      </c>
      <c r="C605" s="1" t="n">
        <v>45968</v>
      </c>
      <c r="D605" t="inlineStr">
        <is>
          <t>VÄRMLANDS LÄN</t>
        </is>
      </c>
      <c r="E605" t="inlineStr">
        <is>
          <t>HAGFORS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29373-2023</t>
        </is>
      </c>
      <c r="B606" s="1" t="n">
        <v>45106</v>
      </c>
      <c r="C606" s="1" t="n">
        <v>45968</v>
      </c>
      <c r="D606" t="inlineStr">
        <is>
          <t>VÄRMLANDS LÄN</t>
        </is>
      </c>
      <c r="E606" t="inlineStr">
        <is>
          <t>HAGFORS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30520-2024</t>
        </is>
      </c>
      <c r="B607" s="1" t="n">
        <v>45492.47939814815</v>
      </c>
      <c r="C607" s="1" t="n">
        <v>45968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33399-2024</t>
        </is>
      </c>
      <c r="B608" s="1" t="n">
        <v>45519</v>
      </c>
      <c r="C608" s="1" t="n">
        <v>45968</v>
      </c>
      <c r="D608" t="inlineStr">
        <is>
          <t>VÄRMLANDS LÄN</t>
        </is>
      </c>
      <c r="E608" t="inlineStr">
        <is>
          <t>HAGFORS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48138-2025</t>
        </is>
      </c>
      <c r="B609" s="1" t="n">
        <v>45933.38136574074</v>
      </c>
      <c r="C609" s="1" t="n">
        <v>45968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48134-2025</t>
        </is>
      </c>
      <c r="B610" s="1" t="n">
        <v>45933.37097222222</v>
      </c>
      <c r="C610" s="1" t="n">
        <v>45968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39747-2025</t>
        </is>
      </c>
      <c r="B611" s="1" t="n">
        <v>45891</v>
      </c>
      <c r="C611" s="1" t="n">
        <v>45968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48176-2025</t>
        </is>
      </c>
      <c r="B612" s="1" t="n">
        <v>45933.44618055555</v>
      </c>
      <c r="C612" s="1" t="n">
        <v>45968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10236-2022</t>
        </is>
      </c>
      <c r="B613" s="1" t="n">
        <v>44622.54008101852</v>
      </c>
      <c r="C613" s="1" t="n">
        <v>45968</v>
      </c>
      <c r="D613" t="inlineStr">
        <is>
          <t>VÄRMLANDS LÄN</t>
        </is>
      </c>
      <c r="E613" t="inlineStr">
        <is>
          <t>HAGFORS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47506-2024</t>
        </is>
      </c>
      <c r="B614" s="1" t="n">
        <v>45587.60549768519</v>
      </c>
      <c r="C614" s="1" t="n">
        <v>45968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11126-2024</t>
        </is>
      </c>
      <c r="B615" s="1" t="n">
        <v>45371.42046296296</v>
      </c>
      <c r="C615" s="1" t="n">
        <v>45968</v>
      </c>
      <c r="D615" t="inlineStr">
        <is>
          <t>VÄRMLANDS LÄN</t>
        </is>
      </c>
      <c r="E615" t="inlineStr">
        <is>
          <t>HAGFORS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46792-2022</t>
        </is>
      </c>
      <c r="B616" s="1" t="n">
        <v>44851</v>
      </c>
      <c r="C616" s="1" t="n">
        <v>45968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40156-2025</t>
        </is>
      </c>
      <c r="B617" s="1" t="n">
        <v>45894</v>
      </c>
      <c r="C617" s="1" t="n">
        <v>45968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17733-2025</t>
        </is>
      </c>
      <c r="B618" s="1" t="n">
        <v>45758</v>
      </c>
      <c r="C618" s="1" t="n">
        <v>45968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32033-2024</t>
        </is>
      </c>
      <c r="B619" s="1" t="n">
        <v>45510.66981481481</v>
      </c>
      <c r="C619" s="1" t="n">
        <v>45968</v>
      </c>
      <c r="D619" t="inlineStr">
        <is>
          <t>VÄRMLANDS LÄN</t>
        </is>
      </c>
      <c r="E619" t="inlineStr">
        <is>
          <t>HAGFORS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49106-2025</t>
        </is>
      </c>
      <c r="B620" s="1" t="n">
        <v>45937.72615740741</v>
      </c>
      <c r="C620" s="1" t="n">
        <v>45968</v>
      </c>
      <c r="D620" t="inlineStr">
        <is>
          <t>VÄRMLANDS LÄN</t>
        </is>
      </c>
      <c r="E620" t="inlineStr">
        <is>
          <t>HAGFORS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8842-2025</t>
        </is>
      </c>
      <c r="B621" s="1" t="n">
        <v>45713</v>
      </c>
      <c r="C621" s="1" t="n">
        <v>45968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40300-2025</t>
        </is>
      </c>
      <c r="B622" s="1" t="n">
        <v>45895.40347222222</v>
      </c>
      <c r="C622" s="1" t="n">
        <v>45968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54744-2024</t>
        </is>
      </c>
      <c r="B623" s="1" t="n">
        <v>45618</v>
      </c>
      <c r="C623" s="1" t="n">
        <v>45968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53192-2022</t>
        </is>
      </c>
      <c r="B624" s="1" t="n">
        <v>44876.58167824074</v>
      </c>
      <c r="C624" s="1" t="n">
        <v>45968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24638-2023</t>
        </is>
      </c>
      <c r="B625" s="1" t="n">
        <v>45084.42386574074</v>
      </c>
      <c r="C625" s="1" t="n">
        <v>45968</v>
      </c>
      <c r="D625" t="inlineStr">
        <is>
          <t>VÄRMLANDS LÄN</t>
        </is>
      </c>
      <c r="E625" t="inlineStr">
        <is>
          <t>HAGFORS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61902-2021</t>
        </is>
      </c>
      <c r="B626" s="1" t="n">
        <v>44502</v>
      </c>
      <c r="C626" s="1" t="n">
        <v>45968</v>
      </c>
      <c r="D626" t="inlineStr">
        <is>
          <t>VÄRMLANDS LÄN</t>
        </is>
      </c>
      <c r="E626" t="inlineStr">
        <is>
          <t>HAGFORS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13657-2023</t>
        </is>
      </c>
      <c r="B627" s="1" t="n">
        <v>45006.70236111111</v>
      </c>
      <c r="C627" s="1" t="n">
        <v>45968</v>
      </c>
      <c r="D627" t="inlineStr">
        <is>
          <t>VÄRMLANDS LÄN</t>
        </is>
      </c>
      <c r="E627" t="inlineStr">
        <is>
          <t>HAGFORS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48841-2025</t>
        </is>
      </c>
      <c r="B628" s="1" t="n">
        <v>45937.42246527778</v>
      </c>
      <c r="C628" s="1" t="n">
        <v>45968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48703-2025</t>
        </is>
      </c>
      <c r="B629" s="1" t="n">
        <v>45936.62204861111</v>
      </c>
      <c r="C629" s="1" t="n">
        <v>45968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39640-2022</t>
        </is>
      </c>
      <c r="B630" s="1" t="n">
        <v>44817</v>
      </c>
      <c r="C630" s="1" t="n">
        <v>45968</v>
      </c>
      <c r="D630" t="inlineStr">
        <is>
          <t>VÄRMLANDS LÄN</t>
        </is>
      </c>
      <c r="E630" t="inlineStr">
        <is>
          <t>HAGFORS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1931-2024</t>
        </is>
      </c>
      <c r="B631" s="1" t="n">
        <v>45308.45737268519</v>
      </c>
      <c r="C631" s="1" t="n">
        <v>45968</v>
      </c>
      <c r="D631" t="inlineStr">
        <is>
          <t>VÄRMLANDS LÄN</t>
        </is>
      </c>
      <c r="E631" t="inlineStr">
        <is>
          <t>HAGFORS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48809-2025</t>
        </is>
      </c>
      <c r="B632" s="1" t="n">
        <v>45937</v>
      </c>
      <c r="C632" s="1" t="n">
        <v>45968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57159-2024</t>
        </is>
      </c>
      <c r="B633" s="1" t="n">
        <v>45629.40383101852</v>
      </c>
      <c r="C633" s="1" t="n">
        <v>45968</v>
      </c>
      <c r="D633" t="inlineStr">
        <is>
          <t>VÄRMLANDS LÄN</t>
        </is>
      </c>
      <c r="E633" t="inlineStr">
        <is>
          <t>HAGFORS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13990-2025</t>
        </is>
      </c>
      <c r="B634" s="1" t="n">
        <v>45739</v>
      </c>
      <c r="C634" s="1" t="n">
        <v>45968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40543-2025</t>
        </is>
      </c>
      <c r="B635" s="1" t="n">
        <v>45896.42962962963</v>
      </c>
      <c r="C635" s="1" t="n">
        <v>45968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49631-2025</t>
        </is>
      </c>
      <c r="B636" s="1" t="n">
        <v>45939.59887731481</v>
      </c>
      <c r="C636" s="1" t="n">
        <v>45968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49146-2025</t>
        </is>
      </c>
      <c r="B637" s="1" t="n">
        <v>45938.33600694445</v>
      </c>
      <c r="C637" s="1" t="n">
        <v>45968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40881-2025</t>
        </is>
      </c>
      <c r="B638" s="1" t="n">
        <v>45897.59447916667</v>
      </c>
      <c r="C638" s="1" t="n">
        <v>45968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42235-2024</t>
        </is>
      </c>
      <c r="B639" s="1" t="n">
        <v>45562</v>
      </c>
      <c r="C639" s="1" t="n">
        <v>45968</v>
      </c>
      <c r="D639" t="inlineStr">
        <is>
          <t>VÄRMLANDS LÄN</t>
        </is>
      </c>
      <c r="E639" t="inlineStr">
        <is>
          <t>HAGFORS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40562-2025</t>
        </is>
      </c>
      <c r="B640" s="1" t="n">
        <v>45896.45993055555</v>
      </c>
      <c r="C640" s="1" t="n">
        <v>45968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17584-2023</t>
        </is>
      </c>
      <c r="B641" s="1" t="n">
        <v>45036</v>
      </c>
      <c r="C641" s="1" t="n">
        <v>45968</v>
      </c>
      <c r="D641" t="inlineStr">
        <is>
          <t>VÄRMLANDS LÄN</t>
        </is>
      </c>
      <c r="E641" t="inlineStr">
        <is>
          <t>HAGFORS</t>
        </is>
      </c>
      <c r="F641" t="inlineStr">
        <is>
          <t>Kommuner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34404-2023</t>
        </is>
      </c>
      <c r="B642" s="1" t="n">
        <v>45132</v>
      </c>
      <c r="C642" s="1" t="n">
        <v>45968</v>
      </c>
      <c r="D642" t="inlineStr">
        <is>
          <t>VÄRMLANDS LÄN</t>
        </is>
      </c>
      <c r="E642" t="inlineStr">
        <is>
          <t>HAGFORS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11160-2025</t>
        </is>
      </c>
      <c r="B643" s="1" t="n">
        <v>45723.86552083334</v>
      </c>
      <c r="C643" s="1" t="n">
        <v>45968</v>
      </c>
      <c r="D643" t="inlineStr">
        <is>
          <t>VÄRMLANDS LÄN</t>
        </is>
      </c>
      <c r="E643" t="inlineStr">
        <is>
          <t>HAGFORS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54929-2024</t>
        </is>
      </c>
      <c r="B644" s="1" t="n">
        <v>45618</v>
      </c>
      <c r="C644" s="1" t="n">
        <v>45968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8496-2022</t>
        </is>
      </c>
      <c r="B645" s="1" t="n">
        <v>44613.39621527777</v>
      </c>
      <c r="C645" s="1" t="n">
        <v>45968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43998-2024</t>
        </is>
      </c>
      <c r="B646" s="1" t="n">
        <v>45572</v>
      </c>
      <c r="C646" s="1" t="n">
        <v>45968</v>
      </c>
      <c r="D646" t="inlineStr">
        <is>
          <t>VÄRMLANDS LÄN</t>
        </is>
      </c>
      <c r="E646" t="inlineStr">
        <is>
          <t>HAGFORS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13282-2024</t>
        </is>
      </c>
      <c r="B647" s="1" t="n">
        <v>45386.6375</v>
      </c>
      <c r="C647" s="1" t="n">
        <v>45968</v>
      </c>
      <c r="D647" t="inlineStr">
        <is>
          <t>VÄRMLANDS LÄN</t>
        </is>
      </c>
      <c r="E647" t="inlineStr">
        <is>
          <t>HAGFORS</t>
        </is>
      </c>
      <c r="F647" t="inlineStr">
        <is>
          <t>Kommuner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4028-2025</t>
        </is>
      </c>
      <c r="B648" s="1" t="n">
        <v>45684.59545138889</v>
      </c>
      <c r="C648" s="1" t="n">
        <v>45968</v>
      </c>
      <c r="D648" t="inlineStr">
        <is>
          <t>VÄRMLANDS LÄN</t>
        </is>
      </c>
      <c r="E648" t="inlineStr">
        <is>
          <t>HAGFORS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49533-2025</t>
        </is>
      </c>
      <c r="B649" s="1" t="n">
        <v>45939.41119212963</v>
      </c>
      <c r="C649" s="1" t="n">
        <v>45968</v>
      </c>
      <c r="D649" t="inlineStr">
        <is>
          <t>VÄRMLANDS LÄN</t>
        </is>
      </c>
      <c r="E649" t="inlineStr">
        <is>
          <t>HAGFORS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48807-2025</t>
        </is>
      </c>
      <c r="B650" s="1" t="n">
        <v>45937</v>
      </c>
      <c r="C650" s="1" t="n">
        <v>45968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61169-2024</t>
        </is>
      </c>
      <c r="B651" s="1" t="n">
        <v>45645</v>
      </c>
      <c r="C651" s="1" t="n">
        <v>45968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44728-2023</t>
        </is>
      </c>
      <c r="B652" s="1" t="n">
        <v>45190.36746527778</v>
      </c>
      <c r="C652" s="1" t="n">
        <v>45968</v>
      </c>
      <c r="D652" t="inlineStr">
        <is>
          <t>VÄRMLANDS LÄN</t>
        </is>
      </c>
      <c r="E652" t="inlineStr">
        <is>
          <t>HAGFORS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12291-2025</t>
        </is>
      </c>
      <c r="B653" s="1" t="n">
        <v>45729</v>
      </c>
      <c r="C653" s="1" t="n">
        <v>45968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40926-2025</t>
        </is>
      </c>
      <c r="B654" s="1" t="n">
        <v>45897.64236111111</v>
      </c>
      <c r="C654" s="1" t="n">
        <v>45968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20369-2025</t>
        </is>
      </c>
      <c r="B655" s="1" t="n">
        <v>45775</v>
      </c>
      <c r="C655" s="1" t="n">
        <v>45968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41155-2025</t>
        </is>
      </c>
      <c r="B656" s="1" t="n">
        <v>45898.52128472222</v>
      </c>
      <c r="C656" s="1" t="n">
        <v>45968</v>
      </c>
      <c r="D656" t="inlineStr">
        <is>
          <t>VÄRMLANDS LÄN</t>
        </is>
      </c>
      <c r="E656" t="inlineStr">
        <is>
          <t>HAGFORS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42168-2024</t>
        </is>
      </c>
      <c r="B657" s="1" t="n">
        <v>45562.46678240741</v>
      </c>
      <c r="C657" s="1" t="n">
        <v>45968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42170-2024</t>
        </is>
      </c>
      <c r="B658" s="1" t="n">
        <v>45562.46758101852</v>
      </c>
      <c r="C658" s="1" t="n">
        <v>45968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42171-2024</t>
        </is>
      </c>
      <c r="B659" s="1" t="n">
        <v>45562.4684837963</v>
      </c>
      <c r="C659" s="1" t="n">
        <v>45968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42243-2024</t>
        </is>
      </c>
      <c r="B660" s="1" t="n">
        <v>45562</v>
      </c>
      <c r="C660" s="1" t="n">
        <v>45968</v>
      </c>
      <c r="D660" t="inlineStr">
        <is>
          <t>VÄRMLANDS LÄN</t>
        </is>
      </c>
      <c r="E660" t="inlineStr">
        <is>
          <t>HAGFORS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41223-2025</t>
        </is>
      </c>
      <c r="B661" s="1" t="n">
        <v>45898.58835648148</v>
      </c>
      <c r="C661" s="1" t="n">
        <v>45968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6980-2022</t>
        </is>
      </c>
      <c r="B662" s="1" t="n">
        <v>44603</v>
      </c>
      <c r="C662" s="1" t="n">
        <v>45968</v>
      </c>
      <c r="D662" t="inlineStr">
        <is>
          <t>VÄRMLANDS LÄN</t>
        </is>
      </c>
      <c r="E662" t="inlineStr">
        <is>
          <t>HAGFORS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24814-2024</t>
        </is>
      </c>
      <c r="B663" s="1" t="n">
        <v>45461.31162037037</v>
      </c>
      <c r="C663" s="1" t="n">
        <v>45968</v>
      </c>
      <c r="D663" t="inlineStr">
        <is>
          <t>VÄRMLANDS LÄN</t>
        </is>
      </c>
      <c r="E663" t="inlineStr">
        <is>
          <t>HAGFORS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49812-2025</t>
        </is>
      </c>
      <c r="B664" s="1" t="n">
        <v>45940.42521990741</v>
      </c>
      <c r="C664" s="1" t="n">
        <v>45968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50030-2025</t>
        </is>
      </c>
      <c r="B665" s="1" t="n">
        <v>45943.38633101852</v>
      </c>
      <c r="C665" s="1" t="n">
        <v>45968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49967-2025</t>
        </is>
      </c>
      <c r="B666" s="1" t="n">
        <v>45941.66935185185</v>
      </c>
      <c r="C666" s="1" t="n">
        <v>45968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17659-2025</t>
        </is>
      </c>
      <c r="B667" s="1" t="n">
        <v>45758</v>
      </c>
      <c r="C667" s="1" t="n">
        <v>45968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36013-2023</t>
        </is>
      </c>
      <c r="B668" s="1" t="n">
        <v>45149.36230324074</v>
      </c>
      <c r="C668" s="1" t="n">
        <v>45968</v>
      </c>
      <c r="D668" t="inlineStr">
        <is>
          <t>VÄRMLANDS LÄN</t>
        </is>
      </c>
      <c r="E668" t="inlineStr">
        <is>
          <t>HAGFORS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49220-2025</t>
        </is>
      </c>
      <c r="B669" s="1" t="n">
        <v>45938</v>
      </c>
      <c r="C669" s="1" t="n">
        <v>45968</v>
      </c>
      <c r="D669" t="inlineStr">
        <is>
          <t>VÄRMLANDS LÄN</t>
        </is>
      </c>
      <c r="E669" t="inlineStr">
        <is>
          <t>HAGFORS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41117-2025</t>
        </is>
      </c>
      <c r="B670" s="1" t="n">
        <v>45898.46390046296</v>
      </c>
      <c r="C670" s="1" t="n">
        <v>45968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41153-2025</t>
        </is>
      </c>
      <c r="B671" s="1" t="n">
        <v>45898.51598379629</v>
      </c>
      <c r="C671" s="1" t="n">
        <v>45968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41154-2025</t>
        </is>
      </c>
      <c r="B672" s="1" t="n">
        <v>45898.51934027778</v>
      </c>
      <c r="C672" s="1" t="n">
        <v>45968</v>
      </c>
      <c r="D672" t="inlineStr">
        <is>
          <t>VÄRMLANDS LÄN</t>
        </is>
      </c>
      <c r="E672" t="inlineStr">
        <is>
          <t>HAGFORS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61311-2023</t>
        </is>
      </c>
      <c r="B673" s="1" t="n">
        <v>45264</v>
      </c>
      <c r="C673" s="1" t="n">
        <v>45968</v>
      </c>
      <c r="D673" t="inlineStr">
        <is>
          <t>VÄRMLANDS LÄN</t>
        </is>
      </c>
      <c r="E673" t="inlineStr">
        <is>
          <t>HAGFORS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61315-2023</t>
        </is>
      </c>
      <c r="B674" s="1" t="n">
        <v>45264</v>
      </c>
      <c r="C674" s="1" t="n">
        <v>45968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36293-2023</t>
        </is>
      </c>
      <c r="B675" s="1" t="n">
        <v>45152</v>
      </c>
      <c r="C675" s="1" t="n">
        <v>45968</v>
      </c>
      <c r="D675" t="inlineStr">
        <is>
          <t>VÄRMLANDS LÄN</t>
        </is>
      </c>
      <c r="E675" t="inlineStr">
        <is>
          <t>HAGFORS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18907-2025</t>
        </is>
      </c>
      <c r="B676" s="1" t="n">
        <v>45764</v>
      </c>
      <c r="C676" s="1" t="n">
        <v>45968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41495-2025</t>
        </is>
      </c>
      <c r="B677" s="1" t="n">
        <v>45901</v>
      </c>
      <c r="C677" s="1" t="n">
        <v>45968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22472-2025</t>
        </is>
      </c>
      <c r="B678" s="1" t="n">
        <v>45786.61974537037</v>
      </c>
      <c r="C678" s="1" t="n">
        <v>45968</v>
      </c>
      <c r="D678" t="inlineStr">
        <is>
          <t>VÄRMLANDS LÄN</t>
        </is>
      </c>
      <c r="E678" t="inlineStr">
        <is>
          <t>HAGFORS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41004-2025</t>
        </is>
      </c>
      <c r="B679" s="1" t="n">
        <v>45898.34681712963</v>
      </c>
      <c r="C679" s="1" t="n">
        <v>45968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41015-2025</t>
        </is>
      </c>
      <c r="B680" s="1" t="n">
        <v>45898.36056712963</v>
      </c>
      <c r="C680" s="1" t="n">
        <v>45968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49830-2025</t>
        </is>
      </c>
      <c r="B681" s="1" t="n">
        <v>45940.45478009259</v>
      </c>
      <c r="C681" s="1" t="n">
        <v>45968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41041-2025</t>
        </is>
      </c>
      <c r="B682" s="1" t="n">
        <v>45898.39212962963</v>
      </c>
      <c r="C682" s="1" t="n">
        <v>45968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41092-2025</t>
        </is>
      </c>
      <c r="B683" s="1" t="n">
        <v>45898.44184027778</v>
      </c>
      <c r="C683" s="1" t="n">
        <v>45968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41287-2025</t>
        </is>
      </c>
      <c r="B684" s="1" t="n">
        <v>45898.63945601852</v>
      </c>
      <c r="C684" s="1" t="n">
        <v>45968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20444-2024</t>
        </is>
      </c>
      <c r="B685" s="1" t="n">
        <v>45435</v>
      </c>
      <c r="C685" s="1" t="n">
        <v>45968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49219-2025</t>
        </is>
      </c>
      <c r="B686" s="1" t="n">
        <v>45938</v>
      </c>
      <c r="C686" s="1" t="n">
        <v>45968</v>
      </c>
      <c r="D686" t="inlineStr">
        <is>
          <t>VÄRMLANDS LÄN</t>
        </is>
      </c>
      <c r="E686" t="inlineStr">
        <is>
          <t>HAGFORS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35886-2023</t>
        </is>
      </c>
      <c r="B687" s="1" t="n">
        <v>45148.59436342592</v>
      </c>
      <c r="C687" s="1" t="n">
        <v>45968</v>
      </c>
      <c r="D687" t="inlineStr">
        <is>
          <t>VÄRMLANDS LÄN</t>
        </is>
      </c>
      <c r="E687" t="inlineStr">
        <is>
          <t>HAGFORS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17305-2023</t>
        </is>
      </c>
      <c r="B688" s="1" t="n">
        <v>45035</v>
      </c>
      <c r="C688" s="1" t="n">
        <v>45968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41739-2025</t>
        </is>
      </c>
      <c r="B689" s="1" t="n">
        <v>45902.47445601852</v>
      </c>
      <c r="C689" s="1" t="n">
        <v>45968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31178-2022</t>
        </is>
      </c>
      <c r="B690" s="1" t="n">
        <v>44770</v>
      </c>
      <c r="C690" s="1" t="n">
        <v>45968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59048-2022</t>
        </is>
      </c>
      <c r="B691" s="1" t="n">
        <v>44903</v>
      </c>
      <c r="C691" s="1" t="n">
        <v>45968</v>
      </c>
      <c r="D691" t="inlineStr">
        <is>
          <t>VÄRMLANDS LÄN</t>
        </is>
      </c>
      <c r="E691" t="inlineStr">
        <is>
          <t>HAGFORS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59552-2024</t>
        </is>
      </c>
      <c r="B692" s="1" t="n">
        <v>45638.63417824074</v>
      </c>
      <c r="C692" s="1" t="n">
        <v>45968</v>
      </c>
      <c r="D692" t="inlineStr">
        <is>
          <t>VÄRMLANDS LÄN</t>
        </is>
      </c>
      <c r="E692" t="inlineStr">
        <is>
          <t>HAGFORS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18628-2025</t>
        </is>
      </c>
      <c r="B693" s="1" t="n">
        <v>45763.53380787037</v>
      </c>
      <c r="C693" s="1" t="n">
        <v>45968</v>
      </c>
      <c r="D693" t="inlineStr">
        <is>
          <t>VÄRMLANDS LÄN</t>
        </is>
      </c>
      <c r="E693" t="inlineStr">
        <is>
          <t>HAGFORS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21067-2025</t>
        </is>
      </c>
      <c r="B694" s="1" t="n">
        <v>45777.59119212963</v>
      </c>
      <c r="C694" s="1" t="n">
        <v>45968</v>
      </c>
      <c r="D694" t="inlineStr">
        <is>
          <t>VÄRMLANDS LÄN</t>
        </is>
      </c>
      <c r="E694" t="inlineStr">
        <is>
          <t>HAGFORS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25140-2024</t>
        </is>
      </c>
      <c r="B695" s="1" t="n">
        <v>45462</v>
      </c>
      <c r="C695" s="1" t="n">
        <v>45968</v>
      </c>
      <c r="D695" t="inlineStr">
        <is>
          <t>VÄRMLANDS LÄN</t>
        </is>
      </c>
      <c r="E695" t="inlineStr">
        <is>
          <t>HAGFORS</t>
        </is>
      </c>
      <c r="F695" t="inlineStr">
        <is>
          <t>Kyrkan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41784-2025</t>
        </is>
      </c>
      <c r="B696" s="1" t="n">
        <v>45902.58962962963</v>
      </c>
      <c r="C696" s="1" t="n">
        <v>45968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41809-2025</t>
        </is>
      </c>
      <c r="B697" s="1" t="n">
        <v>45902.64282407407</v>
      </c>
      <c r="C697" s="1" t="n">
        <v>45968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20624-2025</t>
        </is>
      </c>
      <c r="B698" s="1" t="n">
        <v>45776.32688657408</v>
      </c>
      <c r="C698" s="1" t="n">
        <v>45968</v>
      </c>
      <c r="D698" t="inlineStr">
        <is>
          <t>VÄRMLANDS LÄN</t>
        </is>
      </c>
      <c r="E698" t="inlineStr">
        <is>
          <t>HAGFORS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20688-2025</t>
        </is>
      </c>
      <c r="B699" s="1" t="n">
        <v>45776</v>
      </c>
      <c r="C699" s="1" t="n">
        <v>45968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42076-2025</t>
        </is>
      </c>
      <c r="B700" s="1" t="n">
        <v>45903.67486111111</v>
      </c>
      <c r="C700" s="1" t="n">
        <v>45968</v>
      </c>
      <c r="D700" t="inlineStr">
        <is>
          <t>VÄRMLANDS LÄN</t>
        </is>
      </c>
      <c r="E700" t="inlineStr">
        <is>
          <t>HAGFORS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20862-2025</t>
        </is>
      </c>
      <c r="B701" s="1" t="n">
        <v>45777</v>
      </c>
      <c r="C701" s="1" t="n">
        <v>45968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41812-2025</t>
        </is>
      </c>
      <c r="B702" s="1" t="n">
        <v>45902.65138888889</v>
      </c>
      <c r="C702" s="1" t="n">
        <v>45968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41726-2025</t>
        </is>
      </c>
      <c r="B703" s="1" t="n">
        <v>45902.45571759259</v>
      </c>
      <c r="C703" s="1" t="n">
        <v>45968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53599-2023</t>
        </is>
      </c>
      <c r="B704" s="1" t="n">
        <v>45230.55438657408</v>
      </c>
      <c r="C704" s="1" t="n">
        <v>45968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34.7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21155-2023</t>
        </is>
      </c>
      <c r="B705" s="1" t="n">
        <v>45057</v>
      </c>
      <c r="C705" s="1" t="n">
        <v>45968</v>
      </c>
      <c r="D705" t="inlineStr">
        <is>
          <t>VÄRMLANDS LÄN</t>
        </is>
      </c>
      <c r="E705" t="inlineStr">
        <is>
          <t>HAGFORS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51160-2025</t>
        </is>
      </c>
      <c r="B706" s="1" t="n">
        <v>45947.58401620371</v>
      </c>
      <c r="C706" s="1" t="n">
        <v>45968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17884-2025</t>
        </is>
      </c>
      <c r="B707" s="1" t="n">
        <v>45758.66105324074</v>
      </c>
      <c r="C707" s="1" t="n">
        <v>45968</v>
      </c>
      <c r="D707" t="inlineStr">
        <is>
          <t>VÄRMLANDS LÄN</t>
        </is>
      </c>
      <c r="E707" t="inlineStr">
        <is>
          <t>HAGFORS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42532-2025</t>
        </is>
      </c>
      <c r="B708" s="1" t="n">
        <v>45905.56454861111</v>
      </c>
      <c r="C708" s="1" t="n">
        <v>45968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19554-2024</t>
        </is>
      </c>
      <c r="B709" s="1" t="n">
        <v>45429</v>
      </c>
      <c r="C709" s="1" t="n">
        <v>45968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42480-2025</t>
        </is>
      </c>
      <c r="B710" s="1" t="n">
        <v>45905.47957175926</v>
      </c>
      <c r="C710" s="1" t="n">
        <v>45968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42482-2025</t>
        </is>
      </c>
      <c r="B711" s="1" t="n">
        <v>45905</v>
      </c>
      <c r="C711" s="1" t="n">
        <v>45968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50977-2025</t>
        </is>
      </c>
      <c r="B712" s="1" t="n">
        <v>45947.32130787037</v>
      </c>
      <c r="C712" s="1" t="n">
        <v>45968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9.300000000000001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42300-2025</t>
        </is>
      </c>
      <c r="B713" s="1" t="n">
        <v>45904.64195601852</v>
      </c>
      <c r="C713" s="1" t="n">
        <v>45968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5975-2025</t>
        </is>
      </c>
      <c r="B714" s="1" t="n">
        <v>45695</v>
      </c>
      <c r="C714" s="1" t="n">
        <v>45968</v>
      </c>
      <c r="D714" t="inlineStr">
        <is>
          <t>VÄRMLANDS LÄN</t>
        </is>
      </c>
      <c r="E714" t="inlineStr">
        <is>
          <t>HAGFORS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50752-2025</t>
        </is>
      </c>
      <c r="B715" s="1" t="n">
        <v>45946.40040509259</v>
      </c>
      <c r="C715" s="1" t="n">
        <v>45968</v>
      </c>
      <c r="D715" t="inlineStr">
        <is>
          <t>VÄRMLANDS LÄN</t>
        </is>
      </c>
      <c r="E715" t="inlineStr">
        <is>
          <t>HAGFORS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42470-2025</t>
        </is>
      </c>
      <c r="B716" s="1" t="n">
        <v>45905</v>
      </c>
      <c r="C716" s="1" t="n">
        <v>45968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51072-2025</t>
        </is>
      </c>
      <c r="B717" s="1" t="n">
        <v>45947.45825231481</v>
      </c>
      <c r="C717" s="1" t="n">
        <v>45968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21723-2025</t>
        </is>
      </c>
      <c r="B718" s="1" t="n">
        <v>45783.56596064815</v>
      </c>
      <c r="C718" s="1" t="n">
        <v>45968</v>
      </c>
      <c r="D718" t="inlineStr">
        <is>
          <t>VÄRMLANDS LÄN</t>
        </is>
      </c>
      <c r="E718" t="inlineStr">
        <is>
          <t>HAGFORS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21729-2025</t>
        </is>
      </c>
      <c r="B719" s="1" t="n">
        <v>45783.57887731482</v>
      </c>
      <c r="C719" s="1" t="n">
        <v>45968</v>
      </c>
      <c r="D719" t="inlineStr">
        <is>
          <t>VÄRMLANDS LÄN</t>
        </is>
      </c>
      <c r="E719" t="inlineStr">
        <is>
          <t>HAGFORS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42381-2025</t>
        </is>
      </c>
      <c r="B720" s="1" t="n">
        <v>45905.34576388889</v>
      </c>
      <c r="C720" s="1" t="n">
        <v>45968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42385-2025</t>
        </is>
      </c>
      <c r="B721" s="1" t="n">
        <v>45905.34984953704</v>
      </c>
      <c r="C721" s="1" t="n">
        <v>45968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21724-2025</t>
        </is>
      </c>
      <c r="B722" s="1" t="n">
        <v>45783.56719907407</v>
      </c>
      <c r="C722" s="1" t="n">
        <v>45968</v>
      </c>
      <c r="D722" t="inlineStr">
        <is>
          <t>VÄRMLANDS LÄN</t>
        </is>
      </c>
      <c r="E722" t="inlineStr">
        <is>
          <t>HAGFORS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42484-2025</t>
        </is>
      </c>
      <c r="B723" s="1" t="n">
        <v>45905</v>
      </c>
      <c r="C723" s="1" t="n">
        <v>45968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30710-2022</t>
        </is>
      </c>
      <c r="B724" s="1" t="n">
        <v>44763.76623842592</v>
      </c>
      <c r="C724" s="1" t="n">
        <v>45968</v>
      </c>
      <c r="D724" t="inlineStr">
        <is>
          <t>VÄRMLANDS LÄN</t>
        </is>
      </c>
      <c r="E724" t="inlineStr">
        <is>
          <t>HAGFORS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59814-2024</t>
        </is>
      </c>
      <c r="B725" s="1" t="n">
        <v>45639</v>
      </c>
      <c r="C725" s="1" t="n">
        <v>45968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52830-2023</t>
        </is>
      </c>
      <c r="B726" s="1" t="n">
        <v>45226</v>
      </c>
      <c r="C726" s="1" t="n">
        <v>45968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42406-2025</t>
        </is>
      </c>
      <c r="B727" s="1" t="n">
        <v>45905</v>
      </c>
      <c r="C727" s="1" t="n">
        <v>45968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24680-2024</t>
        </is>
      </c>
      <c r="B728" s="1" t="n">
        <v>45460.59121527777</v>
      </c>
      <c r="C728" s="1" t="n">
        <v>45968</v>
      </c>
      <c r="D728" t="inlineStr">
        <is>
          <t>VÄRMLANDS LÄN</t>
        </is>
      </c>
      <c r="E728" t="inlineStr">
        <is>
          <t>HAGFORS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42430-2025</t>
        </is>
      </c>
      <c r="B729" s="1" t="n">
        <v>45905.42362268519</v>
      </c>
      <c r="C729" s="1" t="n">
        <v>45968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28087-2024</t>
        </is>
      </c>
      <c r="B730" s="1" t="n">
        <v>45476</v>
      </c>
      <c r="C730" s="1" t="n">
        <v>45968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50893-2025</t>
        </is>
      </c>
      <c r="B731" s="1" t="n">
        <v>45946</v>
      </c>
      <c r="C731" s="1" t="n">
        <v>45968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1933-2024</t>
        </is>
      </c>
      <c r="B732" s="1" t="n">
        <v>45308.46021990741</v>
      </c>
      <c r="C732" s="1" t="n">
        <v>45968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17833-2022</t>
        </is>
      </c>
      <c r="B733" s="1" t="n">
        <v>44683</v>
      </c>
      <c r="C733" s="1" t="n">
        <v>45968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14436-2025</t>
        </is>
      </c>
      <c r="B734" s="1" t="n">
        <v>45741.51133101852</v>
      </c>
      <c r="C734" s="1" t="n">
        <v>45968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22091-2025</t>
        </is>
      </c>
      <c r="B735" s="1" t="n">
        <v>45785.45800925926</v>
      </c>
      <c r="C735" s="1" t="n">
        <v>45968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42246-2025</t>
        </is>
      </c>
      <c r="B736" s="1" t="n">
        <v>45904.57653935185</v>
      </c>
      <c r="C736" s="1" t="n">
        <v>45968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18213-2024</t>
        </is>
      </c>
      <c r="B737" s="1" t="n">
        <v>45420</v>
      </c>
      <c r="C737" s="1" t="n">
        <v>45968</v>
      </c>
      <c r="D737" t="inlineStr">
        <is>
          <t>VÄRMLANDS LÄN</t>
        </is>
      </c>
      <c r="E737" t="inlineStr">
        <is>
          <t>HAGFORS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47425-2024</t>
        </is>
      </c>
      <c r="B738" s="1" t="n">
        <v>45587.49407407407</v>
      </c>
      <c r="C738" s="1" t="n">
        <v>45968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42544-2025</t>
        </is>
      </c>
      <c r="B739" s="1" t="n">
        <v>45905</v>
      </c>
      <c r="C739" s="1" t="n">
        <v>45968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42453-2025</t>
        </is>
      </c>
      <c r="B740" s="1" t="n">
        <v>45905.44949074074</v>
      </c>
      <c r="C740" s="1" t="n">
        <v>45968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19.2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42267-2025</t>
        </is>
      </c>
      <c r="B741" s="1" t="n">
        <v>45904.60241898148</v>
      </c>
      <c r="C741" s="1" t="n">
        <v>45968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50880-2025</t>
        </is>
      </c>
      <c r="B742" s="1" t="n">
        <v>45946.62552083333</v>
      </c>
      <c r="C742" s="1" t="n">
        <v>45968</v>
      </c>
      <c r="D742" t="inlineStr">
        <is>
          <t>VÄRMLANDS LÄN</t>
        </is>
      </c>
      <c r="E742" t="inlineStr">
        <is>
          <t>HAGFORS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22231-2025</t>
        </is>
      </c>
      <c r="B743" s="1" t="n">
        <v>45785.66783564815</v>
      </c>
      <c r="C743" s="1" t="n">
        <v>45968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40332-2023</t>
        </is>
      </c>
      <c r="B744" s="1" t="n">
        <v>45169</v>
      </c>
      <c r="C744" s="1" t="n">
        <v>45968</v>
      </c>
      <c r="D744" t="inlineStr">
        <is>
          <t>VÄRMLANDS LÄN</t>
        </is>
      </c>
      <c r="E744" t="inlineStr">
        <is>
          <t>HAGFORS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21956-2025</t>
        </is>
      </c>
      <c r="B745" s="1" t="n">
        <v>45784.60358796296</v>
      </c>
      <c r="C745" s="1" t="n">
        <v>45968</v>
      </c>
      <c r="D745" t="inlineStr">
        <is>
          <t>VÄRMLANDS LÄN</t>
        </is>
      </c>
      <c r="E745" t="inlineStr">
        <is>
          <t>HAGFORS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22648-2025</t>
        </is>
      </c>
      <c r="B746" s="1" t="n">
        <v>45789.46739583334</v>
      </c>
      <c r="C746" s="1" t="n">
        <v>45968</v>
      </c>
      <c r="D746" t="inlineStr">
        <is>
          <t>VÄRMLANDS LÄN</t>
        </is>
      </c>
      <c r="E746" t="inlineStr">
        <is>
          <t>HAGFORS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10382-2025</t>
        </is>
      </c>
      <c r="B747" s="1" t="n">
        <v>45720</v>
      </c>
      <c r="C747" s="1" t="n">
        <v>45968</v>
      </c>
      <c r="D747" t="inlineStr">
        <is>
          <t>VÄRMLANDS LÄN</t>
        </is>
      </c>
      <c r="E747" t="inlineStr">
        <is>
          <t>HAGFORS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51015-2025</t>
        </is>
      </c>
      <c r="B748" s="1" t="n">
        <v>45947</v>
      </c>
      <c r="C748" s="1" t="n">
        <v>45968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6437-2024</t>
        </is>
      </c>
      <c r="B749" s="1" t="n">
        <v>45338</v>
      </c>
      <c r="C749" s="1" t="n">
        <v>45968</v>
      </c>
      <c r="D749" t="inlineStr">
        <is>
          <t>VÄRMLANDS LÄN</t>
        </is>
      </c>
      <c r="E749" t="inlineStr">
        <is>
          <t>HAGFORS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9795-2023</t>
        </is>
      </c>
      <c r="B750" s="1" t="n">
        <v>44984</v>
      </c>
      <c r="C750" s="1" t="n">
        <v>45968</v>
      </c>
      <c r="D750" t="inlineStr">
        <is>
          <t>VÄRMLANDS LÄN</t>
        </is>
      </c>
      <c r="E750" t="inlineStr">
        <is>
          <t>HAGFORS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22799-2025</t>
        </is>
      </c>
      <c r="B751" s="1" t="n">
        <v>45789.66512731482</v>
      </c>
      <c r="C751" s="1" t="n">
        <v>45968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22346-2025</t>
        </is>
      </c>
      <c r="B752" s="1" t="n">
        <v>45786.4487037037</v>
      </c>
      <c r="C752" s="1" t="n">
        <v>45968</v>
      </c>
      <c r="D752" t="inlineStr">
        <is>
          <t>VÄRMLANDS LÄN</t>
        </is>
      </c>
      <c r="E752" t="inlineStr">
        <is>
          <t>HAGFORS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61265-2022</t>
        </is>
      </c>
      <c r="B753" s="1" t="n">
        <v>44915</v>
      </c>
      <c r="C753" s="1" t="n">
        <v>45968</v>
      </c>
      <c r="D753" t="inlineStr">
        <is>
          <t>VÄRMLANDS LÄN</t>
        </is>
      </c>
      <c r="E753" t="inlineStr">
        <is>
          <t>HAGFORS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34540-2024</t>
        </is>
      </c>
      <c r="B754" s="1" t="n">
        <v>45525.73809027778</v>
      </c>
      <c r="C754" s="1" t="n">
        <v>45968</v>
      </c>
      <c r="D754" t="inlineStr">
        <is>
          <t>VÄRMLANDS LÄN</t>
        </is>
      </c>
      <c r="E754" t="inlineStr">
        <is>
          <t>HAGFORS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42694-2025</t>
        </is>
      </c>
      <c r="B755" s="1" t="n">
        <v>45908.36113425926</v>
      </c>
      <c r="C755" s="1" t="n">
        <v>45968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50998-2025</t>
        </is>
      </c>
      <c r="B756" s="1" t="n">
        <v>45947</v>
      </c>
      <c r="C756" s="1" t="n">
        <v>45968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43114-2025</t>
        </is>
      </c>
      <c r="B757" s="1" t="n">
        <v>45909</v>
      </c>
      <c r="C757" s="1" t="n">
        <v>45968</v>
      </c>
      <c r="D757" t="inlineStr">
        <is>
          <t>VÄRMLANDS LÄN</t>
        </is>
      </c>
      <c r="E757" t="inlineStr">
        <is>
          <t>HAGFORS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22461-2025</t>
        </is>
      </c>
      <c r="B758" s="1" t="n">
        <v>45786.60795138889</v>
      </c>
      <c r="C758" s="1" t="n">
        <v>45968</v>
      </c>
      <c r="D758" t="inlineStr">
        <is>
          <t>VÄRMLANDS LÄN</t>
        </is>
      </c>
      <c r="E758" t="inlineStr">
        <is>
          <t>HAGFORS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22484-2025</t>
        </is>
      </c>
      <c r="B759" s="1" t="n">
        <v>45786.64372685185</v>
      </c>
      <c r="C759" s="1" t="n">
        <v>45968</v>
      </c>
      <c r="D759" t="inlineStr">
        <is>
          <t>VÄRMLANDS LÄN</t>
        </is>
      </c>
      <c r="E759" t="inlineStr">
        <is>
          <t>HAGFORS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43003-2025</t>
        </is>
      </c>
      <c r="B760" s="1" t="n">
        <v>45909.47049768519</v>
      </c>
      <c r="C760" s="1" t="n">
        <v>45968</v>
      </c>
      <c r="D760" t="inlineStr">
        <is>
          <t>VÄRMLANDS LÄN</t>
        </is>
      </c>
      <c r="E760" t="inlineStr">
        <is>
          <t>HAGFORS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43117-2025</t>
        </is>
      </c>
      <c r="B761" s="1" t="n">
        <v>45909</v>
      </c>
      <c r="C761" s="1" t="n">
        <v>45968</v>
      </c>
      <c r="D761" t="inlineStr">
        <is>
          <t>VÄRMLANDS LÄN</t>
        </is>
      </c>
      <c r="E761" t="inlineStr">
        <is>
          <t>HAGFORS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43084-2025</t>
        </is>
      </c>
      <c r="B762" s="1" t="n">
        <v>45909</v>
      </c>
      <c r="C762" s="1" t="n">
        <v>45968</v>
      </c>
      <c r="D762" t="inlineStr">
        <is>
          <t>VÄRMLANDS LÄN</t>
        </is>
      </c>
      <c r="E762" t="inlineStr">
        <is>
          <t>HAGFORS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51273-2025</t>
        </is>
      </c>
      <c r="B763" s="1" t="n">
        <v>45949.89403935185</v>
      </c>
      <c r="C763" s="1" t="n">
        <v>45968</v>
      </c>
      <c r="D763" t="inlineStr">
        <is>
          <t>VÄRMLANDS LÄN</t>
        </is>
      </c>
      <c r="E763" t="inlineStr">
        <is>
          <t>HAGFORS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52206-2025</t>
        </is>
      </c>
      <c r="B764" s="1" t="n">
        <v>45953.41005787037</v>
      </c>
      <c r="C764" s="1" t="n">
        <v>45968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23268-2025</t>
        </is>
      </c>
      <c r="B765" s="1" t="n">
        <v>45791.56040509259</v>
      </c>
      <c r="C765" s="1" t="n">
        <v>45968</v>
      </c>
      <c r="D765" t="inlineStr">
        <is>
          <t>VÄRMLANDS LÄN</t>
        </is>
      </c>
      <c r="E765" t="inlineStr">
        <is>
          <t>HAGFORS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22917-2025</t>
        </is>
      </c>
      <c r="B766" s="1" t="n">
        <v>45790.43143518519</v>
      </c>
      <c r="C766" s="1" t="n">
        <v>45968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35994-2024</t>
        </is>
      </c>
      <c r="B767" s="1" t="n">
        <v>45533.54149305556</v>
      </c>
      <c r="C767" s="1" t="n">
        <v>45968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20746-2025</t>
        </is>
      </c>
      <c r="B768" s="1" t="n">
        <v>45776.56165509259</v>
      </c>
      <c r="C768" s="1" t="n">
        <v>45968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29447-2025</t>
        </is>
      </c>
      <c r="B769" s="1" t="n">
        <v>45824</v>
      </c>
      <c r="C769" s="1" t="n">
        <v>45968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25069-2024</t>
        </is>
      </c>
      <c r="B770" s="1" t="n">
        <v>45462.36731481482</v>
      </c>
      <c r="C770" s="1" t="n">
        <v>45968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28.3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65065-2023</t>
        </is>
      </c>
      <c r="B771" s="1" t="n">
        <v>45287</v>
      </c>
      <c r="C771" s="1" t="n">
        <v>45968</v>
      </c>
      <c r="D771" t="inlineStr">
        <is>
          <t>VÄRMLANDS LÄN</t>
        </is>
      </c>
      <c r="E771" t="inlineStr">
        <is>
          <t>HAGFORS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42593-2021</t>
        </is>
      </c>
      <c r="B772" s="1" t="n">
        <v>44428.3752662037</v>
      </c>
      <c r="C772" s="1" t="n">
        <v>45968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23276-2025</t>
        </is>
      </c>
      <c r="B773" s="1" t="n">
        <v>45791.56663194444</v>
      </c>
      <c r="C773" s="1" t="n">
        <v>45968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23118-2025</t>
        </is>
      </c>
      <c r="B774" s="1" t="n">
        <v>45791.37291666667</v>
      </c>
      <c r="C774" s="1" t="n">
        <v>45968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38239-2024</t>
        </is>
      </c>
      <c r="B775" s="1" t="n">
        <v>45545</v>
      </c>
      <c r="C775" s="1" t="n">
        <v>45968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51131-2025</t>
        </is>
      </c>
      <c r="B776" s="1" t="n">
        <v>45947</v>
      </c>
      <c r="C776" s="1" t="n">
        <v>45968</v>
      </c>
      <c r="D776" t="inlineStr">
        <is>
          <t>VÄRMLANDS LÄN</t>
        </is>
      </c>
      <c r="E776" t="inlineStr">
        <is>
          <t>HAGFORS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23179-2025</t>
        </is>
      </c>
      <c r="B777" s="1" t="n">
        <v>45791.43831018519</v>
      </c>
      <c r="C777" s="1" t="n">
        <v>45968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23325-2025</t>
        </is>
      </c>
      <c r="B778" s="1" t="n">
        <v>45791.62258101852</v>
      </c>
      <c r="C778" s="1" t="n">
        <v>45968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53443-2024</t>
        </is>
      </c>
      <c r="B779" s="1" t="n">
        <v>45614.53978009259</v>
      </c>
      <c r="C779" s="1" t="n">
        <v>45968</v>
      </c>
      <c r="D779" t="inlineStr">
        <is>
          <t>VÄRMLANDS LÄN</t>
        </is>
      </c>
      <c r="E779" t="inlineStr">
        <is>
          <t>HAGFORS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52923-2023</t>
        </is>
      </c>
      <c r="B780" s="1" t="n">
        <v>45226</v>
      </c>
      <c r="C780" s="1" t="n">
        <v>45968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52016-2025</t>
        </is>
      </c>
      <c r="B781" s="1" t="n">
        <v>45952.59712962963</v>
      </c>
      <c r="C781" s="1" t="n">
        <v>45968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23262-2025</t>
        </is>
      </c>
      <c r="B782" s="1" t="n">
        <v>45791.55136574074</v>
      </c>
      <c r="C782" s="1" t="n">
        <v>45968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43455-2025</t>
        </is>
      </c>
      <c r="B783" s="1" t="n">
        <v>45911.46101851852</v>
      </c>
      <c r="C783" s="1" t="n">
        <v>45968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22964-2025</t>
        </is>
      </c>
      <c r="B784" s="1" t="n">
        <v>45790.54108796296</v>
      </c>
      <c r="C784" s="1" t="n">
        <v>45968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19072-2025</t>
        </is>
      </c>
      <c r="B785" s="1" t="n">
        <v>45765.83021990741</v>
      </c>
      <c r="C785" s="1" t="n">
        <v>45968</v>
      </c>
      <c r="D785" t="inlineStr">
        <is>
          <t>VÄRMLANDS LÄN</t>
        </is>
      </c>
      <c r="E785" t="inlineStr">
        <is>
          <t>HAGFORS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23236-2025</t>
        </is>
      </c>
      <c r="B786" s="1" t="n">
        <v>45791.49532407407</v>
      </c>
      <c r="C786" s="1" t="n">
        <v>45968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51611-2025</t>
        </is>
      </c>
      <c r="B787" s="1" t="n">
        <v>45951</v>
      </c>
      <c r="C787" s="1" t="n">
        <v>45968</v>
      </c>
      <c r="D787" t="inlineStr">
        <is>
          <t>VÄRMLANDS LÄN</t>
        </is>
      </c>
      <c r="E787" t="inlineStr">
        <is>
          <t>HAGFORS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52691-2025</t>
        </is>
      </c>
      <c r="B788" s="1" t="n">
        <v>45956.54016203704</v>
      </c>
      <c r="C788" s="1" t="n">
        <v>45968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28.2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52450-2025</t>
        </is>
      </c>
      <c r="B789" s="1" t="n">
        <v>45954</v>
      </c>
      <c r="C789" s="1" t="n">
        <v>45968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51915-2023</t>
        </is>
      </c>
      <c r="B790" s="1" t="n">
        <v>45223.46148148148</v>
      </c>
      <c r="C790" s="1" t="n">
        <v>45968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56165-2024</t>
        </is>
      </c>
      <c r="B791" s="1" t="n">
        <v>45624.54982638889</v>
      </c>
      <c r="C791" s="1" t="n">
        <v>45968</v>
      </c>
      <c r="D791" t="inlineStr">
        <is>
          <t>VÄRMLANDS LÄN</t>
        </is>
      </c>
      <c r="E791" t="inlineStr">
        <is>
          <t>HAGFORS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52524-2025</t>
        </is>
      </c>
      <c r="B792" s="1" t="n">
        <v>45954.52863425926</v>
      </c>
      <c r="C792" s="1" t="n">
        <v>45968</v>
      </c>
      <c r="D792" t="inlineStr">
        <is>
          <t>VÄRMLANDS LÄN</t>
        </is>
      </c>
      <c r="E792" t="inlineStr">
        <is>
          <t>HAGFORS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14435-2025</t>
        </is>
      </c>
      <c r="B793" s="1" t="n">
        <v>45741.50890046296</v>
      </c>
      <c r="C793" s="1" t="n">
        <v>45968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44036-2025</t>
        </is>
      </c>
      <c r="B794" s="1" t="n">
        <v>45915</v>
      </c>
      <c r="C794" s="1" t="n">
        <v>45968</v>
      </c>
      <c r="D794" t="inlineStr">
        <is>
          <t>VÄRMLANDS LÄN</t>
        </is>
      </c>
      <c r="E794" t="inlineStr">
        <is>
          <t>HAGFORS</t>
        </is>
      </c>
      <c r="F794" t="inlineStr">
        <is>
          <t>Kyrkan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27826-2024</t>
        </is>
      </c>
      <c r="B795" s="1" t="n">
        <v>45475.61498842593</v>
      </c>
      <c r="C795" s="1" t="n">
        <v>45968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27827-2024</t>
        </is>
      </c>
      <c r="B796" s="1" t="n">
        <v>45475.61484953704</v>
      </c>
      <c r="C796" s="1" t="n">
        <v>45968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36206-2024</t>
        </is>
      </c>
      <c r="B797" s="1" t="n">
        <v>45534</v>
      </c>
      <c r="C797" s="1" t="n">
        <v>45968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36228-2024</t>
        </is>
      </c>
      <c r="B798" s="1" t="n">
        <v>45534.48609953704</v>
      </c>
      <c r="C798" s="1" t="n">
        <v>45968</v>
      </c>
      <c r="D798" t="inlineStr">
        <is>
          <t>VÄRMLANDS LÄN</t>
        </is>
      </c>
      <c r="E798" t="inlineStr">
        <is>
          <t>HAGFORS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43667-2025</t>
        </is>
      </c>
      <c r="B799" s="1" t="n">
        <v>45912.35234953704</v>
      </c>
      <c r="C799" s="1" t="n">
        <v>45968</v>
      </c>
      <c r="D799" t="inlineStr">
        <is>
          <t>VÄRMLANDS LÄN</t>
        </is>
      </c>
      <c r="E799" t="inlineStr">
        <is>
          <t>HAGFORS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52420-2025</t>
        </is>
      </c>
      <c r="B800" s="1" t="n">
        <v>45954</v>
      </c>
      <c r="C800" s="1" t="n">
        <v>45968</v>
      </c>
      <c r="D800" t="inlineStr">
        <is>
          <t>VÄRMLANDS LÄN</t>
        </is>
      </c>
      <c r="E800" t="inlineStr">
        <is>
          <t>HAGFORS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43699-2025</t>
        </is>
      </c>
      <c r="B801" s="1" t="n">
        <v>45912.39915509259</v>
      </c>
      <c r="C801" s="1" t="n">
        <v>45968</v>
      </c>
      <c r="D801" t="inlineStr">
        <is>
          <t>VÄRMLANDS LÄN</t>
        </is>
      </c>
      <c r="E801" t="inlineStr">
        <is>
          <t>HAGFORS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3149-2022</t>
        </is>
      </c>
      <c r="B802" s="1" t="n">
        <v>44582.56030092593</v>
      </c>
      <c r="C802" s="1" t="n">
        <v>45968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23065-2025</t>
        </is>
      </c>
      <c r="B803" s="1" t="n">
        <v>45790</v>
      </c>
      <c r="C803" s="1" t="n">
        <v>45968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8.5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43739-2025</t>
        </is>
      </c>
      <c r="B804" s="1" t="n">
        <v>45912.45163194444</v>
      </c>
      <c r="C804" s="1" t="n">
        <v>45968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20103-2024</t>
        </is>
      </c>
      <c r="B805" s="1" t="n">
        <v>45434</v>
      </c>
      <c r="C805" s="1" t="n">
        <v>45968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11180-2025</t>
        </is>
      </c>
      <c r="B806" s="1" t="n">
        <v>45725.43443287037</v>
      </c>
      <c r="C806" s="1" t="n">
        <v>45968</v>
      </c>
      <c r="D806" t="inlineStr">
        <is>
          <t>VÄRMLANDS LÄN</t>
        </is>
      </c>
      <c r="E806" t="inlineStr">
        <is>
          <t>HAGFORS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19388-2025</t>
        </is>
      </c>
      <c r="B807" s="1" t="n">
        <v>45769.65833333333</v>
      </c>
      <c r="C807" s="1" t="n">
        <v>45968</v>
      </c>
      <c r="D807" t="inlineStr">
        <is>
          <t>VÄRMLANDS LÄN</t>
        </is>
      </c>
      <c r="E807" t="inlineStr">
        <is>
          <t>HAGFORS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15270-2024</t>
        </is>
      </c>
      <c r="B808" s="1" t="n">
        <v>45400.57085648148</v>
      </c>
      <c r="C808" s="1" t="n">
        <v>45968</v>
      </c>
      <c r="D808" t="inlineStr">
        <is>
          <t>VÄRMLANDS LÄN</t>
        </is>
      </c>
      <c r="E808" t="inlineStr">
        <is>
          <t>HAGFORS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52462-2025</t>
        </is>
      </c>
      <c r="B809" s="1" t="n">
        <v>45954.44049768519</v>
      </c>
      <c r="C809" s="1" t="n">
        <v>45968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52479-2025</t>
        </is>
      </c>
      <c r="B810" s="1" t="n">
        <v>45954</v>
      </c>
      <c r="C810" s="1" t="n">
        <v>45968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43705-2025</t>
        </is>
      </c>
      <c r="B811" s="1" t="n">
        <v>45912.40546296296</v>
      </c>
      <c r="C811" s="1" t="n">
        <v>45968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43756-2025</t>
        </is>
      </c>
      <c r="B812" s="1" t="n">
        <v>45912.47396990741</v>
      </c>
      <c r="C812" s="1" t="n">
        <v>45968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52692-2025</t>
        </is>
      </c>
      <c r="B813" s="1" t="n">
        <v>45956.58162037037</v>
      </c>
      <c r="C813" s="1" t="n">
        <v>45968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46426-2024</t>
        </is>
      </c>
      <c r="B814" s="1" t="n">
        <v>45582.46710648148</v>
      </c>
      <c r="C814" s="1" t="n">
        <v>45968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44365-2025</t>
        </is>
      </c>
      <c r="B815" s="1" t="n">
        <v>45916.4562962963</v>
      </c>
      <c r="C815" s="1" t="n">
        <v>45968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53183-2025</t>
        </is>
      </c>
      <c r="B816" s="1" t="n">
        <v>45958.54880787037</v>
      </c>
      <c r="C816" s="1" t="n">
        <v>45968</v>
      </c>
      <c r="D816" t="inlineStr">
        <is>
          <t>VÄRMLANDS LÄN</t>
        </is>
      </c>
      <c r="E816" t="inlineStr">
        <is>
          <t>HAGFORS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594-2022</t>
        </is>
      </c>
      <c r="B817" s="1" t="n">
        <v>44567.60921296296</v>
      </c>
      <c r="C817" s="1" t="n">
        <v>45968</v>
      </c>
      <c r="D817" t="inlineStr">
        <is>
          <t>VÄRMLANDS LÄN</t>
        </is>
      </c>
      <c r="E817" t="inlineStr">
        <is>
          <t>HAGFORS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34636-2024</t>
        </is>
      </c>
      <c r="B818" s="1" t="n">
        <v>45526.47052083333</v>
      </c>
      <c r="C818" s="1" t="n">
        <v>45968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44362-2025</t>
        </is>
      </c>
      <c r="B819" s="1" t="n">
        <v>45916.45337962963</v>
      </c>
      <c r="C819" s="1" t="n">
        <v>45968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53359-2025</t>
        </is>
      </c>
      <c r="B820" s="1" t="n">
        <v>45959.47518518518</v>
      </c>
      <c r="C820" s="1" t="n">
        <v>45968</v>
      </c>
      <c r="D820" t="inlineStr">
        <is>
          <t>VÄRMLANDS LÄN</t>
        </is>
      </c>
      <c r="E820" t="inlineStr">
        <is>
          <t>HAGFORS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20313-2025</t>
        </is>
      </c>
      <c r="B821" s="1" t="n">
        <v>45775.31925925926</v>
      </c>
      <c r="C821" s="1" t="n">
        <v>45968</v>
      </c>
      <c r="D821" t="inlineStr">
        <is>
          <t>VÄRMLANDS LÄN</t>
        </is>
      </c>
      <c r="E821" t="inlineStr">
        <is>
          <t>HAGFORS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20323-2025</t>
        </is>
      </c>
      <c r="B822" s="1" t="n">
        <v>45775</v>
      </c>
      <c r="C822" s="1" t="n">
        <v>45968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53181-2025</t>
        </is>
      </c>
      <c r="B823" s="1" t="n">
        <v>45958.54601851852</v>
      </c>
      <c r="C823" s="1" t="n">
        <v>45968</v>
      </c>
      <c r="D823" t="inlineStr">
        <is>
          <t>VÄRMLANDS LÄN</t>
        </is>
      </c>
      <c r="E823" t="inlineStr">
        <is>
          <t>HAGFORS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44370-2025</t>
        </is>
      </c>
      <c r="B824" s="1" t="n">
        <v>45916.4603587963</v>
      </c>
      <c r="C824" s="1" t="n">
        <v>45968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53574-2025</t>
        </is>
      </c>
      <c r="B825" s="1" t="n">
        <v>45960.41800925926</v>
      </c>
      <c r="C825" s="1" t="n">
        <v>45968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53450-2025</t>
        </is>
      </c>
      <c r="B826" s="1" t="n">
        <v>45959</v>
      </c>
      <c r="C826" s="1" t="n">
        <v>45968</v>
      </c>
      <c r="D826" t="inlineStr">
        <is>
          <t>VÄRMLANDS LÄN</t>
        </is>
      </c>
      <c r="E826" t="inlineStr">
        <is>
          <t>HAGFORS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54001-2025</t>
        </is>
      </c>
      <c r="B827" s="1" t="n">
        <v>45961.59975694444</v>
      </c>
      <c r="C827" s="1" t="n">
        <v>45968</v>
      </c>
      <c r="D827" t="inlineStr">
        <is>
          <t>VÄRMLANDS LÄN</t>
        </is>
      </c>
      <c r="E827" t="inlineStr">
        <is>
          <t>HAGFORS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54023-2025</t>
        </is>
      </c>
      <c r="B828" s="1" t="n">
        <v>45961.72688657408</v>
      </c>
      <c r="C828" s="1" t="n">
        <v>45968</v>
      </c>
      <c r="D828" t="inlineStr">
        <is>
          <t>VÄRMLANDS LÄN</t>
        </is>
      </c>
      <c r="E828" t="inlineStr">
        <is>
          <t>HAGFORS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53811-2025</t>
        </is>
      </c>
      <c r="B829" s="1" t="n">
        <v>45960.94854166666</v>
      </c>
      <c r="C829" s="1" t="n">
        <v>45968</v>
      </c>
      <c r="D829" t="inlineStr">
        <is>
          <t>VÄRMLANDS LÄN</t>
        </is>
      </c>
      <c r="E829" t="inlineStr">
        <is>
          <t>HAGFORS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53498-2025</t>
        </is>
      </c>
      <c r="B830" s="1" t="n">
        <v>45960.33452546296</v>
      </c>
      <c r="C830" s="1" t="n">
        <v>45968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44876-2025</t>
        </is>
      </c>
      <c r="B831" s="1" t="n">
        <v>45918.47267361111</v>
      </c>
      <c r="C831" s="1" t="n">
        <v>45968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45147-2025</t>
        </is>
      </c>
      <c r="B832" s="1" t="n">
        <v>45919</v>
      </c>
      <c r="C832" s="1" t="n">
        <v>45968</v>
      </c>
      <c r="D832" t="inlineStr">
        <is>
          <t>VÄRMLANDS LÄN</t>
        </is>
      </c>
      <c r="E832" t="inlineStr">
        <is>
          <t>HAGFORS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44804-2025</t>
        </is>
      </c>
      <c r="B833" s="1" t="n">
        <v>45918.3608912037</v>
      </c>
      <c r="C833" s="1" t="n">
        <v>45968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53544-2025</t>
        </is>
      </c>
      <c r="B834" s="1" t="n">
        <v>45960.38283564815</v>
      </c>
      <c r="C834" s="1" t="n">
        <v>45968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44877-2025</t>
        </is>
      </c>
      <c r="B835" s="1" t="n">
        <v>45918.47600694445</v>
      </c>
      <c r="C835" s="1" t="n">
        <v>45968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53717-2025</t>
        </is>
      </c>
      <c r="B836" s="1" t="n">
        <v>45960.61782407408</v>
      </c>
      <c r="C836" s="1" t="n">
        <v>45968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53620-2025</t>
        </is>
      </c>
      <c r="B837" s="1" t="n">
        <v>45960.48515046296</v>
      </c>
      <c r="C837" s="1" t="n">
        <v>45968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54088-2025</t>
        </is>
      </c>
      <c r="B838" s="1" t="n">
        <v>45964.39326388889</v>
      </c>
      <c r="C838" s="1" t="n">
        <v>45968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45361-2025</t>
        </is>
      </c>
      <c r="B839" s="1" t="n">
        <v>45922.37290509259</v>
      </c>
      <c r="C839" s="1" t="n">
        <v>45968</v>
      </c>
      <c r="D839" t="inlineStr">
        <is>
          <t>VÄRMLANDS LÄN</t>
        </is>
      </c>
      <c r="E839" t="inlineStr">
        <is>
          <t>HAGFORS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45641-2025</t>
        </is>
      </c>
      <c r="B840" s="1" t="n">
        <v>45922.98969907407</v>
      </c>
      <c r="C840" s="1" t="n">
        <v>45968</v>
      </c>
      <c r="D840" t="inlineStr">
        <is>
          <t>VÄRMLANDS LÄN</t>
        </is>
      </c>
      <c r="E840" t="inlineStr">
        <is>
          <t>HAGFORS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54498-2025</t>
        </is>
      </c>
      <c r="B841" s="1" t="n">
        <v>45965.60561342593</v>
      </c>
      <c r="C841" s="1" t="n">
        <v>45968</v>
      </c>
      <c r="D841" t="inlineStr">
        <is>
          <t>VÄRMLANDS LÄN</t>
        </is>
      </c>
      <c r="E841" t="inlineStr">
        <is>
          <t>HAGFORS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45355-2025</t>
        </is>
      </c>
      <c r="B842" s="1" t="n">
        <v>45922.36545138889</v>
      </c>
      <c r="C842" s="1" t="n">
        <v>45968</v>
      </c>
      <c r="D842" t="inlineStr">
        <is>
          <t>VÄRMLANDS LÄN</t>
        </is>
      </c>
      <c r="E842" t="inlineStr">
        <is>
          <t>HAGFORS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54645-2025</t>
        </is>
      </c>
      <c r="B843" s="1" t="n">
        <v>45966</v>
      </c>
      <c r="C843" s="1" t="n">
        <v>45968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54684-2025</t>
        </is>
      </c>
      <c r="B844" s="1" t="n">
        <v>45966</v>
      </c>
      <c r="C844" s="1" t="n">
        <v>45968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55001-2025</t>
        </is>
      </c>
      <c r="B845" s="1" t="n">
        <v>45967.60777777778</v>
      </c>
      <c r="C845" s="1" t="n">
        <v>45968</v>
      </c>
      <c r="D845" t="inlineStr">
        <is>
          <t>VÄRMLANDS LÄN</t>
        </is>
      </c>
      <c r="E845" t="inlineStr">
        <is>
          <t>HAGFORS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46438-2025</t>
        </is>
      </c>
      <c r="B846" s="1" t="n">
        <v>45925.64094907408</v>
      </c>
      <c r="C846" s="1" t="n">
        <v>45968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54721-2025</t>
        </is>
      </c>
      <c r="B847" s="1" t="n">
        <v>45966</v>
      </c>
      <c r="C847" s="1" t="n">
        <v>45968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46371-2025</t>
        </is>
      </c>
      <c r="B848" s="1" t="n">
        <v>45925.50539351852</v>
      </c>
      <c r="C848" s="1" t="n">
        <v>45968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54725-2025</t>
        </is>
      </c>
      <c r="B849" s="1" t="n">
        <v>45966</v>
      </c>
      <c r="C849" s="1" t="n">
        <v>45968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46280-2025</t>
        </is>
      </c>
      <c r="B850" s="1" t="n">
        <v>45925.37614583333</v>
      </c>
      <c r="C850" s="1" t="n">
        <v>45968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54700-2025</t>
        </is>
      </c>
      <c r="B851" s="1" t="n">
        <v>45966</v>
      </c>
      <c r="C851" s="1" t="n">
        <v>45968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2025-11-07T10:12:56Z</dcterms:created>
  <dcterms:modified xmlns:dcterms="http://purl.org/dc/terms/" xmlns:xsi="http://www.w3.org/2001/XMLSchema-instance" xsi:type="dcterms:W3CDTF">2025-11-07T10:12:57Z</dcterms:modified>
</cp:coreProperties>
</file>