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46290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46290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46290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46290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46290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46290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46290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46290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46290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46290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46290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46290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46290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46290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46290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46290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46290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46290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44095-2023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46290</v>
      </c>
      <c r="F37" t="inlineStr">
        <is>
          <t>VÄRMLANDS LÄN</t>
        </is>
      </c>
      <c r="G37" t="inlineStr">
        <is>
          <t>HAGFORS</t>
        </is>
      </c>
      <c r="I37" t="n">
        <v>3.6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44095-2023 artfynd.xlsx", "A 44095-2023")</f>
        <v/>
      </c>
      <c r="X37">
        <f>HYPERLINK("https://klasma.github.io/Logging_1783/kartor/A 44095-2023 karta.png", "A 44095-2023")</f>
        <v/>
      </c>
      <c r="Y37">
        <f>HYPERLINK("https://klasma.github.io/Logging_1783/kartor_geotiff/A 44095-2023 georefererad karta.tif", "A 44095-2023")</f>
        <v/>
      </c>
      <c r="AA37">
        <f>HYPERLINK("https://klasma.github.io/Logging_1783/klagomål/A 44095-2023 FSC-klagomål.docx", "A 44095-2023")</f>
        <v/>
      </c>
      <c r="AB37">
        <f>HYPERLINK("https://klasma.github.io/Logging_1783/klagomålsmail/A 44095-2023 FSC-klagomål mail.docx", "A 44095-2023")</f>
        <v/>
      </c>
      <c r="AC37">
        <f>HYPERLINK("https://klasma.github.io/Logging_1783/tillsyn/A 44095-2023 tillsynsbegäran.docx", "A 44095-2023")</f>
        <v/>
      </c>
      <c r="AD37">
        <f>HYPERLINK("https://klasma.github.io/Logging_1783/tillsynsmail/A 44095-2023 tillsynsbegäran mail.docx", "A 44095-2023")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46290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16319-2023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45028</v>
      </c>
      <c r="E39" s="1" t="n">
        <v>46290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16319-2023 artfynd.xlsx", "A 16319-2023")</f>
        <v/>
      </c>
      <c r="X39">
        <f>HYPERLINK("https://klasma.github.io/Logging_1783/kartor/A 16319-2023 karta.png", "A 16319-2023")</f>
        <v/>
      </c>
      <c r="Y39">
        <f>HYPERLINK("https://klasma.github.io/Logging_1783/kartor_geotiff/A 16319-2023 georefererad karta.tif", "A 16319-2023")</f>
        <v/>
      </c>
      <c r="AA39">
        <f>HYPERLINK("https://klasma.github.io/Logging_1783/klagomål/A 16319-2023 FSC-klagomål.docx", "A 16319-2023")</f>
        <v/>
      </c>
      <c r="AB39">
        <f>HYPERLINK("https://klasma.github.io/Logging_1783/klagomålsmail/A 16319-2023 FSC-klagomål mail.docx", "A 16319-2023")</f>
        <v/>
      </c>
      <c r="AC39">
        <f>HYPERLINK("https://klasma.github.io/Logging_1783/tillsyn/A 16319-2023 tillsynsbegäran.docx", "A 16319-2023")</f>
        <v/>
      </c>
      <c r="AD39">
        <f>HYPERLINK("https://klasma.github.io/Logging_1783/tillsynsmail/A 16319-2023 tillsynsbegäran mail.docx", "A 16319-2023")</f>
        <v/>
      </c>
    </row>
    <row r="40" ht="15" customHeight="1">
      <c r="A40" t="inlineStr">
        <is>
          <t>A 34158-2025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45845</v>
      </c>
      <c r="E40" s="1" t="n">
        <v>46290</v>
      </c>
      <c r="F40" t="inlineStr">
        <is>
          <t>VÄRMLANDS LÄN</t>
        </is>
      </c>
      <c r="G40" t="inlineStr">
        <is>
          <t>HAGFORS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Korallblylav</t>
        </is>
      </c>
      <c r="W40">
        <f>HYPERLINK("https://klasma.github.io/Logging_1783/artfynd/A 34158-2025 artfynd.xlsx", "A 34158-2025")</f>
        <v/>
      </c>
      <c r="X40">
        <f>HYPERLINK("https://klasma.github.io/Logging_1783/kartor/A 34158-2025 karta.png", "A 34158-2025")</f>
        <v/>
      </c>
      <c r="Y40">
        <f>HYPERLINK("https://klasma.github.io/Logging_1783/kartor_geotiff/A 34158-2025 georefererad karta.tif", "A 34158-2025")</f>
        <v/>
      </c>
      <c r="AA40">
        <f>HYPERLINK("https://klasma.github.io/Logging_1783/klagomål/A 34158-2025 FSC-klagomål.docx", "A 34158-2025")</f>
        <v/>
      </c>
      <c r="AB40">
        <f>HYPERLINK("https://klasma.github.io/Logging_1783/klagomålsmail/A 34158-2025 FSC-klagomål mail.docx", "A 34158-2025")</f>
        <v/>
      </c>
      <c r="AC40">
        <f>HYPERLINK("https://klasma.github.io/Logging_1783/tillsyn/A 34158-2025 tillsynsbegäran.docx", "A 34158-2025")</f>
        <v/>
      </c>
      <c r="AD40">
        <f>HYPERLINK("https://klasma.github.io/Logging_1783/tillsynsmail/A 34158-2025 tillsynsbegäran mail.docx", "A 34158-2025")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46290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30524-2022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44762</v>
      </c>
      <c r="E43" s="1" t="n">
        <v>46290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Kolflarnlav</t>
        </is>
      </c>
      <c r="W43">
        <f>HYPERLINK("https://klasma.github.io/Logging_1783/artfynd/A 30524-2022 artfynd.xlsx", "A 30524-2022")</f>
        <v/>
      </c>
      <c r="X43">
        <f>HYPERLINK("https://klasma.github.io/Logging_1783/kartor/A 30524-2022 karta.png", "A 30524-2022")</f>
        <v/>
      </c>
      <c r="Y43">
        <f>HYPERLINK("https://klasma.github.io/Logging_1783/kartor_geotiff/A 30524-2022 georefererad karta.tif", "A 30524-2022")</f>
        <v/>
      </c>
      <c r="AA43">
        <f>HYPERLINK("https://klasma.github.io/Logging_1783/klagomål/A 30524-2022 FSC-klagomål.docx", "A 30524-2022")</f>
        <v/>
      </c>
      <c r="AB43">
        <f>HYPERLINK("https://klasma.github.io/Logging_1783/klagomålsmail/A 30524-2022 FSC-klagomål mail.docx", "A 30524-2022")</f>
        <v/>
      </c>
      <c r="AC43">
        <f>HYPERLINK("https://klasma.github.io/Logging_1783/tillsyn/A 30524-2022 tillsynsbegäran.docx", "A 30524-2022")</f>
        <v/>
      </c>
      <c r="AD43">
        <f>HYPERLINK("https://klasma.github.io/Logging_1783/tillsynsmail/A 30524-2022 tillsynsbegäran mail.docx", "A 30524-2022")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46290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24659-2026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46290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82.3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Garnlav</t>
        </is>
      </c>
      <c r="W45">
        <f>HYPERLINK("https://klasma.github.io/Logging_1783/artfynd/A 24659-2026 artfynd.xlsx", "A 24659-2026")</f>
        <v/>
      </c>
      <c r="X45">
        <f>HYPERLINK("https://klasma.github.io/Logging_1783/kartor/A 24659-2026 karta.png", "A 24659-2026")</f>
        <v/>
      </c>
      <c r="Y45">
        <f>HYPERLINK("https://klasma.github.io/Logging_1783/kartor_geotiff/A 24659-2026 georefererad karta.tif", "A 24659-2026")</f>
        <v/>
      </c>
      <c r="AA45">
        <f>HYPERLINK("https://klasma.github.io/Logging_1783/klagomål/A 24659-2026 FSC-klagomål.docx", "A 24659-2026")</f>
        <v/>
      </c>
      <c r="AB45">
        <f>HYPERLINK("https://klasma.github.io/Logging_1783/klagomålsmail/A 24659-2026 FSC-klagomål mail.docx", "A 24659-2026")</f>
        <v/>
      </c>
      <c r="AC45">
        <f>HYPERLINK("https://klasma.github.io/Logging_1783/tillsyn/A 24659-2026 tillsynsbegäran.docx", "A 24659-2026")</f>
        <v/>
      </c>
      <c r="AD45">
        <f>HYPERLINK("https://klasma.github.io/Logging_1783/tillsynsmail/A 24659-2026 tillsynsbegäran mail.docx", "A 24659-2026")</f>
        <v/>
      </c>
    </row>
    <row r="46" ht="15" customHeight="1">
      <c r="A46" t="inlineStr">
        <is>
          <t>A 24716-2026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46290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24716-2026 artfynd.xlsx", "A 24716-2026")</f>
        <v/>
      </c>
      <c r="X46">
        <f>HYPERLINK("https://klasma.github.io/Logging_1783/kartor/A 24716-2026 karta.png", "A 24716-2026")</f>
        <v/>
      </c>
      <c r="Y46">
        <f>HYPERLINK("https://klasma.github.io/Logging_1783/kartor_geotiff/A 24716-2026 georefererad karta.tif", "A 24716-2026")</f>
        <v/>
      </c>
      <c r="AA46">
        <f>HYPERLINK("https://klasma.github.io/Logging_1783/klagomål/A 24716-2026 FSC-klagomål.docx", "A 24716-2026")</f>
        <v/>
      </c>
      <c r="AB46">
        <f>HYPERLINK("https://klasma.github.io/Logging_1783/klagomålsmail/A 24716-2026 FSC-klagomål mail.docx", "A 24716-2026")</f>
        <v/>
      </c>
      <c r="AC46">
        <f>HYPERLINK("https://klasma.github.io/Logging_1783/tillsyn/A 24716-2026 tillsynsbegäran.docx", "A 24716-2026")</f>
        <v/>
      </c>
      <c r="AD46">
        <f>HYPERLINK("https://klasma.github.io/Logging_1783/tillsynsmail/A 24716-2026 tillsynsbegäran mail.docx", "A 24716-2026")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46290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12445-2026 artfynd.xlsx", "A 12445-2026")</f>
        <v/>
      </c>
      <c r="X47">
        <f>HYPERLINK("https://klasma.github.io/Logging_1783/kartor/A 12445-2026 karta.png", "A 12445-2026")</f>
        <v/>
      </c>
      <c r="Y47">
        <f>HYPERLINK("https://klasma.github.io/Logging_1783/kartor_geotiff/A 12445-2026 georefererad karta.tif", "A 12445-2026")</f>
        <v/>
      </c>
      <c r="AA47">
        <f>HYPERLINK("https://klasma.github.io/Logging_1783/klagomål/A 12445-2026 FSC-klagomål.docx", "A 12445-2026")</f>
        <v/>
      </c>
      <c r="AB47">
        <f>HYPERLINK("https://klasma.github.io/Logging_1783/klagomålsmail/A 12445-2026 FSC-klagomål mail.docx", "A 12445-2026")</f>
        <v/>
      </c>
      <c r="AC47">
        <f>HYPERLINK("https://klasma.github.io/Logging_1783/tillsyn/A 12445-2026 tillsynsbegäran.docx", "A 12445-2026")</f>
        <v/>
      </c>
      <c r="AD47">
        <f>HYPERLINK("https://klasma.github.io/Logging_1783/tillsynsmail/A 12445-2026 tillsynsbegäran mail.docx", "A 12445-2026")</f>
        <v/>
      </c>
      <c r="AE47">
        <f>HYPERLINK("https://klasma.github.io/Logging_1783/fåglar/A 12445-2026 prioriterade fågelarter.docx", "A 12445-2026")</f>
        <v/>
      </c>
    </row>
    <row r="48" ht="15" customHeight="1">
      <c r="A48" t="inlineStr">
        <is>
          <t>A 26189-2026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46290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Sävsparv</t>
        </is>
      </c>
      <c r="W48">
        <f>HYPERLINK("https://klasma.github.io/Logging_1783/artfynd/A 26189-2026 artfynd.xlsx", "A 26189-2026")</f>
        <v/>
      </c>
      <c r="X48">
        <f>HYPERLINK("https://klasma.github.io/Logging_1783/kartor/A 26189-2026 karta.png", "A 26189-2026")</f>
        <v/>
      </c>
      <c r="Y48">
        <f>HYPERLINK("https://klasma.github.io/Logging_1783/kartor_geotiff/A 26189-2026 georefererad karta.tif", "A 26189-2026")</f>
        <v/>
      </c>
      <c r="AA48">
        <f>HYPERLINK("https://klasma.github.io/Logging_1783/klagomål/A 26189-2026 FSC-klagomål.docx", "A 26189-2026")</f>
        <v/>
      </c>
      <c r="AB48">
        <f>HYPERLINK("https://klasma.github.io/Logging_1783/klagomålsmail/A 26189-2026 FSC-klagomål mail.docx", "A 26189-2026")</f>
        <v/>
      </c>
      <c r="AC48">
        <f>HYPERLINK("https://klasma.github.io/Logging_1783/tillsyn/A 26189-2026 tillsynsbegäran.docx", "A 26189-2026")</f>
        <v/>
      </c>
      <c r="AD48">
        <f>HYPERLINK("https://klasma.github.io/Logging_1783/tillsynsmail/A 26189-2026 tillsynsbegäran mail.docx", "A 26189-2026")</f>
        <v/>
      </c>
      <c r="AE48">
        <f>HYPERLINK("https://klasma.github.io/Logging_1783/fåglar/A 26189-2026 prioriterade fågelarter.docx", "A 26189-2026")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46290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46290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HYPERLINK("https://klasma.github.io/Logging_1783/artfynd/A 38267-2024 artfynd.xlsx", "A 38267-2024")</f>
        <v/>
      </c>
      <c r="X50">
        <f>HYPERLINK("https://klasma.github.io/Logging_1783/kartor/A 38267-2024 karta.png", "A 38267-2024")</f>
        <v/>
      </c>
      <c r="Y50">
        <f>HYPERLINK("https://klasma.github.io/Logging_1783/kartor_geotiff/A 38267-2024 georefererad karta.tif", "A 38267-2024")</f>
        <v/>
      </c>
      <c r="AA50">
        <f>HYPERLINK("https://klasma.github.io/Logging_1783/klagomål/A 38267-2024 FSC-klagomål.docx", "A 38267-2024")</f>
        <v/>
      </c>
      <c r="AB50">
        <f>HYPERLINK("https://klasma.github.io/Logging_1783/klagomålsmail/A 38267-2024 FSC-klagomål mail.docx", "A 38267-2024")</f>
        <v/>
      </c>
      <c r="AC50">
        <f>HYPERLINK("https://klasma.github.io/Logging_1783/tillsyn/A 38267-2024 tillsynsbegäran.docx", "A 38267-2024")</f>
        <v/>
      </c>
      <c r="AD50">
        <f>HYPERLINK("https://klasma.github.io/Logging_1783/tillsynsmail/A 38267-2024 tillsynsbegäran mail.docx", "A 38267-2024")</f>
        <v/>
      </c>
    </row>
    <row r="51" ht="15" customHeight="1">
      <c r="A51" t="inlineStr">
        <is>
          <t>A 56083-2022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46290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19.1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Dropptaggsvamp</t>
        </is>
      </c>
      <c r="W51">
        <f>HYPERLINK("https://klasma.github.io/Logging_1783/artfynd/A 56083-2022 artfynd.xlsx", "A 56083-2022")</f>
        <v/>
      </c>
      <c r="X51">
        <f>HYPERLINK("https://klasma.github.io/Logging_1783/kartor/A 56083-2022 karta.png", "A 56083-2022")</f>
        <v/>
      </c>
      <c r="Y51">
        <f>HYPERLINK("https://klasma.github.io/Logging_1783/kartor_geotiff/A 56083-2022 georefererad karta.tif", "A 56083-2022")</f>
        <v/>
      </c>
      <c r="AA51">
        <f>HYPERLINK("https://klasma.github.io/Logging_1783/klagomål/A 56083-2022 FSC-klagomål.docx", "A 56083-2022")</f>
        <v/>
      </c>
      <c r="AB51">
        <f>HYPERLINK("https://klasma.github.io/Logging_1783/klagomålsmail/A 56083-2022 FSC-klagomål mail.docx", "A 56083-2022")</f>
        <v/>
      </c>
      <c r="AC51">
        <f>HYPERLINK("https://klasma.github.io/Logging_1783/tillsyn/A 56083-2022 tillsynsbegäran.docx", "A 56083-2022")</f>
        <v/>
      </c>
      <c r="AD51">
        <f>HYPERLINK("https://klasma.github.io/Logging_1783/tillsynsmail/A 56083-2022 tillsynsbegäran mail.docx", "A 56083-2022")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46290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6986-2022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46290</v>
      </c>
      <c r="F53" t="inlineStr">
        <is>
          <t>VÄRMLANDS LÄN</t>
        </is>
      </c>
      <c r="G53" t="inlineStr">
        <is>
          <t>HAGFORS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HYPERLINK("https://klasma.github.io/Logging_1783/artfynd/A 6986-2022 artfynd.xlsx", "A 6986-2022")</f>
        <v/>
      </c>
      <c r="X53">
        <f>HYPERLINK("https://klasma.github.io/Logging_1783/kartor/A 6986-2022 karta.png", "A 6986-2022")</f>
        <v/>
      </c>
      <c r="Y53">
        <f>HYPERLINK("https://klasma.github.io/Logging_1783/kartor_geotiff/A 6986-2022 georefererad karta.tif", "A 6986-2022")</f>
        <v/>
      </c>
      <c r="AA53">
        <f>HYPERLINK("https://klasma.github.io/Logging_1783/klagomål/A 6986-2022 FSC-klagomål.docx", "A 6986-2022")</f>
        <v/>
      </c>
      <c r="AB53">
        <f>HYPERLINK("https://klasma.github.io/Logging_1783/klagomålsmail/A 6986-2022 FSC-klagomål mail.docx", "A 6986-2022")</f>
        <v/>
      </c>
      <c r="AC53">
        <f>HYPERLINK("https://klasma.github.io/Logging_1783/tillsyn/A 6986-2022 tillsynsbegäran.docx", "A 6986-2022")</f>
        <v/>
      </c>
      <c r="AD53">
        <f>HYPERLINK("https://klasma.github.io/Logging_1783/tillsynsmail/A 6986-2022 tillsynsbegäran mail.docx", "A 6986-2022")</f>
        <v/>
      </c>
    </row>
    <row r="54" ht="15" customHeight="1">
      <c r="A54" t="inlineStr">
        <is>
          <t>A 35679-2026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46265</v>
      </c>
      <c r="E54" s="1" t="n">
        <v>46290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HYPERLINK("https://klasma.github.io/Logging_1783/artfynd/A 35679-2026 artfynd.xlsx", "A 35679-2026")</f>
        <v/>
      </c>
      <c r="X54">
        <f>HYPERLINK("https://klasma.github.io/Logging_1783/kartor/A 35679-2026 karta.png", "A 35679-2026")</f>
        <v/>
      </c>
      <c r="Y54">
        <f>HYPERLINK("https://klasma.github.io/Logging_1783/kartor_geotiff/A 35679-2026 georefererad karta.tif", "A 35679-2026")</f>
        <v/>
      </c>
      <c r="AA54">
        <f>HYPERLINK("https://klasma.github.io/Logging_1783/klagomål/A 35679-2026 FSC-klagomål.docx", "A 35679-2026")</f>
        <v/>
      </c>
      <c r="AB54">
        <f>HYPERLINK("https://klasma.github.io/Logging_1783/klagomålsmail/A 35679-2026 FSC-klagomål mail.docx", "A 35679-2026")</f>
        <v/>
      </c>
      <c r="AC54">
        <f>HYPERLINK("https://klasma.github.io/Logging_1783/tillsyn/A 35679-2026 tillsynsbegäran.docx", "A 35679-2026")</f>
        <v/>
      </c>
      <c r="AD54">
        <f>HYPERLINK("https://klasma.github.io/Logging_1783/tillsynsmail/A 35679-2026 tillsynsbegäran mail.docx", "A 35679-2026")</f>
        <v/>
      </c>
      <c r="AE54">
        <f>HYPERLINK("https://klasma.github.io/Logging_1783/fåglar/A 35679-2026 prioriterade fågelarter.docx", "A 35679-2026")</f>
        <v/>
      </c>
    </row>
    <row r="55" ht="15" customHeight="1">
      <c r="A55" t="inlineStr">
        <is>
          <t>A 31742-2026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46290</v>
      </c>
      <c r="F55" t="inlineStr">
        <is>
          <t>VÄRMLANDS LÄN</t>
        </is>
      </c>
      <c r="G55" t="inlineStr">
        <is>
          <t>HAGFORS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HYPERLINK("https://klasma.github.io/Logging_1783/artfynd/A 31742-2026 artfynd.xlsx", "A 31742-2026")</f>
        <v/>
      </c>
      <c r="X55">
        <f>HYPERLINK("https://klasma.github.io/Logging_1783/kartor/A 31742-2026 karta.png", "A 31742-2026")</f>
        <v/>
      </c>
      <c r="Y55">
        <f>HYPERLINK("https://klasma.github.io/Logging_1783/kartor_geotiff/A 31742-2026 georefererad karta.tif", "A 31742-2026")</f>
        <v/>
      </c>
      <c r="AA55">
        <f>HYPERLINK("https://klasma.github.io/Logging_1783/klagomål/A 31742-2026 FSC-klagomål.docx", "A 31742-2026")</f>
        <v/>
      </c>
      <c r="AB55">
        <f>HYPERLINK("https://klasma.github.io/Logging_1783/klagomålsmail/A 31742-2026 FSC-klagomål mail.docx", "A 31742-2026")</f>
        <v/>
      </c>
      <c r="AC55">
        <f>HYPERLINK("https://klasma.github.io/Logging_1783/tillsyn/A 31742-2026 tillsynsbegäran.docx", "A 31742-2026")</f>
        <v/>
      </c>
      <c r="AD55">
        <f>HYPERLINK("https://klasma.github.io/Logging_1783/tillsynsmail/A 31742-2026 tillsynsbegäran mail.docx", "A 31742-2026")</f>
        <v/>
      </c>
    </row>
    <row r="56" ht="15" customHeight="1">
      <c r="A56" t="inlineStr">
        <is>
          <t>A 12673-2024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45384</v>
      </c>
      <c r="E56" s="1" t="n">
        <v>46290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Tofsmes</t>
        </is>
      </c>
      <c r="W56">
        <f>HYPERLINK("https://klasma.github.io/Logging_1783/artfynd/A 12673-2024 artfynd.xlsx", "A 12673-2024")</f>
        <v/>
      </c>
      <c r="X56">
        <f>HYPERLINK("https://klasma.github.io/Logging_1783/kartor/A 12673-2024 karta.png", "A 12673-2024")</f>
        <v/>
      </c>
      <c r="Y56">
        <f>HYPERLINK("https://klasma.github.io/Logging_1783/kartor_geotiff/A 12673-2024 georefererad karta.tif", "A 12673-2024")</f>
        <v/>
      </c>
      <c r="AA56">
        <f>HYPERLINK("https://klasma.github.io/Logging_1783/klagomål/A 12673-2024 FSC-klagomål.docx", "A 12673-2024")</f>
        <v/>
      </c>
      <c r="AB56">
        <f>HYPERLINK("https://klasma.github.io/Logging_1783/klagomålsmail/A 12673-2024 FSC-klagomål mail.docx", "A 12673-2024")</f>
        <v/>
      </c>
      <c r="AC56">
        <f>HYPERLINK("https://klasma.github.io/Logging_1783/tillsyn/A 12673-2024 tillsynsbegäran.docx", "A 12673-2024")</f>
        <v/>
      </c>
      <c r="AD56">
        <f>HYPERLINK("https://klasma.github.io/Logging_1783/tillsynsmail/A 12673-2024 tillsynsbegäran mail.docx", "A 12673-2024")</f>
        <v/>
      </c>
    </row>
    <row r="57" ht="15" customHeight="1">
      <c r="A57" t="inlineStr">
        <is>
          <t>A 36223-2026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46290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8.699999999999999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Gråspett</t>
        </is>
      </c>
      <c r="W57">
        <f>HYPERLINK("https://klasma.github.io/Logging_1783/artfynd/A 36223-2026 artfynd.xlsx", "A 36223-2026")</f>
        <v/>
      </c>
      <c r="X57">
        <f>HYPERLINK("https://klasma.github.io/Logging_1783/kartor/A 36223-2026 karta.png", "A 36223-2026")</f>
        <v/>
      </c>
      <c r="Y57">
        <f>HYPERLINK("https://klasma.github.io/Logging_1783/kartor_geotiff/A 36223-2026 georefererad karta.tif", "A 36223-2026")</f>
        <v/>
      </c>
      <c r="AA57">
        <f>HYPERLINK("https://klasma.github.io/Logging_1783/klagomål/A 36223-2026 FSC-klagomål.docx", "A 36223-2026")</f>
        <v/>
      </c>
      <c r="AB57">
        <f>HYPERLINK("https://klasma.github.io/Logging_1783/klagomålsmail/A 36223-2026 FSC-klagomål mail.docx", "A 36223-2026")</f>
        <v/>
      </c>
      <c r="AC57">
        <f>HYPERLINK("https://klasma.github.io/Logging_1783/tillsyn/A 36223-2026 tillsynsbegäran.docx", "A 36223-2026")</f>
        <v/>
      </c>
      <c r="AD57">
        <f>HYPERLINK("https://klasma.github.io/Logging_1783/tillsynsmail/A 36223-2026 tillsynsbegäran mail.docx", "A 36223-2026")</f>
        <v/>
      </c>
      <c r="AE57">
        <f>HYPERLINK("https://klasma.github.io/Logging_1783/fåglar/A 36223-2026 prioriterade fågelarter.docx", "A 36223-2026")</f>
        <v/>
      </c>
    </row>
    <row r="58" ht="15" customHeight="1">
      <c r="A58" t="inlineStr">
        <is>
          <t>A 32592-2026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46240</v>
      </c>
      <c r="E58" s="1" t="n">
        <v>46290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HYPERLINK("https://klasma.github.io/Logging_1783/artfynd/A 32592-2026 artfynd.xlsx", "A 32592-2026")</f>
        <v/>
      </c>
      <c r="X58">
        <f>HYPERLINK("https://klasma.github.io/Logging_1783/kartor/A 32592-2026 karta.png", "A 32592-2026")</f>
        <v/>
      </c>
      <c r="Y58">
        <f>HYPERLINK("https://klasma.github.io/Logging_1783/kartor_geotiff/A 32592-2026 georefererad karta.tif", "A 32592-2026")</f>
        <v/>
      </c>
      <c r="AA58">
        <f>HYPERLINK("https://klasma.github.io/Logging_1783/klagomål/A 32592-2026 FSC-klagomål.docx", "A 32592-2026")</f>
        <v/>
      </c>
      <c r="AB58">
        <f>HYPERLINK("https://klasma.github.io/Logging_1783/klagomålsmail/A 32592-2026 FSC-klagomål mail.docx", "A 32592-2026")</f>
        <v/>
      </c>
      <c r="AC58">
        <f>HYPERLINK("https://klasma.github.io/Logging_1783/tillsyn/A 32592-2026 tillsynsbegäran.docx", "A 32592-2026")</f>
        <v/>
      </c>
      <c r="AD58">
        <f>HYPERLINK("https://klasma.github.io/Logging_1783/tillsynsmail/A 32592-2026 tillsynsbegäran mail.docx", "A 32592-2026")</f>
        <v/>
      </c>
    </row>
    <row r="59" ht="15" customHeight="1">
      <c r="A59" t="inlineStr">
        <is>
          <t>A 35256-2026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46261</v>
      </c>
      <c r="E59" s="1" t="n">
        <v>46290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35256-2026 artfynd.xlsx", "A 35256-2026")</f>
        <v/>
      </c>
      <c r="X59">
        <f>HYPERLINK("https://klasma.github.io/Logging_1783/kartor/A 35256-2026 karta.png", "A 35256-2026")</f>
        <v/>
      </c>
      <c r="Y59">
        <f>HYPERLINK("https://klasma.github.io/Logging_1783/kartor_geotiff/A 35256-2026 georefererad karta.tif", "A 35256-2026")</f>
        <v/>
      </c>
      <c r="AA59">
        <f>HYPERLINK("https://klasma.github.io/Logging_1783/klagomål/A 35256-2026 FSC-klagomål.docx", "A 35256-2026")</f>
        <v/>
      </c>
      <c r="AB59">
        <f>HYPERLINK("https://klasma.github.io/Logging_1783/klagomålsmail/A 35256-2026 FSC-klagomål mail.docx", "A 35256-2026")</f>
        <v/>
      </c>
      <c r="AC59">
        <f>HYPERLINK("https://klasma.github.io/Logging_1783/tillsyn/A 35256-2026 tillsynsbegäran.docx", "A 35256-2026")</f>
        <v/>
      </c>
      <c r="AD59">
        <f>HYPERLINK("https://klasma.github.io/Logging_1783/tillsynsmail/A 35256-2026 tillsynsbegäran mail.docx", "A 35256-2026")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46290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24885-2025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Mörk husmossa</t>
        </is>
      </c>
      <c r="W61">
        <f>HYPERLINK("https://klasma.github.io/Logging_1783/artfynd/A 24885-2025 artfynd.xlsx", "A 24885-2025")</f>
        <v/>
      </c>
      <c r="X61">
        <f>HYPERLINK("https://klasma.github.io/Logging_1783/kartor/A 24885-2025 karta.png", "A 24885-2025")</f>
        <v/>
      </c>
      <c r="Y61">
        <f>HYPERLINK("https://klasma.github.io/Logging_1783/kartor_geotiff/A 24885-2025 georefererad karta.tif", "A 24885-2025")</f>
        <v/>
      </c>
      <c r="AA61">
        <f>HYPERLINK("https://klasma.github.io/Logging_1783/klagomål/A 24885-2025 FSC-klagomål.docx", "A 24885-2025")</f>
        <v/>
      </c>
      <c r="AB61">
        <f>HYPERLINK("https://klasma.github.io/Logging_1783/klagomålsmail/A 24885-2025 FSC-klagomål mail.docx", "A 24885-2025")</f>
        <v/>
      </c>
      <c r="AC61">
        <f>HYPERLINK("https://klasma.github.io/Logging_1783/tillsyn/A 24885-2025 tillsynsbegäran.docx", "A 24885-2025")</f>
        <v/>
      </c>
      <c r="AD61">
        <f>HYPERLINK("https://klasma.github.io/Logging_1783/tillsynsmail/A 24885-2025 tillsynsbegäran mail.docx", "A 24885-2025")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46290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46290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33905-2025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45842</v>
      </c>
      <c r="E64" s="1" t="n">
        <v>46290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7.8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33905-2025 artfynd.xlsx", "A 33905-2025")</f>
        <v/>
      </c>
      <c r="X64">
        <f>HYPERLINK("https://klasma.github.io/Logging_1783/kartor/A 33905-2025 karta.png", "A 33905-2025")</f>
        <v/>
      </c>
      <c r="Y64">
        <f>HYPERLINK("https://klasma.github.io/Logging_1783/kartor_geotiff/A 33905-2025 georefererad karta.tif", "A 33905-2025")</f>
        <v/>
      </c>
      <c r="AA64">
        <f>HYPERLINK("https://klasma.github.io/Logging_1783/klagomål/A 33905-2025 FSC-klagomål.docx", "A 33905-2025")</f>
        <v/>
      </c>
      <c r="AB64">
        <f>HYPERLINK("https://klasma.github.io/Logging_1783/klagomålsmail/A 33905-2025 FSC-klagomål mail.docx", "A 33905-2025")</f>
        <v/>
      </c>
      <c r="AC64">
        <f>HYPERLINK("https://klasma.github.io/Logging_1783/tillsyn/A 33905-2025 tillsynsbegäran.docx", "A 33905-2025")</f>
        <v/>
      </c>
      <c r="AD64">
        <f>HYPERLINK("https://klasma.github.io/Logging_1783/tillsynsmail/A 33905-2025 tillsynsbegäran mail.docx", "A 33905-2025")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46290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46290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46290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46290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46290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46290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46290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46290</v>
      </c>
      <c r="F72" t="inlineStr">
        <is>
          <t>VÄRMLANDS LÄN</t>
        </is>
      </c>
      <c r="G72" t="inlineStr">
        <is>
          <t>HAGFORS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46290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46290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46290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46290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46290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46290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46290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46290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46290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46290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46290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46290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46290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46290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46290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46290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46290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46290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46290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46290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46290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46290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46290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46290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46290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46290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46290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46290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46290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46290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46290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46290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46290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46290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46290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46290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61232-2024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45645</v>
      </c>
      <c r="E123" s="1" t="n">
        <v>46290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46290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46290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46290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46290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46290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46290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58210-2022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44901</v>
      </c>
      <c r="E130" s="1" t="n">
        <v>46290</v>
      </c>
      <c r="F130" t="inlineStr">
        <is>
          <t>VÄRMLANDS LÄN</t>
        </is>
      </c>
      <c r="G130" t="inlineStr">
        <is>
          <t>HAGFORS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46290</v>
      </c>
      <c r="F131" t="inlineStr">
        <is>
          <t>VÄRMLANDS LÄN</t>
        </is>
      </c>
      <c r="G131" t="inlineStr">
        <is>
          <t>HAGFORS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46290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46290</v>
      </c>
      <c r="F133" t="inlineStr">
        <is>
          <t>VÄRMLANDS LÄN</t>
        </is>
      </c>
      <c r="G133" t="inlineStr">
        <is>
          <t>HAGFORS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46290</v>
      </c>
      <c r="F134" t="inlineStr">
        <is>
          <t>VÄRMLANDS LÄN</t>
        </is>
      </c>
      <c r="G134" t="inlineStr">
        <is>
          <t>HAGFORS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46290</v>
      </c>
      <c r="F135" t="inlineStr">
        <is>
          <t>VÄRMLANDS LÄN</t>
        </is>
      </c>
      <c r="G135" t="inlineStr">
        <is>
          <t>HAGFORS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46290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46290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46290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46290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46290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46290</v>
      </c>
      <c r="F141" t="inlineStr">
        <is>
          <t>VÄRMLANDS LÄN</t>
        </is>
      </c>
      <c r="G141" t="inlineStr">
        <is>
          <t>HAGFORS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46290</v>
      </c>
      <c r="F142" t="inlineStr">
        <is>
          <t>VÄRMLANDS LÄN</t>
        </is>
      </c>
      <c r="G142" t="inlineStr">
        <is>
          <t>HAGFORS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46290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45659</v>
      </c>
      <c r="E144" s="1" t="n">
        <v>46290</v>
      </c>
      <c r="F144" t="inlineStr">
        <is>
          <t>VÄRMLANDS LÄN</t>
        </is>
      </c>
      <c r="G144" t="inlineStr">
        <is>
          <t>HAGFORS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44887</v>
      </c>
      <c r="E145" s="1" t="n">
        <v>46290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58799-2022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46290</v>
      </c>
      <c r="F146" t="inlineStr">
        <is>
          <t>VÄRMLANDS LÄN</t>
        </is>
      </c>
      <c r="G146" t="inlineStr">
        <is>
          <t>HAGFORS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46290</v>
      </c>
      <c r="F147" t="inlineStr">
        <is>
          <t>VÄRMLANDS LÄN</t>
        </is>
      </c>
      <c r="G147" t="inlineStr">
        <is>
          <t>HAGFORS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46290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44537</v>
      </c>
      <c r="E149" s="1" t="n">
        <v>46290</v>
      </c>
      <c r="F149" t="inlineStr">
        <is>
          <t>VÄRMLANDS LÄN</t>
        </is>
      </c>
      <c r="G149" t="inlineStr">
        <is>
          <t>HAGFORS</t>
        </is>
      </c>
      <c r="H149" t="inlineStr">
        <is>
          <t>Kommuner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44770</v>
      </c>
      <c r="E150" s="1" t="n">
        <v>46290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46290</v>
      </c>
      <c r="F151" t="inlineStr">
        <is>
          <t>VÄRMLANDS LÄN</t>
        </is>
      </c>
      <c r="G151" t="inlineStr">
        <is>
          <t>HAGFORS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45055</v>
      </c>
      <c r="E152" s="1" t="n">
        <v>46290</v>
      </c>
      <c r="F152" t="inlineStr">
        <is>
          <t>VÄRMLANDS LÄN</t>
        </is>
      </c>
      <c r="G152" t="inlineStr">
        <is>
          <t>HAGFORS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46290</v>
      </c>
      <c r="F153" t="inlineStr">
        <is>
          <t>VÄRMLANDS LÄN</t>
        </is>
      </c>
      <c r="G153" t="inlineStr">
        <is>
          <t>HAGFORS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46290</v>
      </c>
      <c r="F154" t="inlineStr">
        <is>
          <t>VÄRMLANDS LÄN</t>
        </is>
      </c>
      <c r="G154" t="inlineStr">
        <is>
          <t>HAGFORS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46290</v>
      </c>
      <c r="F155" t="inlineStr">
        <is>
          <t>VÄRMLANDS LÄN</t>
        </is>
      </c>
      <c r="G155" t="inlineStr">
        <is>
          <t>HAGFORS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44664</v>
      </c>
      <c r="E156" s="1" t="n">
        <v>46290</v>
      </c>
      <c r="F156" t="inlineStr">
        <is>
          <t>VÄRMLANDS LÄN</t>
        </is>
      </c>
      <c r="G156" t="inlineStr">
        <is>
          <t>HAGFORS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45037</v>
      </c>
      <c r="E157" s="1" t="n">
        <v>46290</v>
      </c>
      <c r="F157" t="inlineStr">
        <is>
          <t>VÄRMLANDS LÄN</t>
        </is>
      </c>
      <c r="G157" t="inlineStr">
        <is>
          <t>HAGFORS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46290</v>
      </c>
      <c r="F158" t="inlineStr">
        <is>
          <t>VÄRMLANDS LÄN</t>
        </is>
      </c>
      <c r="G158" t="inlineStr">
        <is>
          <t>HAGFORS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46290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45547</v>
      </c>
      <c r="E160" s="1" t="n">
        <v>46290</v>
      </c>
      <c r="F160" t="inlineStr">
        <is>
          <t>VÄRMLANDS LÄN</t>
        </is>
      </c>
      <c r="G160" t="inlineStr">
        <is>
          <t>HAGFORS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46290</v>
      </c>
      <c r="F161" t="inlineStr">
        <is>
          <t>VÄRMLANDS LÄN</t>
        </is>
      </c>
      <c r="G161" t="inlineStr">
        <is>
          <t>HAGFORS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61140-2023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45261</v>
      </c>
      <c r="E162" s="1" t="n">
        <v>46290</v>
      </c>
      <c r="F162" t="inlineStr">
        <is>
          <t>VÄRMLANDS LÄN</t>
        </is>
      </c>
      <c r="G162" t="inlineStr">
        <is>
          <t>HAGFORS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46290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46290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46290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46290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44566</v>
      </c>
      <c r="E167" s="1" t="n">
        <v>46290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57379-2022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44896</v>
      </c>
      <c r="E168" s="1" t="n">
        <v>46290</v>
      </c>
      <c r="F168" t="inlineStr">
        <is>
          <t>VÄRMLANDS LÄN</t>
        </is>
      </c>
      <c r="G168" t="inlineStr">
        <is>
          <t>HAGFORS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45250</v>
      </c>
      <c r="E169" s="1" t="n">
        <v>46290</v>
      </c>
      <c r="F169" t="inlineStr">
        <is>
          <t>VÄRMLANDS LÄN</t>
        </is>
      </c>
      <c r="G169" t="inlineStr">
        <is>
          <t>HAGFORS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46290</v>
      </c>
      <c r="F170" t="inlineStr">
        <is>
          <t>VÄRMLANDS LÄN</t>
        </is>
      </c>
      <c r="G170" t="inlineStr">
        <is>
          <t>HAGFORS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52224-2023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45224</v>
      </c>
      <c r="E171" s="1" t="n">
        <v>46290</v>
      </c>
      <c r="F171" t="inlineStr">
        <is>
          <t>VÄRMLANDS LÄN</t>
        </is>
      </c>
      <c r="G171" t="inlineStr">
        <is>
          <t>HAGFORS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46290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46290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46290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46290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46290</v>
      </c>
      <c r="F176" t="inlineStr">
        <is>
          <t>VÄRMLANDS LÄN</t>
        </is>
      </c>
      <c r="G176" t="inlineStr">
        <is>
          <t>HAGFORS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46290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46290</v>
      </c>
      <c r="F178" t="inlineStr">
        <is>
          <t>VÄRMLANDS LÄN</t>
        </is>
      </c>
      <c r="G178" t="inlineStr">
        <is>
          <t>HAGFORS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46290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46290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46290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46290</v>
      </c>
      <c r="F182" t="inlineStr">
        <is>
          <t>VÄRMLANDS LÄN</t>
        </is>
      </c>
      <c r="G182" t="inlineStr">
        <is>
          <t>HAGFORS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46290</v>
      </c>
      <c r="F183" t="inlineStr">
        <is>
          <t>VÄRMLANDS LÄN</t>
        </is>
      </c>
      <c r="G183" t="inlineStr">
        <is>
          <t>HAGFORS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46290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46290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46133</v>
      </c>
      <c r="E186" s="1" t="n">
        <v>46290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46290</v>
      </c>
      <c r="F187" t="inlineStr">
        <is>
          <t>VÄRMLANDS LÄN</t>
        </is>
      </c>
      <c r="G187" t="inlineStr">
        <is>
          <t>HAGFORS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44628</v>
      </c>
      <c r="E188" s="1" t="n">
        <v>46290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46290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45033</v>
      </c>
      <c r="E190" s="1" t="n">
        <v>46290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46290</v>
      </c>
      <c r="F191" t="inlineStr">
        <is>
          <t>VÄRMLANDS LÄN</t>
        </is>
      </c>
      <c r="G191" t="inlineStr">
        <is>
          <t>HAGFORS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46290</v>
      </c>
      <c r="F192" t="inlineStr">
        <is>
          <t>VÄRMLANDS LÄN</t>
        </is>
      </c>
      <c r="G192" t="inlineStr">
        <is>
          <t>HAGFORS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46290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46290</v>
      </c>
      <c r="F194" t="inlineStr">
        <is>
          <t>VÄRMLANDS LÄN</t>
        </is>
      </c>
      <c r="G194" t="inlineStr">
        <is>
          <t>HAGFORS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45750</v>
      </c>
      <c r="E195" s="1" t="n">
        <v>46290</v>
      </c>
      <c r="F195" t="inlineStr">
        <is>
          <t>VÄRMLANDS LÄN</t>
        </is>
      </c>
      <c r="G195" t="inlineStr">
        <is>
          <t>HAGFORS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46290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46290</v>
      </c>
      <c r="F197" t="inlineStr">
        <is>
          <t>VÄRMLANDS LÄN</t>
        </is>
      </c>
      <c r="G197" t="inlineStr">
        <is>
          <t>HAGFORS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63868-2025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46020</v>
      </c>
      <c r="E198" s="1" t="n">
        <v>46290</v>
      </c>
      <c r="F198" t="inlineStr">
        <is>
          <t>VÄRMLANDS LÄN</t>
        </is>
      </c>
      <c r="G198" t="inlineStr">
        <is>
          <t>HAGFORS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46290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46290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46290</v>
      </c>
      <c r="F201" t="inlineStr">
        <is>
          <t>VÄRMLANDS LÄN</t>
        </is>
      </c>
      <c r="G201" t="inlineStr">
        <is>
          <t>HAGFORS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46290</v>
      </c>
      <c r="F202" t="inlineStr">
        <is>
          <t>VÄRMLANDS LÄN</t>
        </is>
      </c>
      <c r="G202" t="inlineStr">
        <is>
          <t>HAGFORS</t>
        </is>
      </c>
      <c r="H202" t="inlineStr">
        <is>
          <t>Kyrkan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46290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46290</v>
      </c>
      <c r="F204" t="inlineStr">
        <is>
          <t>VÄRMLANDS LÄN</t>
        </is>
      </c>
      <c r="G204" t="inlineStr">
        <is>
          <t>HAGFORS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46290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46290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46290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45733</v>
      </c>
      <c r="E208" s="1" t="n">
        <v>46290</v>
      </c>
      <c r="F208" t="inlineStr">
        <is>
          <t>VÄRMLANDS LÄN</t>
        </is>
      </c>
      <c r="G208" t="inlineStr">
        <is>
          <t>HAGFORS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46290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46290</v>
      </c>
      <c r="F210" t="inlineStr">
        <is>
          <t>VÄRMLANDS LÄN</t>
        </is>
      </c>
      <c r="G210" t="inlineStr">
        <is>
          <t>HAGFORS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46290</v>
      </c>
      <c r="F211" t="inlineStr">
        <is>
          <t>VÄRMLANDS LÄN</t>
        </is>
      </c>
      <c r="G211" t="inlineStr">
        <is>
          <t>HAGFORS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46290</v>
      </c>
      <c r="F212" t="inlineStr">
        <is>
          <t>VÄRMLANDS LÄN</t>
        </is>
      </c>
      <c r="G212" t="inlineStr">
        <is>
          <t>HAGFORS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46290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46290</v>
      </c>
      <c r="F214" t="inlineStr">
        <is>
          <t>VÄRMLANDS LÄN</t>
        </is>
      </c>
      <c r="G214" t="inlineStr">
        <is>
          <t>HAGFORS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46290</v>
      </c>
      <c r="F215" t="inlineStr">
        <is>
          <t>VÄRMLANDS LÄN</t>
        </is>
      </c>
      <c r="G215" t="inlineStr">
        <is>
          <t>HAGFORS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41739-2025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45902</v>
      </c>
      <c r="E216" s="1" t="n">
        <v>46290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46290</v>
      </c>
      <c r="F217" t="inlineStr">
        <is>
          <t>VÄRMLANDS LÄN</t>
        </is>
      </c>
      <c r="G217" t="inlineStr">
        <is>
          <t>HAGFORS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46290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46290</v>
      </c>
      <c r="F219" t="inlineStr">
        <is>
          <t>VÄRMLANDS LÄN</t>
        </is>
      </c>
      <c r="G219" t="inlineStr">
        <is>
          <t>HAGFORS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46290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46290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46290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46290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46290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45264</v>
      </c>
      <c r="E225" s="1" t="n">
        <v>46290</v>
      </c>
      <c r="F225" t="inlineStr">
        <is>
          <t>VÄRMLANDS LÄN</t>
        </is>
      </c>
      <c r="G225" t="inlineStr">
        <is>
          <t>HAGFORS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45323</v>
      </c>
      <c r="E226" s="1" t="n">
        <v>46290</v>
      </c>
      <c r="F226" t="inlineStr">
        <is>
          <t>VÄRMLANDS LÄN</t>
        </is>
      </c>
      <c r="G226" t="inlineStr">
        <is>
          <t>HAGFORS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46290</v>
      </c>
      <c r="F227" t="inlineStr">
        <is>
          <t>VÄRMLANDS LÄN</t>
        </is>
      </c>
      <c r="G227" t="inlineStr">
        <is>
          <t>HAGFORS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46290</v>
      </c>
      <c r="F228" t="inlineStr">
        <is>
          <t>VÄRMLANDS LÄN</t>
        </is>
      </c>
      <c r="G228" t="inlineStr">
        <is>
          <t>HAGFORS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45824</v>
      </c>
      <c r="E229" s="1" t="n">
        <v>46290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46290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44687</v>
      </c>
      <c r="E231" s="1" t="n">
        <v>46290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46290</v>
      </c>
      <c r="F232" t="inlineStr">
        <is>
          <t>VÄRMLANDS LÄN</t>
        </is>
      </c>
      <c r="G232" t="inlineStr">
        <is>
          <t>HAGFORS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46290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46290</v>
      </c>
      <c r="F234" t="inlineStr">
        <is>
          <t>VÄRMLANDS LÄN</t>
        </is>
      </c>
      <c r="G234" t="inlineStr">
        <is>
          <t>HAGFORS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46290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46290</v>
      </c>
      <c r="F236" t="inlineStr">
        <is>
          <t>VÄRMLANDS LÄN</t>
        </is>
      </c>
      <c r="G236" t="inlineStr">
        <is>
          <t>HAGFORS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45149</v>
      </c>
      <c r="E237" s="1" t="n">
        <v>46290</v>
      </c>
      <c r="F237" t="inlineStr">
        <is>
          <t>VÄRMLANDS LÄN</t>
        </is>
      </c>
      <c r="G237" t="inlineStr">
        <is>
          <t>HAGFORS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46290</v>
      </c>
      <c r="F238" t="inlineStr">
        <is>
          <t>VÄRMLANDS LÄN</t>
        </is>
      </c>
      <c r="G238" t="inlineStr">
        <is>
          <t>HAGFORS</t>
        </is>
      </c>
      <c r="I238" t="n">
        <v>13.5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44812</v>
      </c>
      <c r="E239" s="1" t="n">
        <v>46290</v>
      </c>
      <c r="F239" t="inlineStr">
        <is>
          <t>VÄRMLANDS LÄN</t>
        </is>
      </c>
      <c r="G239" t="inlineStr">
        <is>
          <t>HAGFORS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46290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46290</v>
      </c>
      <c r="F241" t="inlineStr">
        <is>
          <t>VÄRMLANDS LÄN</t>
        </is>
      </c>
      <c r="G241" t="inlineStr">
        <is>
          <t>HAGFORS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46290</v>
      </c>
      <c r="F242" t="inlineStr">
        <is>
          <t>VÄRMLANDS LÄN</t>
        </is>
      </c>
      <c r="G242" t="inlineStr">
        <is>
          <t>HAGFORS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46290</v>
      </c>
      <c r="F243" t="inlineStr">
        <is>
          <t>VÄRMLANDS LÄN</t>
        </is>
      </c>
      <c r="G243" t="inlineStr">
        <is>
          <t>HAGFORS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46290</v>
      </c>
      <c r="F244" t="inlineStr">
        <is>
          <t>VÄRMLANDS LÄN</t>
        </is>
      </c>
      <c r="G244" t="inlineStr">
        <is>
          <t>HAGFORS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32031-2024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46290</v>
      </c>
      <c r="F245" t="inlineStr">
        <is>
          <t>VÄRMLANDS LÄN</t>
        </is>
      </c>
      <c r="G245" t="inlineStr">
        <is>
          <t>HAGFORS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46290</v>
      </c>
      <c r="F246" t="inlineStr">
        <is>
          <t>VÄRMLANDS LÄN</t>
        </is>
      </c>
      <c r="G246" t="inlineStr">
        <is>
          <t>HAGFORS</t>
        </is>
      </c>
      <c r="H246" t="inlineStr">
        <is>
          <t>Kyrkan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15538-2024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45401</v>
      </c>
      <c r="E247" s="1" t="n">
        <v>46290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46290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46290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45425</v>
      </c>
      <c r="E250" s="1" t="n">
        <v>46290</v>
      </c>
      <c r="F250" t="inlineStr">
        <is>
          <t>VÄRMLANDS LÄN</t>
        </is>
      </c>
      <c r="G250" t="inlineStr">
        <is>
          <t>HAGFORS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45819</v>
      </c>
      <c r="E251" s="1" t="n">
        <v>46290</v>
      </c>
      <c r="F251" t="inlineStr">
        <is>
          <t>VÄRMLANDS LÄN</t>
        </is>
      </c>
      <c r="G251" t="inlineStr">
        <is>
          <t>HAGFORS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46290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46290</v>
      </c>
      <c r="F253" t="inlineStr">
        <is>
          <t>VÄRMLANDS LÄN</t>
        </is>
      </c>
      <c r="G253" t="inlineStr">
        <is>
          <t>HAGFORS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45928</v>
      </c>
      <c r="E254" s="1" t="n">
        <v>46290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46290</v>
      </c>
      <c r="F255" t="inlineStr">
        <is>
          <t>VÄRMLANDS LÄN</t>
        </is>
      </c>
      <c r="G255" t="inlineStr">
        <is>
          <t>HAGFORS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45450</v>
      </c>
      <c r="E256" s="1" t="n">
        <v>46290</v>
      </c>
      <c r="F256" t="inlineStr">
        <is>
          <t>VÄRMLANDS LÄN</t>
        </is>
      </c>
      <c r="G256" t="inlineStr">
        <is>
          <t>HAGFORS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45927</v>
      </c>
      <c r="E257" s="1" t="n">
        <v>46290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46290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44924</v>
      </c>
      <c r="E259" s="1" t="n">
        <v>46290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45783</v>
      </c>
      <c r="E260" s="1" t="n">
        <v>46290</v>
      </c>
      <c r="F260" t="inlineStr">
        <is>
          <t>VÄRMLANDS LÄN</t>
        </is>
      </c>
      <c r="G260" t="inlineStr">
        <is>
          <t>HAGFORS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46290</v>
      </c>
      <c r="F261" t="inlineStr">
        <is>
          <t>VÄRMLANDS LÄN</t>
        </is>
      </c>
      <c r="G261" t="inlineStr">
        <is>
          <t>HAGFORS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46290</v>
      </c>
      <c r="F262" t="inlineStr">
        <is>
          <t>VÄRMLANDS LÄN</t>
        </is>
      </c>
      <c r="G262" t="inlineStr">
        <is>
          <t>HAGFORS</t>
        </is>
      </c>
      <c r="H262" t="inlineStr">
        <is>
          <t>Kyrkan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46290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46290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46290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46290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46290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46290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46290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46290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46290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46290</v>
      </c>
      <c r="F272" t="inlineStr">
        <is>
          <t>VÄRMLANDS LÄN</t>
        </is>
      </c>
      <c r="G272" t="inlineStr">
        <is>
          <t>HAGFORS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46290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46290</v>
      </c>
      <c r="F274" t="inlineStr">
        <is>
          <t>VÄRMLANDS LÄN</t>
        </is>
      </c>
      <c r="G274" t="inlineStr">
        <is>
          <t>HAGFORS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48809-2025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46290</v>
      </c>
      <c r="F275" t="inlineStr">
        <is>
          <t>VÄRMLANDS LÄN</t>
        </is>
      </c>
      <c r="G275" t="inlineStr">
        <is>
          <t>HAGFORS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46290</v>
      </c>
      <c r="F276" t="inlineStr">
        <is>
          <t>VÄRMLANDS LÄN</t>
        </is>
      </c>
      <c r="G276" t="inlineStr">
        <is>
          <t>HAGFORS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46290</v>
      </c>
      <c r="F277" t="inlineStr">
        <is>
          <t>VÄRMLANDS LÄN</t>
        </is>
      </c>
      <c r="G277" t="inlineStr">
        <is>
          <t>HAGFORS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46290</v>
      </c>
      <c r="F278" t="inlineStr">
        <is>
          <t>VÄRMLANDS LÄN</t>
        </is>
      </c>
      <c r="G278" t="inlineStr">
        <is>
          <t>HAGFORS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46290</v>
      </c>
      <c r="F279" t="inlineStr">
        <is>
          <t>VÄRMLANDS LÄN</t>
        </is>
      </c>
      <c r="G279" t="inlineStr">
        <is>
          <t>HAGFORS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44824</v>
      </c>
      <c r="E280" s="1" t="n">
        <v>46290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45941</v>
      </c>
      <c r="E281" s="1" t="n">
        <v>46290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46290</v>
      </c>
      <c r="F282" t="inlineStr">
        <is>
          <t>VÄRMLANDS LÄN</t>
        </is>
      </c>
      <c r="G282" t="inlineStr">
        <is>
          <t>HAGFORS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46290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46290</v>
      </c>
      <c r="F284" t="inlineStr">
        <is>
          <t>VÄRMLANDS LÄN</t>
        </is>
      </c>
      <c r="G284" t="inlineStr">
        <is>
          <t>HAGFORS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46290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46290</v>
      </c>
      <c r="F286" t="inlineStr">
        <is>
          <t>VÄRMLANDS LÄN</t>
        </is>
      </c>
      <c r="G286" t="inlineStr">
        <is>
          <t>HAGFORS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46290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46290</v>
      </c>
      <c r="F288" t="inlineStr">
        <is>
          <t>VÄRMLANDS LÄN</t>
        </is>
      </c>
      <c r="G288" t="inlineStr">
        <is>
          <t>HAGFORS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71447-2021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44540</v>
      </c>
      <c r="E289" s="1" t="n">
        <v>46290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45949</v>
      </c>
      <c r="E290" s="1" t="n">
        <v>46290</v>
      </c>
      <c r="F290" t="inlineStr">
        <is>
          <t>VÄRMLANDS LÄN</t>
        </is>
      </c>
      <c r="G290" t="inlineStr">
        <is>
          <t>HAGFORS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46290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46290</v>
      </c>
      <c r="F292" t="inlineStr">
        <is>
          <t>VÄRMLANDS LÄN</t>
        </is>
      </c>
      <c r="G292" t="inlineStr">
        <is>
          <t>HAGFORS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45121</v>
      </c>
      <c r="E293" s="1" t="n">
        <v>46290</v>
      </c>
      <c r="F293" t="inlineStr">
        <is>
          <t>VÄRMLANDS LÄN</t>
        </is>
      </c>
      <c r="G293" t="inlineStr">
        <is>
          <t>HAGFORS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52479-2025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45954</v>
      </c>
      <c r="E294" s="1" t="n">
        <v>46290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46290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45847</v>
      </c>
      <c r="E296" s="1" t="n">
        <v>46290</v>
      </c>
      <c r="F296" t="inlineStr">
        <is>
          <t>VÄRMLANDS LÄN</t>
        </is>
      </c>
      <c r="G296" t="inlineStr">
        <is>
          <t>HAGFORS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68252-2021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44526</v>
      </c>
      <c r="E297" s="1" t="n">
        <v>46290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46290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45684</v>
      </c>
      <c r="E299" s="1" t="n">
        <v>46290</v>
      </c>
      <c r="F299" t="inlineStr">
        <is>
          <t>VÄRMLANDS LÄN</t>
        </is>
      </c>
      <c r="G299" t="inlineStr">
        <is>
          <t>HAGFORS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46290</v>
      </c>
      <c r="F300" t="inlineStr">
        <is>
          <t>VÄRMLANDS LÄN</t>
        </is>
      </c>
      <c r="G300" t="inlineStr">
        <is>
          <t>HAGFORS</t>
        </is>
      </c>
      <c r="H300" t="inlineStr">
        <is>
          <t>Kyrkan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46290</v>
      </c>
      <c r="F302" t="inlineStr">
        <is>
          <t>VÄRMLANDS LÄN</t>
        </is>
      </c>
      <c r="G302" t="inlineStr">
        <is>
          <t>HAGFORS</t>
        </is>
      </c>
      <c r="H302" t="inlineStr">
        <is>
          <t>Kommuner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55758-2024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46290</v>
      </c>
      <c r="F303" t="inlineStr">
        <is>
          <t>VÄRMLANDS LÄN</t>
        </is>
      </c>
      <c r="G303" t="inlineStr">
        <is>
          <t>HAGFORS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44937</v>
      </c>
      <c r="E304" s="1" t="n">
        <v>46290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45087</v>
      </c>
      <c r="E305" s="1" t="n">
        <v>46290</v>
      </c>
      <c r="F305" t="inlineStr">
        <is>
          <t>VÄRMLANDS LÄN</t>
        </is>
      </c>
      <c r="G305" t="inlineStr">
        <is>
          <t>HAGFORS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46290</v>
      </c>
      <c r="F306" t="inlineStr">
        <is>
          <t>VÄRMLANDS LÄN</t>
        </is>
      </c>
      <c r="G306" t="inlineStr">
        <is>
          <t>HAGFORS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45961</v>
      </c>
      <c r="E307" s="1" t="n">
        <v>46290</v>
      </c>
      <c r="F307" t="inlineStr">
        <is>
          <t>VÄRMLANDS LÄN</t>
        </is>
      </c>
      <c r="G307" t="inlineStr">
        <is>
          <t>HAGFORS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46290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46290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46290</v>
      </c>
      <c r="F310" t="inlineStr">
        <is>
          <t>VÄRMLANDS LÄN</t>
        </is>
      </c>
      <c r="G310" t="inlineStr">
        <is>
          <t>HAGFORS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46290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46290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20594-2026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46290</v>
      </c>
      <c r="F313" t="inlineStr">
        <is>
          <t>VÄRMLANDS LÄN</t>
        </is>
      </c>
      <c r="G313" t="inlineStr">
        <is>
          <t>HAGFORS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46290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46290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46290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46290</v>
      </c>
      <c r="F317" t="inlineStr">
        <is>
          <t>VÄRMLANDS LÄN</t>
        </is>
      </c>
      <c r="G317" t="inlineStr">
        <is>
          <t>HAGFORS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46290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44915</v>
      </c>
      <c r="E319" s="1" t="n">
        <v>46290</v>
      </c>
      <c r="F319" t="inlineStr">
        <is>
          <t>VÄRMLANDS LÄN</t>
        </is>
      </c>
      <c r="G319" t="inlineStr">
        <is>
          <t>HAGFORS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46290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46290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46290</v>
      </c>
      <c r="F323" t="inlineStr">
        <is>
          <t>VÄRMLANDS LÄN</t>
        </is>
      </c>
      <c r="G323" t="inlineStr">
        <is>
          <t>HAGFORS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46290</v>
      </c>
      <c r="F324" t="inlineStr">
        <is>
          <t>VÄRMLANDS LÄN</t>
        </is>
      </c>
      <c r="G324" t="inlineStr">
        <is>
          <t>HAGFORS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46290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46290</v>
      </c>
      <c r="F326" t="inlineStr">
        <is>
          <t>VÄRMLANDS LÄN</t>
        </is>
      </c>
      <c r="G326" t="inlineStr">
        <is>
          <t>HAGFORS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46290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46290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46290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46290</v>
      </c>
      <c r="F330" t="inlineStr">
        <is>
          <t>VÄRMLANDS LÄN</t>
        </is>
      </c>
      <c r="G330" t="inlineStr">
        <is>
          <t>HAGFORS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46290</v>
      </c>
      <c r="F331" t="inlineStr">
        <is>
          <t>VÄRMLANDS LÄN</t>
        </is>
      </c>
      <c r="G331" t="inlineStr">
        <is>
          <t>HAGFORS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46290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46290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45713</v>
      </c>
      <c r="E334" s="1" t="n">
        <v>46290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57198-2025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46290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44876</v>
      </c>
      <c r="E336" s="1" t="n">
        <v>46290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20752-2026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46141</v>
      </c>
      <c r="E337" s="1" t="n">
        <v>46290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46290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61902-2021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44502</v>
      </c>
      <c r="E339" s="1" t="n">
        <v>46290</v>
      </c>
      <c r="F339" t="inlineStr">
        <is>
          <t>VÄRMLANDS LÄN</t>
        </is>
      </c>
      <c r="G339" t="inlineStr">
        <is>
          <t>HAGFORS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46290</v>
      </c>
      <c r="F340" t="inlineStr">
        <is>
          <t>VÄRMLANDS LÄN</t>
        </is>
      </c>
      <c r="G340" t="inlineStr">
        <is>
          <t>HAGFORS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46290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46290</v>
      </c>
      <c r="F342" t="inlineStr">
        <is>
          <t>VÄRMLANDS LÄN</t>
        </is>
      </c>
      <c r="G342" t="inlineStr">
        <is>
          <t>HAGFORS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46290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46290</v>
      </c>
      <c r="F344" t="inlineStr">
        <is>
          <t>VÄRMLANDS LÄN</t>
        </is>
      </c>
      <c r="G344" t="inlineStr">
        <is>
          <t>HAGFORS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46290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46290</v>
      </c>
      <c r="F346" t="inlineStr">
        <is>
          <t>VÄRMLANDS LÄN</t>
        </is>
      </c>
      <c r="G346" t="inlineStr">
        <is>
          <t>HAGFORS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46290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45036</v>
      </c>
      <c r="E348" s="1" t="n">
        <v>46290</v>
      </c>
      <c r="F348" t="inlineStr">
        <is>
          <t>VÄRMLANDS LÄN</t>
        </is>
      </c>
      <c r="G348" t="inlineStr">
        <is>
          <t>HAGFORS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46290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46290</v>
      </c>
      <c r="F350" t="inlineStr">
        <is>
          <t>VÄRMLANDS LÄN</t>
        </is>
      </c>
      <c r="G350" t="inlineStr">
        <is>
          <t>HAGFORS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46290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44613</v>
      </c>
      <c r="E352" s="1" t="n">
        <v>46290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61169-2024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45645</v>
      </c>
      <c r="E353" s="1" t="n">
        <v>46290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20880-2026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46142</v>
      </c>
      <c r="E354" s="1" t="n">
        <v>46290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46290</v>
      </c>
      <c r="F355" t="inlineStr">
        <is>
          <t>VÄRMLANDS LÄN</t>
        </is>
      </c>
      <c r="G355" t="inlineStr">
        <is>
          <t>HAGFORS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46290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59047-2025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45988</v>
      </c>
      <c r="E357" s="1" t="n">
        <v>46290</v>
      </c>
      <c r="F357" t="inlineStr">
        <is>
          <t>VÄRMLANDS LÄN</t>
        </is>
      </c>
      <c r="G357" t="inlineStr">
        <is>
          <t>HAGFORS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46290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21728-2026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46290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45461</v>
      </c>
      <c r="E360" s="1" t="n">
        <v>46290</v>
      </c>
      <c r="F360" t="inlineStr">
        <is>
          <t>VÄRMLANDS LÄN</t>
        </is>
      </c>
      <c r="G360" t="inlineStr">
        <is>
          <t>HAGFORS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21879-2026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46150</v>
      </c>
      <c r="E361" s="1" t="n">
        <v>46290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21762-2026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46150</v>
      </c>
      <c r="E362" s="1" t="n">
        <v>46290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45152</v>
      </c>
      <c r="E363" s="1" t="n">
        <v>46290</v>
      </c>
      <c r="F363" t="inlineStr">
        <is>
          <t>VÄRMLANDS LÄN</t>
        </is>
      </c>
      <c r="G363" t="inlineStr">
        <is>
          <t>HAGFORS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46150</v>
      </c>
      <c r="E364" s="1" t="n">
        <v>46290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45351</v>
      </c>
      <c r="E365" s="1" t="n">
        <v>46290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46290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45999</v>
      </c>
      <c r="E367" s="1" t="n">
        <v>46290</v>
      </c>
      <c r="F367" t="inlineStr">
        <is>
          <t>VÄRMLANDS LÄN</t>
        </is>
      </c>
      <c r="G367" t="inlineStr">
        <is>
          <t>HAGFORS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60648-2025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45996</v>
      </c>
      <c r="E368" s="1" t="n">
        <v>46290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46155</v>
      </c>
      <c r="E369" s="1" t="n">
        <v>46290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46290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46290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46155</v>
      </c>
      <c r="E372" s="1" t="n">
        <v>46290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46290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46290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61843-2025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46003</v>
      </c>
      <c r="E375" s="1" t="n">
        <v>46290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46290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61718-2025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46002</v>
      </c>
      <c r="E377" s="1" t="n">
        <v>46290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46002</v>
      </c>
      <c r="E378" s="1" t="n">
        <v>46290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46290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61910-2025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46003</v>
      </c>
      <c r="E380" s="1" t="n">
        <v>46290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59048-2022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44903</v>
      </c>
      <c r="E381" s="1" t="n">
        <v>46290</v>
      </c>
      <c r="F381" t="inlineStr">
        <is>
          <t>VÄRMLANDS LÄN</t>
        </is>
      </c>
      <c r="G381" t="inlineStr">
        <is>
          <t>HAGFORS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46290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46290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46290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46290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46006</v>
      </c>
      <c r="E386" s="1" t="n">
        <v>46290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62099-2025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46290</v>
      </c>
      <c r="F387" t="inlineStr">
        <is>
          <t>VÄRMLANDS LÄN</t>
        </is>
      </c>
      <c r="G387" t="inlineStr">
        <is>
          <t>HAGFORS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46290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22911-2026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46160</v>
      </c>
      <c r="E389" s="1" t="n">
        <v>46290</v>
      </c>
      <c r="F389" t="inlineStr">
        <is>
          <t>VÄRMLANDS LÄN</t>
        </is>
      </c>
      <c r="G389" t="inlineStr">
        <is>
          <t>HAGFORS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46290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45057</v>
      </c>
      <c r="E391" s="1" t="n">
        <v>46290</v>
      </c>
      <c r="F391" t="inlineStr">
        <is>
          <t>VÄRMLANDS LÄN</t>
        </is>
      </c>
      <c r="G391" t="inlineStr">
        <is>
          <t>HAGFORS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46290</v>
      </c>
      <c r="F392" t="inlineStr">
        <is>
          <t>VÄRMLANDS LÄN</t>
        </is>
      </c>
      <c r="G392" t="inlineStr">
        <is>
          <t>HAGFORS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19554-2024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45429</v>
      </c>
      <c r="E393" s="1" t="n">
        <v>46290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46290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46290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46290</v>
      </c>
      <c r="F396" t="inlineStr">
        <is>
          <t>VÄRMLANDS LÄN</t>
        </is>
      </c>
      <c r="G396" t="inlineStr">
        <is>
          <t>HAGFORS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46290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46290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44763</v>
      </c>
      <c r="E399" s="1" t="n">
        <v>46290</v>
      </c>
      <c r="F399" t="inlineStr">
        <is>
          <t>VÄRMLANDS LÄN</t>
        </is>
      </c>
      <c r="G399" t="inlineStr">
        <is>
          <t>HAGFORS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52830-2023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46290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46290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45476</v>
      </c>
      <c r="E402" s="1" t="n">
        <v>46290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45638</v>
      </c>
      <c r="E403" s="1" t="n">
        <v>46290</v>
      </c>
      <c r="F403" t="inlineStr">
        <is>
          <t>VÄRMLANDS LÄN</t>
        </is>
      </c>
      <c r="G403" t="inlineStr">
        <is>
          <t>HAGFORS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46290</v>
      </c>
      <c r="F404" t="inlineStr">
        <is>
          <t>VÄRMLANDS LÄN</t>
        </is>
      </c>
      <c r="G404" t="inlineStr">
        <is>
          <t>HAGFORS</t>
        </is>
      </c>
      <c r="I404" t="n">
        <v>11.5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63834-2025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46020</v>
      </c>
      <c r="E405" s="1" t="n">
        <v>46290</v>
      </c>
      <c r="F405" t="inlineStr">
        <is>
          <t>VÄRMLANDS LÄN</t>
        </is>
      </c>
      <c r="G405" t="inlineStr">
        <is>
          <t>HAGFORS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46290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63764-2025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46018</v>
      </c>
      <c r="E407" s="1" t="n">
        <v>46290</v>
      </c>
      <c r="F407" t="inlineStr">
        <is>
          <t>VÄRMLANDS LÄN</t>
        </is>
      </c>
      <c r="G407" t="inlineStr">
        <is>
          <t>HAGFORS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46018</v>
      </c>
      <c r="E408" s="1" t="n">
        <v>46290</v>
      </c>
      <c r="F408" t="inlineStr">
        <is>
          <t>VÄRMLANDS LÄN</t>
        </is>
      </c>
      <c r="G408" t="inlineStr">
        <is>
          <t>HAGFORS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46290</v>
      </c>
      <c r="F409" t="inlineStr">
        <is>
          <t>VÄRMLANDS LÄN</t>
        </is>
      </c>
      <c r="G409" t="inlineStr">
        <is>
          <t>HAGFORS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45720</v>
      </c>
      <c r="E410" s="1" t="n">
        <v>46290</v>
      </c>
      <c r="F410" t="inlineStr">
        <is>
          <t>VÄRMLANDS LÄN</t>
        </is>
      </c>
      <c r="G410" t="inlineStr">
        <is>
          <t>HAGFORS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46290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46160</v>
      </c>
      <c r="E412" s="1" t="n">
        <v>46290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46020</v>
      </c>
      <c r="E413" s="1" t="n">
        <v>46290</v>
      </c>
      <c r="F413" t="inlineStr">
        <is>
          <t>VÄRMLANDS LÄN</t>
        </is>
      </c>
      <c r="G413" t="inlineStr">
        <is>
          <t>HAGFORS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45338</v>
      </c>
      <c r="E414" s="1" t="n">
        <v>46290</v>
      </c>
      <c r="F414" t="inlineStr">
        <is>
          <t>VÄRMLANDS LÄN</t>
        </is>
      </c>
      <c r="G414" t="inlineStr">
        <is>
          <t>HAGFORS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44984</v>
      </c>
      <c r="E415" s="1" t="n">
        <v>46290</v>
      </c>
      <c r="F415" t="inlineStr">
        <is>
          <t>VÄRMLANDS LÄN</t>
        </is>
      </c>
      <c r="G415" t="inlineStr">
        <is>
          <t>HAGFORS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46290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46290</v>
      </c>
      <c r="F417" t="inlineStr">
        <is>
          <t>VÄRMLANDS LÄN</t>
        </is>
      </c>
      <c r="G417" t="inlineStr">
        <is>
          <t>HAGFORS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48807-2025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45937</v>
      </c>
      <c r="E418" s="1" t="n">
        <v>46290</v>
      </c>
      <c r="F418" t="inlineStr">
        <is>
          <t>VÄRMLANDS LÄN</t>
        </is>
      </c>
      <c r="G418" t="inlineStr">
        <is>
          <t>HAGFORS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45502</v>
      </c>
      <c r="E419" s="1" t="n">
        <v>46290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975-2026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46030</v>
      </c>
      <c r="E420" s="1" t="n">
        <v>46290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46290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46290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45533</v>
      </c>
      <c r="E423" s="1" t="n">
        <v>46290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46290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45287</v>
      </c>
      <c r="E425" s="1" t="n">
        <v>46290</v>
      </c>
      <c r="F425" t="inlineStr">
        <is>
          <t>VÄRMLANDS LÄN</t>
        </is>
      </c>
      <c r="G425" t="inlineStr">
        <is>
          <t>HAGFORS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46290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45614</v>
      </c>
      <c r="E427" s="1" t="n">
        <v>46290</v>
      </c>
      <c r="F427" t="inlineStr">
        <is>
          <t>VÄRMLANDS LÄN</t>
        </is>
      </c>
      <c r="G427" t="inlineStr">
        <is>
          <t>HAGFORS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45226</v>
      </c>
      <c r="E428" s="1" t="n">
        <v>46290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45869</v>
      </c>
      <c r="E429" s="1" t="n">
        <v>46290</v>
      </c>
      <c r="F429" t="inlineStr">
        <is>
          <t>VÄRMLANDS LÄN</t>
        </is>
      </c>
      <c r="G429" t="inlineStr">
        <is>
          <t>HAGFORS</t>
        </is>
      </c>
      <c r="H429" t="inlineStr">
        <is>
          <t>Kyrkan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19072-2025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45765</v>
      </c>
      <c r="E430" s="1" t="n">
        <v>46290</v>
      </c>
      <c r="F430" t="inlineStr">
        <is>
          <t>VÄRMLANDS LÄN</t>
        </is>
      </c>
      <c r="G430" t="inlineStr">
        <is>
          <t>HAGFORS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46290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46290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46290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45624</v>
      </c>
      <c r="E434" s="1" t="n">
        <v>46290</v>
      </c>
      <c r="F434" t="inlineStr">
        <is>
          <t>VÄRMLANDS LÄN</t>
        </is>
      </c>
      <c r="G434" t="inlineStr">
        <is>
          <t>HAGFORS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46290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46290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46290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46290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46290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23728-2026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46164</v>
      </c>
      <c r="E440" s="1" t="n">
        <v>46290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44582</v>
      </c>
      <c r="E441" s="1" t="n">
        <v>46290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46290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45575</v>
      </c>
      <c r="E443" s="1" t="n">
        <v>46290</v>
      </c>
      <c r="F443" t="inlineStr">
        <is>
          <t>VÄRMLANDS LÄN</t>
        </is>
      </c>
      <c r="G443" t="inlineStr">
        <is>
          <t>HAGFORS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45725</v>
      </c>
      <c r="E444" s="1" t="n">
        <v>46290</v>
      </c>
      <c r="F444" t="inlineStr">
        <is>
          <t>VÄRMLANDS LÄN</t>
        </is>
      </c>
      <c r="G444" t="inlineStr">
        <is>
          <t>HAGFORS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45400</v>
      </c>
      <c r="E445" s="1" t="n">
        <v>46290</v>
      </c>
      <c r="F445" t="inlineStr">
        <is>
          <t>VÄRMLANDS LÄN</t>
        </is>
      </c>
      <c r="G445" t="inlineStr">
        <is>
          <t>HAGFORS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46290</v>
      </c>
      <c r="F446" t="inlineStr">
        <is>
          <t>VÄRMLANDS LÄN</t>
        </is>
      </c>
      <c r="G446" t="inlineStr">
        <is>
          <t>HAGFORS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46290</v>
      </c>
      <c r="F447" t="inlineStr">
        <is>
          <t>VÄRMLANDS LÄN</t>
        </is>
      </c>
      <c r="G447" t="inlineStr">
        <is>
          <t>HAGFORS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46290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46290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46290</v>
      </c>
      <c r="F450" t="inlineStr">
        <is>
          <t>VÄRMLANDS LÄN</t>
        </is>
      </c>
      <c r="G450" t="inlineStr">
        <is>
          <t>HAGFORS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46290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8.300000000000001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46290</v>
      </c>
      <c r="F452" t="inlineStr">
        <is>
          <t>VÄRMLANDS LÄN</t>
        </is>
      </c>
      <c r="G452" t="inlineStr">
        <is>
          <t>HAGFORS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46290</v>
      </c>
      <c r="F453" t="inlineStr">
        <is>
          <t>VÄRMLANDS LÄN</t>
        </is>
      </c>
      <c r="G453" t="inlineStr">
        <is>
          <t>HAGFORS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46290</v>
      </c>
      <c r="F454" t="inlineStr">
        <is>
          <t>VÄRMLANDS LÄN</t>
        </is>
      </c>
      <c r="G454" t="inlineStr">
        <is>
          <t>HAGFORS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46290</v>
      </c>
      <c r="F455" t="inlineStr">
        <is>
          <t>VÄRMLANDS LÄN</t>
        </is>
      </c>
      <c r="G455" t="inlineStr">
        <is>
          <t>HAGFORS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46290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46290</v>
      </c>
      <c r="F457" t="inlineStr">
        <is>
          <t>VÄRMLANDS LÄN</t>
        </is>
      </c>
      <c r="G457" t="inlineStr">
        <is>
          <t>HAGFORS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46290</v>
      </c>
      <c r="F458" t="inlineStr">
        <is>
          <t>VÄRMLANDS LÄN</t>
        </is>
      </c>
      <c r="G458" t="inlineStr">
        <is>
          <t>HAGFORS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44567</v>
      </c>
      <c r="E459" s="1" t="n">
        <v>46290</v>
      </c>
      <c r="F459" t="inlineStr">
        <is>
          <t>VÄRMLANDS LÄN</t>
        </is>
      </c>
      <c r="G459" t="inlineStr">
        <is>
          <t>HAGFORS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45526</v>
      </c>
      <c r="E460" s="1" t="n">
        <v>46290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46290</v>
      </c>
      <c r="F461" t="inlineStr">
        <is>
          <t>VÄRMLANDS LÄN</t>
        </is>
      </c>
      <c r="G461" t="inlineStr">
        <is>
          <t>HAGFORS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46290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45140</v>
      </c>
      <c r="E463" s="1" t="n">
        <v>46290</v>
      </c>
      <c r="F463" t="inlineStr">
        <is>
          <t>VÄRMLANDS LÄN</t>
        </is>
      </c>
      <c r="G463" t="inlineStr">
        <is>
          <t>HAGFORS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46290</v>
      </c>
      <c r="F464" t="inlineStr">
        <is>
          <t>VÄRMLANDS LÄN</t>
        </is>
      </c>
      <c r="G464" t="inlineStr">
        <is>
          <t>HAGFORS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46290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46290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54757-2022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44883</v>
      </c>
      <c r="E467" s="1" t="n">
        <v>46290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45238-2024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45575</v>
      </c>
      <c r="E468" s="1" t="n">
        <v>46290</v>
      </c>
      <c r="F468" t="inlineStr">
        <is>
          <t>VÄRMLANDS LÄN</t>
        </is>
      </c>
      <c r="G468" t="inlineStr">
        <is>
          <t>HAGFORS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45155</v>
      </c>
      <c r="E469" s="1" t="n">
        <v>46290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46290</v>
      </c>
      <c r="F470" t="inlineStr">
        <is>
          <t>VÄRMLANDS LÄN</t>
        </is>
      </c>
      <c r="G470" t="inlineStr">
        <is>
          <t>HAGFORS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62461-2023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45268</v>
      </c>
      <c r="E471" s="1" t="n">
        <v>46290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45057</v>
      </c>
      <c r="E472" s="1" t="n">
        <v>46290</v>
      </c>
      <c r="F472" t="inlineStr">
        <is>
          <t>VÄRMLANDS LÄN</t>
        </is>
      </c>
      <c r="G472" t="inlineStr">
        <is>
          <t>HAGFORS</t>
        </is>
      </c>
      <c r="H472" t="inlineStr">
        <is>
          <t>Kyrkan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53813-2024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46290</v>
      </c>
      <c r="F473" t="inlineStr">
        <is>
          <t>VÄRMLANDS LÄN</t>
        </is>
      </c>
      <c r="G473" t="inlineStr">
        <is>
          <t>HAGFORS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24625-2026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46171</v>
      </c>
      <c r="E474" s="1" t="n">
        <v>46290</v>
      </c>
      <c r="F474" t="inlineStr">
        <is>
          <t>VÄRMLANDS LÄN</t>
        </is>
      </c>
      <c r="G474" t="inlineStr">
        <is>
          <t>HAGFORS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26859-2024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46290</v>
      </c>
      <c r="F475" t="inlineStr">
        <is>
          <t>VÄRMLANDS LÄN</t>
        </is>
      </c>
      <c r="G475" t="inlineStr">
        <is>
          <t>HAGFORS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42175-2024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45562</v>
      </c>
      <c r="E476" s="1" t="n">
        <v>46290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46290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24677-2026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46290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24761-2026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46290</v>
      </c>
      <c r="F479" t="inlineStr">
        <is>
          <t>VÄRMLANDS LÄN</t>
        </is>
      </c>
      <c r="G479" t="inlineStr">
        <is>
          <t>HAGFORS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25258-2023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45079</v>
      </c>
      <c r="E480" s="1" t="n">
        <v>46290</v>
      </c>
      <c r="F480" t="inlineStr">
        <is>
          <t>VÄRMLANDS LÄN</t>
        </is>
      </c>
      <c r="G480" t="inlineStr">
        <is>
          <t>HAGFORS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9769-2026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46290</v>
      </c>
      <c r="F481" t="inlineStr">
        <is>
          <t>VÄRMLANDS LÄN</t>
        </is>
      </c>
      <c r="G481" t="inlineStr">
        <is>
          <t>HAGFORS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46290</v>
      </c>
      <c r="F482" t="inlineStr">
        <is>
          <t>VÄRMLANDS LÄN</t>
        </is>
      </c>
      <c r="G482" t="inlineStr">
        <is>
          <t>HAGFORS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24628-2026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46171</v>
      </c>
      <c r="E483" s="1" t="n">
        <v>46290</v>
      </c>
      <c r="F483" t="inlineStr">
        <is>
          <t>VÄRMLANDS LÄN</t>
        </is>
      </c>
      <c r="G483" t="inlineStr">
        <is>
          <t>HAGFORS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46290</v>
      </c>
      <c r="F484" t="inlineStr">
        <is>
          <t>VÄRMLANDS LÄN</t>
        </is>
      </c>
      <c r="G484" t="inlineStr">
        <is>
          <t>HAGFORS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45441</v>
      </c>
      <c r="E485" s="1" t="n">
        <v>46290</v>
      </c>
      <c r="F485" t="inlineStr">
        <is>
          <t>VÄRMLANDS LÄN</t>
        </is>
      </c>
      <c r="G485" t="inlineStr">
        <is>
          <t>HAGFORS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46290</v>
      </c>
      <c r="F486" t="inlineStr">
        <is>
          <t>VÄRMLANDS LÄN</t>
        </is>
      </c>
      <c r="G486" t="inlineStr">
        <is>
          <t>HAGFORS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45212</v>
      </c>
      <c r="E487" s="1" t="n">
        <v>46290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47516-2023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45203</v>
      </c>
      <c r="E488" s="1" t="n">
        <v>46290</v>
      </c>
      <c r="F488" t="inlineStr">
        <is>
          <t>VÄRMLANDS LÄN</t>
        </is>
      </c>
      <c r="G488" t="inlineStr">
        <is>
          <t>HAGFORS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46290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45506</v>
      </c>
      <c r="E490" s="1" t="n">
        <v>46290</v>
      </c>
      <c r="F490" t="inlineStr">
        <is>
          <t>VÄRMLANDS LÄN</t>
        </is>
      </c>
      <c r="G490" t="inlineStr">
        <is>
          <t>HAGFORS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24699-2026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46171</v>
      </c>
      <c r="E491" s="1" t="n">
        <v>46290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12534-2026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46290</v>
      </c>
      <c r="F492" t="inlineStr">
        <is>
          <t>VÄRMLANDS LÄN</t>
        </is>
      </c>
      <c r="G492" t="inlineStr">
        <is>
          <t>HAGFORS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24626-2026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46171</v>
      </c>
      <c r="E493" s="1" t="n">
        <v>46290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46290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46290</v>
      </c>
      <c r="F495" t="inlineStr">
        <is>
          <t>VÄRMLANDS LÄN</t>
        </is>
      </c>
      <c r="G495" t="inlineStr">
        <is>
          <t>HAGFORS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46290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46290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46290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46290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13360-2026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46290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46290</v>
      </c>
      <c r="F501" t="inlineStr">
        <is>
          <t>VÄRMLANDS LÄN</t>
        </is>
      </c>
      <c r="G501" t="inlineStr">
        <is>
          <t>HAGFORS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44951</v>
      </c>
      <c r="E502" s="1" t="n">
        <v>46290</v>
      </c>
      <c r="F502" t="inlineStr">
        <is>
          <t>VÄRMLANDS LÄN</t>
        </is>
      </c>
      <c r="G502" t="inlineStr">
        <is>
          <t>HAGFORS</t>
        </is>
      </c>
      <c r="H502" t="inlineStr">
        <is>
          <t>Kommuner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46290</v>
      </c>
      <c r="F503" t="inlineStr">
        <is>
          <t>VÄRMLANDS LÄN</t>
        </is>
      </c>
      <c r="G503" t="inlineStr">
        <is>
          <t>HAGFORS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45282</v>
      </c>
      <c r="E504" s="1" t="n">
        <v>46290</v>
      </c>
      <c r="F504" t="inlineStr">
        <is>
          <t>VÄRMLANDS LÄN</t>
        </is>
      </c>
      <c r="G504" t="inlineStr">
        <is>
          <t>HAGFORS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46290</v>
      </c>
      <c r="F505" t="inlineStr">
        <is>
          <t>VÄRMLANDS LÄN</t>
        </is>
      </c>
      <c r="G505" t="inlineStr">
        <is>
          <t>HAGFORS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46290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46290</v>
      </c>
      <c r="F507" t="inlineStr">
        <is>
          <t>VÄRMLANDS LÄN</t>
        </is>
      </c>
      <c r="G507" t="inlineStr">
        <is>
          <t>HAGFORS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45684</v>
      </c>
      <c r="E508" s="1" t="n">
        <v>46290</v>
      </c>
      <c r="F508" t="inlineStr">
        <is>
          <t>VÄRMLANDS LÄN</t>
        </is>
      </c>
      <c r="G508" t="inlineStr">
        <is>
          <t>HAGFORS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45436</v>
      </c>
      <c r="E509" s="1" t="n">
        <v>46290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44949</v>
      </c>
      <c r="E510" s="1" t="n">
        <v>46290</v>
      </c>
      <c r="F510" t="inlineStr">
        <is>
          <t>VÄRMLANDS LÄN</t>
        </is>
      </c>
      <c r="G510" t="inlineStr">
        <is>
          <t>HAGFORS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46290</v>
      </c>
      <c r="F511" t="inlineStr">
        <is>
          <t>VÄRMLANDS LÄN</t>
        </is>
      </c>
      <c r="G511" t="inlineStr">
        <is>
          <t>HAGFORS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46098</v>
      </c>
      <c r="E512" s="1" t="n">
        <v>46290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30327-2022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44760</v>
      </c>
      <c r="E513" s="1" t="n">
        <v>46290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46099</v>
      </c>
      <c r="E514" s="1" t="n">
        <v>46290</v>
      </c>
      <c r="F514" t="inlineStr">
        <is>
          <t>VÄRMLANDS LÄN</t>
        </is>
      </c>
      <c r="G514" t="inlineStr">
        <is>
          <t>HAGFORS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46290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46290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46104</v>
      </c>
      <c r="E517" s="1" t="n">
        <v>46290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14667-2026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46290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26342-2026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46290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46290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46181</v>
      </c>
      <c r="E521" s="1" t="n">
        <v>46290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46290</v>
      </c>
      <c r="F522" t="inlineStr">
        <is>
          <t>VÄRMLANDS LÄN</t>
        </is>
      </c>
      <c r="G522" t="inlineStr">
        <is>
          <t>HAGFORS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46290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46290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46290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33.4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46290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46290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45050</v>
      </c>
      <c r="E528" s="1" t="n">
        <v>46290</v>
      </c>
      <c r="F528" t="inlineStr">
        <is>
          <t>VÄRMLANDS LÄN</t>
        </is>
      </c>
      <c r="G528" t="inlineStr">
        <is>
          <t>HAGFORS</t>
        </is>
      </c>
      <c r="H528" t="inlineStr">
        <is>
          <t>Kommuner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46290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46290</v>
      </c>
      <c r="F530" t="inlineStr">
        <is>
          <t>VÄRMLANDS LÄN</t>
        </is>
      </c>
      <c r="G530" t="inlineStr">
        <is>
          <t>HAGFORS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46290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46290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46290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46290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46290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46290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46290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46290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46290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46290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46290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18.2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46290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46290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46290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15577-2026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46290</v>
      </c>
      <c r="F545" t="inlineStr">
        <is>
          <t>VÄRMLANDS LÄN</t>
        </is>
      </c>
      <c r="G545" t="inlineStr">
        <is>
          <t>HAGFORS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16146-2026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46108</v>
      </c>
      <c r="E546" s="1" t="n">
        <v>46290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39029-2022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44817</v>
      </c>
      <c r="E547" s="1" t="n">
        <v>46290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46290</v>
      </c>
      <c r="F548" t="inlineStr">
        <is>
          <t>VÄRMLANDS LÄN</t>
        </is>
      </c>
      <c r="G548" t="inlineStr">
        <is>
          <t>HAGFORS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16157-2026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46108</v>
      </c>
      <c r="E549" s="1" t="n">
        <v>46290</v>
      </c>
      <c r="F549" t="inlineStr">
        <is>
          <t>VÄRMLANDS LÄN</t>
        </is>
      </c>
      <c r="G549" t="inlineStr">
        <is>
          <t>HAGFORS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46111</v>
      </c>
      <c r="E550" s="1" t="n">
        <v>46290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45400</v>
      </c>
      <c r="E551" s="1" t="n">
        <v>46290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15587-2026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46106</v>
      </c>
      <c r="E552" s="1" t="n">
        <v>46290</v>
      </c>
      <c r="F552" t="inlineStr">
        <is>
          <t>VÄRMLANDS LÄN</t>
        </is>
      </c>
      <c r="G552" t="inlineStr">
        <is>
          <t>HAGFORS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46290</v>
      </c>
      <c r="F553" t="inlineStr">
        <is>
          <t>VÄRMLANDS LÄN</t>
        </is>
      </c>
      <c r="G553" t="inlineStr">
        <is>
          <t>HAGFORS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45373</v>
      </c>
      <c r="E554" s="1" t="n">
        <v>46290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34541-2024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46290</v>
      </c>
      <c r="F555" t="inlineStr">
        <is>
          <t>VÄRMLANDS LÄN</t>
        </is>
      </c>
      <c r="G555" t="inlineStr">
        <is>
          <t>HAGFORS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46290</v>
      </c>
      <c r="F556" t="inlineStr">
        <is>
          <t>VÄRMLANDS LÄN</t>
        </is>
      </c>
      <c r="G556" t="inlineStr">
        <is>
          <t>HAGFORS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46290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46290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46122</v>
      </c>
      <c r="E559" s="1" t="n">
        <v>46290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46290</v>
      </c>
      <c r="F560" t="inlineStr">
        <is>
          <t>VÄRMLANDS LÄN</t>
        </is>
      </c>
      <c r="G560" t="inlineStr">
        <is>
          <t>HAGFORS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46290</v>
      </c>
      <c r="F561" t="inlineStr">
        <is>
          <t>VÄRMLANDS LÄN</t>
        </is>
      </c>
      <c r="G561" t="inlineStr">
        <is>
          <t>HAGFORS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46290</v>
      </c>
      <c r="F562" t="inlineStr">
        <is>
          <t>VÄRMLANDS LÄN</t>
        </is>
      </c>
      <c r="G562" t="inlineStr">
        <is>
          <t>HAGFORS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58808-2022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44903</v>
      </c>
      <c r="E563" s="1" t="n">
        <v>46290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18895-2026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46290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46290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20652-2022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44700</v>
      </c>
      <c r="E566" s="1" t="n">
        <v>46290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46129</v>
      </c>
      <c r="E567" s="1" t="n">
        <v>46290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46191</v>
      </c>
      <c r="E568" s="1" t="n">
        <v>46290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18797-2026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46290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18170-2024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45420</v>
      </c>
      <c r="E570" s="1" t="n">
        <v>46290</v>
      </c>
      <c r="F570" t="inlineStr">
        <is>
          <t>VÄRMLANDS LÄN</t>
        </is>
      </c>
      <c r="G570" t="inlineStr">
        <is>
          <t>HAGFORS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45632</v>
      </c>
      <c r="E571" s="1" t="n">
        <v>46290</v>
      </c>
      <c r="F571" t="inlineStr">
        <is>
          <t>VÄRMLANDS LÄN</t>
        </is>
      </c>
      <c r="G571" t="inlineStr">
        <is>
          <t>HAGFORS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46290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45679</v>
      </c>
      <c r="E573" s="1" t="n">
        <v>46290</v>
      </c>
      <c r="F573" t="inlineStr">
        <is>
          <t>VÄRMLANDS LÄN</t>
        </is>
      </c>
      <c r="G573" t="inlineStr">
        <is>
          <t>HAGFORS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46290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46290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46133</v>
      </c>
      <c r="E576" s="1" t="n">
        <v>46290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19421-2026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46290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46290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45398</v>
      </c>
      <c r="E579" s="1" t="n">
        <v>46290</v>
      </c>
      <c r="F579" t="inlineStr">
        <is>
          <t>VÄRMLANDS LÄN</t>
        </is>
      </c>
      <c r="G579" t="inlineStr">
        <is>
          <t>HAGFORS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28788-2026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46290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9.699999999999999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46290</v>
      </c>
      <c r="F582" t="inlineStr">
        <is>
          <t>VÄRMLANDS LÄN</t>
        </is>
      </c>
      <c r="G582" t="inlineStr">
        <is>
          <t>HAGFORS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44596</v>
      </c>
      <c r="E583" s="1" t="n">
        <v>46290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46290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28748-2026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46290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46290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46200</v>
      </c>
      <c r="E587" s="1" t="n">
        <v>46290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46200</v>
      </c>
      <c r="E588" s="1" t="n">
        <v>46290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27855-2026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46191</v>
      </c>
      <c r="E589" s="1" t="n">
        <v>46290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52378-2021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44465</v>
      </c>
      <c r="E590" s="1" t="n">
        <v>46290</v>
      </c>
      <c r="F590" t="inlineStr">
        <is>
          <t>VÄRMLANDS LÄN</t>
        </is>
      </c>
      <c r="G590" t="inlineStr">
        <is>
          <t>HAGFORS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45054</v>
      </c>
      <c r="E591" s="1" t="n">
        <v>46290</v>
      </c>
      <c r="F591" t="inlineStr">
        <is>
          <t>VÄRMLANDS LÄN</t>
        </is>
      </c>
      <c r="G591" t="inlineStr">
        <is>
          <t>HAGFORS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49753-2023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45212</v>
      </c>
      <c r="E592" s="1" t="n">
        <v>46290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29580-2026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46290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46290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46290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46203</v>
      </c>
      <c r="E596" s="1" t="n">
        <v>46290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45645</v>
      </c>
      <c r="E597" s="1" t="n">
        <v>46290</v>
      </c>
      <c r="F597" t="inlineStr">
        <is>
          <t>VÄRMLANDS LÄN</t>
        </is>
      </c>
      <c r="G597" t="inlineStr">
        <is>
          <t>HAGFORS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56888-2023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46290</v>
      </c>
      <c r="F598" t="inlineStr">
        <is>
          <t>VÄRMLANDS LÄN</t>
        </is>
      </c>
      <c r="G598" t="inlineStr">
        <is>
          <t>HAGFORS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46290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9.6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46290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8304-2022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44610</v>
      </c>
      <c r="E601" s="1" t="n">
        <v>46290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46290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46251</v>
      </c>
      <c r="E603" s="1" t="n">
        <v>46290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46290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30141-2026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46290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29950-2026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46205</v>
      </c>
      <c r="E606" s="1" t="n">
        <v>46290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44950</v>
      </c>
      <c r="E607" s="1" t="n">
        <v>46290</v>
      </c>
      <c r="F607" t="inlineStr">
        <is>
          <t>VÄRMLANDS LÄN</t>
        </is>
      </c>
      <c r="G607" t="inlineStr">
        <is>
          <t>HAGFORS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44950</v>
      </c>
      <c r="E608" s="1" t="n">
        <v>46290</v>
      </c>
      <c r="F608" t="inlineStr">
        <is>
          <t>VÄRMLANDS LÄN</t>
        </is>
      </c>
      <c r="G608" t="inlineStr">
        <is>
          <t>HAGFORS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33627-2026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46248</v>
      </c>
      <c r="E609" s="1" t="n">
        <v>46290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46290</v>
      </c>
      <c r="F610" t="inlineStr">
        <is>
          <t>VÄRMLANDS LÄN</t>
        </is>
      </c>
      <c r="G610" t="inlineStr">
        <is>
          <t>HAGFORS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33821-2026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46251</v>
      </c>
      <c r="E611" s="1" t="n">
        <v>46290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33146-2024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45518</v>
      </c>
      <c r="E612" s="1" t="n">
        <v>46290</v>
      </c>
      <c r="F612" t="inlineStr">
        <is>
          <t>VÄRMLANDS LÄN</t>
        </is>
      </c>
      <c r="G612" t="inlineStr">
        <is>
          <t>HAGFORS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42223-2022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44830</v>
      </c>
      <c r="E613" s="1" t="n">
        <v>46290</v>
      </c>
      <c r="F613" t="inlineStr">
        <is>
          <t>VÄRMLANDS LÄN</t>
        </is>
      </c>
      <c r="G613" t="inlineStr">
        <is>
          <t>HAGFORS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19125-2024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45428</v>
      </c>
      <c r="E614" s="1" t="n">
        <v>46290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19.5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46290</v>
      </c>
      <c r="F615" t="inlineStr">
        <is>
          <t>VÄRMLANDS LÄN</t>
        </is>
      </c>
      <c r="G615" t="inlineStr">
        <is>
          <t>HAGFORS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46290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46290</v>
      </c>
      <c r="F617" t="inlineStr">
        <is>
          <t>VÄRMLANDS LÄN</t>
        </is>
      </c>
      <c r="G617" t="inlineStr">
        <is>
          <t>HAGFORS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46290</v>
      </c>
      <c r="F618" t="inlineStr">
        <is>
          <t>VÄRMLANDS LÄN</t>
        </is>
      </c>
      <c r="G618" t="inlineStr">
        <is>
          <t>HAGFORS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11241-2024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45371</v>
      </c>
      <c r="E619" s="1" t="n">
        <v>46290</v>
      </c>
      <c r="F619" t="inlineStr">
        <is>
          <t>VÄRMLANDS LÄN</t>
        </is>
      </c>
      <c r="G619" t="inlineStr">
        <is>
          <t>HAGFORS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18585-2025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45763</v>
      </c>
      <c r="E620" s="1" t="n">
        <v>46290</v>
      </c>
      <c r="F620" t="inlineStr">
        <is>
          <t>VÄRMLANDS LÄN</t>
        </is>
      </c>
      <c r="G620" t="inlineStr">
        <is>
          <t>HAGFORS</t>
        </is>
      </c>
      <c r="H620" t="inlineStr">
        <is>
          <t>Kyrkan</t>
        </is>
      </c>
      <c r="I620" t="n">
        <v>7.9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34014-2026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46252</v>
      </c>
      <c r="E621" s="1" t="n">
        <v>46290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46290</v>
      </c>
      <c r="F622" t="inlineStr">
        <is>
          <t>VÄRMLANDS LÄN</t>
        </is>
      </c>
      <c r="G622" t="inlineStr">
        <is>
          <t>HAGFORS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34523-2026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46255</v>
      </c>
      <c r="E623" s="1" t="n">
        <v>46290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46254</v>
      </c>
      <c r="E624" s="1" t="n">
        <v>46290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15.8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46290</v>
      </c>
      <c r="F625" t="inlineStr">
        <is>
          <t>VÄRMLANDS LÄN</t>
        </is>
      </c>
      <c r="G625" t="inlineStr">
        <is>
          <t>HAGFORS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60664-2023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45259</v>
      </c>
      <c r="E626" s="1" t="n">
        <v>46290</v>
      </c>
      <c r="F626" t="inlineStr">
        <is>
          <t>VÄRMLANDS LÄN</t>
        </is>
      </c>
      <c r="G626" t="inlineStr">
        <is>
          <t>HAGFORS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46290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35775-2024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45532</v>
      </c>
      <c r="E628" s="1" t="n">
        <v>46290</v>
      </c>
      <c r="F628" t="inlineStr">
        <is>
          <t>VÄRMLANDS LÄN</t>
        </is>
      </c>
      <c r="G628" t="inlineStr">
        <is>
          <t>HAGFORS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34443-2026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46254</v>
      </c>
      <c r="E629" s="1" t="n">
        <v>46290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34552-2026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46290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46290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34456-2026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46254</v>
      </c>
      <c r="E632" s="1" t="n">
        <v>46290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45211</v>
      </c>
      <c r="E633" s="1" t="n">
        <v>46290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57359-2022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44896</v>
      </c>
      <c r="E634" s="1" t="n">
        <v>46290</v>
      </c>
      <c r="F634" t="inlineStr">
        <is>
          <t>VÄRMLANDS LÄN</t>
        </is>
      </c>
      <c r="G634" t="inlineStr">
        <is>
          <t>HAGFORS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45559</v>
      </c>
      <c r="E635" s="1" t="n">
        <v>46290</v>
      </c>
      <c r="F635" t="inlineStr">
        <is>
          <t>VÄRMLANDS LÄN</t>
        </is>
      </c>
      <c r="G635" t="inlineStr">
        <is>
          <t>HAGFORS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46290</v>
      </c>
      <c r="F636" t="inlineStr">
        <is>
          <t>VÄRMLANDS LÄN</t>
        </is>
      </c>
      <c r="G636" t="inlineStr">
        <is>
          <t>HAGFORS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58084-2024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45632</v>
      </c>
      <c r="E637" s="1" t="n">
        <v>46290</v>
      </c>
      <c r="F637" t="inlineStr">
        <is>
          <t>VÄRMLANDS LÄN</t>
        </is>
      </c>
      <c r="G637" t="inlineStr">
        <is>
          <t>HAGFORS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19702-2022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44694</v>
      </c>
      <c r="E638" s="1" t="n">
        <v>46290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46290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6.8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46290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46290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22503-2024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45447</v>
      </c>
      <c r="E642" s="1" t="n">
        <v>46290</v>
      </c>
      <c r="F642" t="inlineStr">
        <is>
          <t>VÄRMLANDS LÄN</t>
        </is>
      </c>
      <c r="G642" t="inlineStr">
        <is>
          <t>HAGFORS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4279-2024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45324</v>
      </c>
      <c r="E643" s="1" t="n">
        <v>46290</v>
      </c>
      <c r="F643" t="inlineStr">
        <is>
          <t>VÄRMLANDS LÄN</t>
        </is>
      </c>
      <c r="G643" t="inlineStr">
        <is>
          <t>HAGFORS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920-2022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44571</v>
      </c>
      <c r="E644" s="1" t="n">
        <v>46290</v>
      </c>
      <c r="F644" t="inlineStr">
        <is>
          <t>VÄRMLANDS LÄN</t>
        </is>
      </c>
      <c r="G644" t="inlineStr">
        <is>
          <t>HAGFORS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46261</v>
      </c>
      <c r="E645" s="1" t="n">
        <v>46290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45446</v>
      </c>
      <c r="E646" s="1" t="n">
        <v>46290</v>
      </c>
      <c r="F646" t="inlineStr">
        <is>
          <t>VÄRMLANDS LÄN</t>
        </is>
      </c>
      <c r="G646" t="inlineStr">
        <is>
          <t>HAGFORS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12426-2024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45379</v>
      </c>
      <c r="E647" s="1" t="n">
        <v>46290</v>
      </c>
      <c r="F647" t="inlineStr">
        <is>
          <t>VÄRMLANDS LÄN</t>
        </is>
      </c>
      <c r="G647" t="inlineStr">
        <is>
          <t>HAGFORS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45713</v>
      </c>
      <c r="E648" s="1" t="n">
        <v>46290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46290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18.2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17882-2025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45758</v>
      </c>
      <c r="E651" s="1" t="n">
        <v>46290</v>
      </c>
      <c r="F651" t="inlineStr">
        <is>
          <t>VÄRMLANDS LÄN</t>
        </is>
      </c>
      <c r="G651" t="inlineStr">
        <is>
          <t>HAGFORS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7332-2025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45703</v>
      </c>
      <c r="E652" s="1" t="n">
        <v>46290</v>
      </c>
      <c r="F652" t="inlineStr">
        <is>
          <t>VÄRMLANDS LÄN</t>
        </is>
      </c>
      <c r="G652" t="inlineStr">
        <is>
          <t>HAGFORS</t>
        </is>
      </c>
      <c r="H652" t="inlineStr">
        <is>
          <t>Kyrkan</t>
        </is>
      </c>
      <c r="I652" t="n">
        <v>15.9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17329-2024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45414</v>
      </c>
      <c r="E653" s="1" t="n">
        <v>46290</v>
      </c>
      <c r="F653" t="inlineStr">
        <is>
          <t>VÄRMLANDS LÄN</t>
        </is>
      </c>
      <c r="G653" t="inlineStr">
        <is>
          <t>HAGFORS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45684</v>
      </c>
      <c r="E654" s="1" t="n">
        <v>46290</v>
      </c>
      <c r="F654" t="inlineStr">
        <is>
          <t>VÄRMLANDS LÄN</t>
        </is>
      </c>
      <c r="G654" t="inlineStr">
        <is>
          <t>HAGFORS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35781-2026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46265</v>
      </c>
      <c r="E655" s="1" t="n">
        <v>46290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52924-2023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45226</v>
      </c>
      <c r="E656" s="1" t="n">
        <v>46290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46265</v>
      </c>
      <c r="E657" s="1" t="n">
        <v>46290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35574-2026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46290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1710-2025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45671</v>
      </c>
      <c r="E659" s="1" t="n">
        <v>46290</v>
      </c>
      <c r="F659" t="inlineStr">
        <is>
          <t>VÄRMLANDS LÄN</t>
        </is>
      </c>
      <c r="G659" t="inlineStr">
        <is>
          <t>HAGFORS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36055-2026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46267</v>
      </c>
      <c r="E660" s="1" t="n">
        <v>46290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45590</v>
      </c>
      <c r="E661" s="1" t="n">
        <v>46290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54751-2022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44883</v>
      </c>
      <c r="E662" s="1" t="n">
        <v>46290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32149-2023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46290</v>
      </c>
      <c r="F663" t="inlineStr">
        <is>
          <t>VÄRMLANDS LÄN</t>
        </is>
      </c>
      <c r="G663" t="inlineStr">
        <is>
          <t>HAGFORS</t>
        </is>
      </c>
      <c r="I663" t="n">
        <v>9.1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52494-2024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46290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5338-2025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45692</v>
      </c>
      <c r="E665" s="1" t="n">
        <v>46290</v>
      </c>
      <c r="F665" t="inlineStr">
        <is>
          <t>VÄRMLANDS LÄN</t>
        </is>
      </c>
      <c r="G665" t="inlineStr">
        <is>
          <t>HAGFORS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10562-2024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45366</v>
      </c>
      <c r="E666" s="1" t="n">
        <v>46290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7.1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5482-2022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44595</v>
      </c>
      <c r="E668" s="1" t="n">
        <v>46290</v>
      </c>
      <c r="F668" t="inlineStr">
        <is>
          <t>VÄRMLANDS LÄN</t>
        </is>
      </c>
      <c r="G668" t="inlineStr">
        <is>
          <t>HAGFORS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36240-2026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46268</v>
      </c>
      <c r="E669" s="1" t="n">
        <v>46290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36281-2026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46268</v>
      </c>
      <c r="E670" s="1" t="n">
        <v>46290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31691-2026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46226</v>
      </c>
      <c r="E672" s="1" t="n">
        <v>46290</v>
      </c>
      <c r="F672" t="inlineStr">
        <is>
          <t>VÄRMLANDS LÄN</t>
        </is>
      </c>
      <c r="G672" t="inlineStr">
        <is>
          <t>HAGFORS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46225</v>
      </c>
      <c r="E673" s="1" t="n">
        <v>46290</v>
      </c>
      <c r="F673" t="inlineStr">
        <is>
          <t>VÄRMLANDS LÄN</t>
        </is>
      </c>
      <c r="G673" t="inlineStr">
        <is>
          <t>HAGFORS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60167-2023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45258</v>
      </c>
      <c r="E674" s="1" t="n">
        <v>46290</v>
      </c>
      <c r="F674" t="inlineStr">
        <is>
          <t>VÄRMLANDS LÄN</t>
        </is>
      </c>
      <c r="G674" t="inlineStr">
        <is>
          <t>HAGFORS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60178-2023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45258</v>
      </c>
      <c r="E675" s="1" t="n">
        <v>46290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46225</v>
      </c>
      <c r="E676" s="1" t="n">
        <v>46290</v>
      </c>
      <c r="F676" t="inlineStr">
        <is>
          <t>VÄRMLANDS LÄN</t>
        </is>
      </c>
      <c r="G676" t="inlineStr">
        <is>
          <t>HAGFORS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36446-2026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46290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45328</v>
      </c>
      <c r="E678" s="1" t="n">
        <v>46290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16525-2023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45029</v>
      </c>
      <c r="E679" s="1" t="n">
        <v>46290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41603-2023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45175</v>
      </c>
      <c r="E680" s="1" t="n">
        <v>46290</v>
      </c>
      <c r="F680" t="inlineStr">
        <is>
          <t>VÄRMLANDS LÄN</t>
        </is>
      </c>
      <c r="G680" t="inlineStr">
        <is>
          <t>HAGFORS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46290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46290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46290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36728-2026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46272</v>
      </c>
      <c r="E684" s="1" t="n">
        <v>46290</v>
      </c>
      <c r="F684" t="inlineStr">
        <is>
          <t>VÄRMLANDS LÄN</t>
        </is>
      </c>
      <c r="G684" t="inlineStr">
        <is>
          <t>HAGFORS</t>
        </is>
      </c>
      <c r="H684" t="inlineStr">
        <is>
          <t>Kyrkan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11367-2025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46290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56895-2023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45244</v>
      </c>
      <c r="E686" s="1" t="n">
        <v>46290</v>
      </c>
      <c r="F686" t="inlineStr">
        <is>
          <t>VÄRMLANDS LÄN</t>
        </is>
      </c>
      <c r="G686" t="inlineStr">
        <is>
          <t>HAGFORS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45673</v>
      </c>
      <c r="E687" s="1" t="n">
        <v>46290</v>
      </c>
      <c r="F687" t="inlineStr">
        <is>
          <t>VÄRMLANDS LÄN</t>
        </is>
      </c>
      <c r="G687" t="inlineStr">
        <is>
          <t>HAGFORS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36221-2026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46268</v>
      </c>
      <c r="E688" s="1" t="n">
        <v>46290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36542-2026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46269</v>
      </c>
      <c r="E689" s="1" t="n">
        <v>46290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46290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46290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40835-2023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45172</v>
      </c>
      <c r="E692" s="1" t="n">
        <v>46290</v>
      </c>
      <c r="F692" t="inlineStr">
        <is>
          <t>VÄRMLANDS LÄN</t>
        </is>
      </c>
      <c r="G692" t="inlineStr">
        <is>
          <t>HAGFORS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47028-2023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45201</v>
      </c>
      <c r="E693" s="1" t="n">
        <v>46290</v>
      </c>
      <c r="F693" t="inlineStr">
        <is>
          <t>VÄRMLANDS LÄN</t>
        </is>
      </c>
      <c r="G693" t="inlineStr">
        <is>
          <t>HAGFORS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30520-2024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45492</v>
      </c>
      <c r="E694" s="1" t="n">
        <v>46290</v>
      </c>
      <c r="F694" t="inlineStr">
        <is>
          <t>VÄRMLANDS LÄN</t>
        </is>
      </c>
      <c r="G694" t="inlineStr">
        <is>
          <t>HAGFORS</t>
        </is>
      </c>
      <c r="H694" t="inlineStr">
        <is>
          <t>Kyrkan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46275</v>
      </c>
      <c r="E695" s="1" t="n">
        <v>46290</v>
      </c>
      <c r="F695" t="inlineStr">
        <is>
          <t>VÄRMLANDS LÄN</t>
        </is>
      </c>
      <c r="G695" t="inlineStr">
        <is>
          <t>HAGFORS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37157-2026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46274</v>
      </c>
      <c r="E696" s="1" t="n">
        <v>46290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7.1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37172-2026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46274</v>
      </c>
      <c r="E697" s="1" t="n">
        <v>46290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8.699999999999999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45519</v>
      </c>
      <c r="E698" s="1" t="n">
        <v>46290</v>
      </c>
      <c r="F698" t="inlineStr">
        <is>
          <t>VÄRMLANDS LÄN</t>
        </is>
      </c>
      <c r="G698" t="inlineStr">
        <is>
          <t>HAGFORS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46290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37269-2026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46290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10236-2022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44622</v>
      </c>
      <c r="E701" s="1" t="n">
        <v>46290</v>
      </c>
      <c r="F701" t="inlineStr">
        <is>
          <t>VÄRMLANDS LÄN</t>
        </is>
      </c>
      <c r="G701" t="inlineStr">
        <is>
          <t>HAGFORS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46792-2022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46290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36110-2026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46267</v>
      </c>
      <c r="E703" s="1" t="n">
        <v>46290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37399-2026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46275</v>
      </c>
      <c r="E704" s="1" t="n">
        <v>46290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45510</v>
      </c>
      <c r="E705" s="1" t="n">
        <v>46290</v>
      </c>
      <c r="F705" t="inlineStr">
        <is>
          <t>VÄRMLANDS LÄN</t>
        </is>
      </c>
      <c r="G705" t="inlineStr">
        <is>
          <t>HAGFORS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45618</v>
      </c>
      <c r="E706" s="1" t="n">
        <v>46290</v>
      </c>
      <c r="F706" t="inlineStr">
        <is>
          <t>VÄRMLANDS LÄN</t>
        </is>
      </c>
      <c r="G706" t="inlineStr">
        <is>
          <t>HAGFORS</t>
        </is>
      </c>
      <c r="H706" t="inlineStr">
        <is>
          <t>Kyrkan</t>
        </is>
      </c>
      <c r="I706" t="n">
        <v>8.800000000000001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46290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39640-2022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44817</v>
      </c>
      <c r="E708" s="1" t="n">
        <v>46290</v>
      </c>
      <c r="F708" t="inlineStr">
        <is>
          <t>VÄRMLANDS LÄN</t>
        </is>
      </c>
      <c r="G708" t="inlineStr">
        <is>
          <t>HAGFORS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45308</v>
      </c>
      <c r="E709" s="1" t="n">
        <v>46290</v>
      </c>
      <c r="F709" t="inlineStr">
        <is>
          <t>VÄRMLANDS LÄN</t>
        </is>
      </c>
      <c r="G709" t="inlineStr">
        <is>
          <t>HAGFORS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57159-2024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45629</v>
      </c>
      <c r="E710" s="1" t="n">
        <v>46290</v>
      </c>
      <c r="F710" t="inlineStr">
        <is>
          <t>VÄRMLANDS LÄN</t>
        </is>
      </c>
      <c r="G710" t="inlineStr">
        <is>
          <t>HAGFORS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46233</v>
      </c>
      <c r="E711" s="1" t="n">
        <v>46290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37685-2026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46279</v>
      </c>
      <c r="E712" s="1" t="n">
        <v>46290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37842-2026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46290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45132</v>
      </c>
      <c r="E714" s="1" t="n">
        <v>46290</v>
      </c>
      <c r="F714" t="inlineStr">
        <is>
          <t>VÄRMLANDS LÄN</t>
        </is>
      </c>
      <c r="G714" t="inlineStr">
        <is>
          <t>HAGFORS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45723</v>
      </c>
      <c r="E715" s="1" t="n">
        <v>46290</v>
      </c>
      <c r="F715" t="inlineStr">
        <is>
          <t>VÄRMLANDS LÄN</t>
        </is>
      </c>
      <c r="G715" t="inlineStr">
        <is>
          <t>HAGFORS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43998-2024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45572</v>
      </c>
      <c r="E716" s="1" t="n">
        <v>46290</v>
      </c>
      <c r="F716" t="inlineStr">
        <is>
          <t>VÄRMLANDS LÄN</t>
        </is>
      </c>
      <c r="G716" t="inlineStr">
        <is>
          <t>HAGFORS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45386</v>
      </c>
      <c r="E717" s="1" t="n">
        <v>46290</v>
      </c>
      <c r="F717" t="inlineStr">
        <is>
          <t>VÄRMLANDS LÄN</t>
        </is>
      </c>
      <c r="G717" t="inlineStr">
        <is>
          <t>HAGFORS</t>
        </is>
      </c>
      <c r="H717" t="inlineStr">
        <is>
          <t>Kommuner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46280</v>
      </c>
      <c r="E718" s="1" t="n">
        <v>46290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46280</v>
      </c>
      <c r="E719" s="1" t="n">
        <v>46290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44728-2023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45190</v>
      </c>
      <c r="E720" s="1" t="n">
        <v>46290</v>
      </c>
      <c r="F720" t="inlineStr">
        <is>
          <t>VÄRMLANDS LÄN</t>
        </is>
      </c>
      <c r="G720" t="inlineStr">
        <is>
          <t>HAGFORS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37963-2026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46280</v>
      </c>
      <c r="E721" s="1" t="n">
        <v>46290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42168-2024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46290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42170-2024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45562</v>
      </c>
      <c r="E723" s="1" t="n">
        <v>46290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42171-2024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45562</v>
      </c>
      <c r="E724" s="1" t="n">
        <v>46290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42243-2024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45562</v>
      </c>
      <c r="E725" s="1" t="n">
        <v>46290</v>
      </c>
      <c r="F725" t="inlineStr">
        <is>
          <t>VÄRMLANDS LÄN</t>
        </is>
      </c>
      <c r="G725" t="inlineStr">
        <is>
          <t>HAGFORS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44603</v>
      </c>
      <c r="E726" s="1" t="n">
        <v>46290</v>
      </c>
      <c r="F726" t="inlineStr">
        <is>
          <t>VÄRMLANDS LÄN</t>
        </is>
      </c>
      <c r="G726" t="inlineStr">
        <is>
          <t>HAGFORS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46280</v>
      </c>
      <c r="E727" s="1" t="n">
        <v>46290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37924-2026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46280</v>
      </c>
      <c r="E728" s="1" t="n">
        <v>46290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8.5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45149</v>
      </c>
      <c r="E729" s="1" t="n">
        <v>46290</v>
      </c>
      <c r="F729" t="inlineStr">
        <is>
          <t>VÄRMLANDS LÄN</t>
        </is>
      </c>
      <c r="G729" t="inlineStr">
        <is>
          <t>HAGFORS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37914-2026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46280</v>
      </c>
      <c r="E730" s="1" t="n">
        <v>46290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37922-2026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46280</v>
      </c>
      <c r="E731" s="1" t="n">
        <v>46290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61311-2023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45264</v>
      </c>
      <c r="E732" s="1" t="n">
        <v>46290</v>
      </c>
      <c r="F732" t="inlineStr">
        <is>
          <t>VÄRMLANDS LÄN</t>
        </is>
      </c>
      <c r="G732" t="inlineStr">
        <is>
          <t>HAGFORS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61315-2023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45264</v>
      </c>
      <c r="E733" s="1" t="n">
        <v>46290</v>
      </c>
      <c r="F733" t="inlineStr">
        <is>
          <t>VÄRMLANDS LÄN</t>
        </is>
      </c>
      <c r="G733" t="inlineStr">
        <is>
          <t>HAGFORS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38244-2026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46281</v>
      </c>
      <c r="E734" s="1" t="n">
        <v>46290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18907-2025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45764</v>
      </c>
      <c r="E735" s="1" t="n">
        <v>46290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46282</v>
      </c>
      <c r="E736" s="1" t="n">
        <v>46290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46283</v>
      </c>
      <c r="E737" s="1" t="n">
        <v>46290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38404-2026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46282</v>
      </c>
      <c r="E738" s="1" t="n">
        <v>46290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46283</v>
      </c>
      <c r="E739" s="1" t="n">
        <v>46290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6.1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46239</v>
      </c>
      <c r="E740" s="1" t="n">
        <v>46290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17305-2023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45035</v>
      </c>
      <c r="E741" s="1" t="n">
        <v>46290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46282</v>
      </c>
      <c r="E742" s="1" t="n">
        <v>46290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46239</v>
      </c>
      <c r="E743" s="1" t="n">
        <v>46290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32490-2026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46239</v>
      </c>
      <c r="E744" s="1" t="n">
        <v>46290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19.3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31178-2022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44770</v>
      </c>
      <c r="E745" s="1" t="n">
        <v>46290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10.1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38645-2026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46290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18.6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59552-2024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45638</v>
      </c>
      <c r="E747" s="1" t="n">
        <v>46290</v>
      </c>
      <c r="F747" t="inlineStr">
        <is>
          <t>VÄRMLANDS LÄN</t>
        </is>
      </c>
      <c r="G747" t="inlineStr">
        <is>
          <t>HAGFORS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21067-2025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45777</v>
      </c>
      <c r="E748" s="1" t="n">
        <v>46290</v>
      </c>
      <c r="F748" t="inlineStr">
        <is>
          <t>VÄRMLANDS LÄN</t>
        </is>
      </c>
      <c r="G748" t="inlineStr">
        <is>
          <t>HAGFORS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46239</v>
      </c>
      <c r="E749" s="1" t="n">
        <v>46290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38342-2026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46282</v>
      </c>
      <c r="E750" s="1" t="n">
        <v>46290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38412-2026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46282</v>
      </c>
      <c r="E751" s="1" t="n">
        <v>46290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38411-2026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46282</v>
      </c>
      <c r="E752" s="1" t="n">
        <v>46290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16.6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46290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46287</v>
      </c>
      <c r="E754" s="1" t="n">
        <v>46290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45460</v>
      </c>
      <c r="E755" s="1" t="n">
        <v>46290</v>
      </c>
      <c r="F755" t="inlineStr">
        <is>
          <t>VÄRMLANDS LÄN</t>
        </is>
      </c>
      <c r="G755" t="inlineStr">
        <is>
          <t>HAGFORS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44683</v>
      </c>
      <c r="E756" s="1" t="n">
        <v>46290</v>
      </c>
      <c r="F756" t="inlineStr">
        <is>
          <t>VÄRMLANDS LÄN</t>
        </is>
      </c>
      <c r="G756" t="inlineStr">
        <is>
          <t>HAGFORS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47425-2024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45587</v>
      </c>
      <c r="E757" s="1" t="n">
        <v>46290</v>
      </c>
      <c r="F757" t="inlineStr">
        <is>
          <t>VÄRMLANDS LÄN</t>
        </is>
      </c>
      <c r="G757" t="inlineStr">
        <is>
          <t>HAGFORS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38951-2026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46286</v>
      </c>
      <c r="E758" s="1" t="n">
        <v>46290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39186-2026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46287</v>
      </c>
      <c r="E759" s="1" t="n">
        <v>46290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7.3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40332-2023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46290</v>
      </c>
      <c r="F760" t="inlineStr">
        <is>
          <t>VÄRMLANDS LÄN</t>
        </is>
      </c>
      <c r="G760" t="inlineStr">
        <is>
          <t>HAGFORS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32712-2026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46241</v>
      </c>
      <c r="E761" s="1" t="n">
        <v>46290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46290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46290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7.5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39116-2026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46287</v>
      </c>
      <c r="E764" s="1" t="n">
        <v>46290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22799-2025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46290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46290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23268-2025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45791</v>
      </c>
      <c r="E767" s="1" t="n">
        <v>46290</v>
      </c>
      <c r="F767" t="inlineStr">
        <is>
          <t>VÄRMLANDS LÄN</t>
        </is>
      </c>
      <c r="G767" t="inlineStr">
        <is>
          <t>HAGFORS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46290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38239-2024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46290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46241</v>
      </c>
      <c r="E770" s="1" t="n">
        <v>46290</v>
      </c>
      <c r="F770" t="inlineStr">
        <is>
          <t>VÄRMLANDS LÄN</t>
        </is>
      </c>
      <c r="G770" t="inlineStr">
        <is>
          <t>HAGFORS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45790</v>
      </c>
      <c r="E771" s="1" t="n">
        <v>46290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55950-2024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45623</v>
      </c>
      <c r="E772" s="1" t="n">
        <v>46290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23556-2025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45792</v>
      </c>
      <c r="E773" s="1" t="n">
        <v>46290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23525-2025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45792</v>
      </c>
      <c r="E774" s="1" t="n">
        <v>46290</v>
      </c>
      <c r="F774" t="inlineStr">
        <is>
          <t>VÄRMLANDS LÄN</t>
        </is>
      </c>
      <c r="G774" t="inlineStr">
        <is>
          <t>HAGFORS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23674-2025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46290</v>
      </c>
      <c r="F775" t="inlineStr">
        <is>
          <t>VÄRMLANDS LÄN</t>
        </is>
      </c>
      <c r="G775" t="inlineStr">
        <is>
          <t>HAGFORS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23712-2025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45793</v>
      </c>
      <c r="E776" s="1" t="n">
        <v>46290</v>
      </c>
      <c r="F776" t="inlineStr">
        <is>
          <t>VÄRMLANDS LÄN</t>
        </is>
      </c>
      <c r="G776" t="inlineStr">
        <is>
          <t>HAGFORS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39566-2026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46289</v>
      </c>
      <c r="E777" s="1" t="n">
        <v>46290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54008-2024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46290</v>
      </c>
      <c r="F778" t="inlineStr">
        <is>
          <t>VÄRMLANDS LÄN</t>
        </is>
      </c>
      <c r="G778" t="inlineStr">
        <is>
          <t>HAGFORS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46290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39345-2026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46288</v>
      </c>
      <c r="E780" s="1" t="n">
        <v>46290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39347-2026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46288</v>
      </c>
      <c r="E781" s="1" t="n">
        <v>46290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39382-2026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46288</v>
      </c>
      <c r="E782" s="1" t="n">
        <v>46290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46290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24434-2025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46290</v>
      </c>
      <c r="F784" t="inlineStr">
        <is>
          <t>VÄRMLANDS LÄN</t>
        </is>
      </c>
      <c r="G784" t="inlineStr">
        <is>
          <t>HAGFORS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46290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46290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46290</v>
      </c>
      <c r="F787" t="inlineStr">
        <is>
          <t>VÄRMLANDS LÄN</t>
        </is>
      </c>
      <c r="G787" t="inlineStr">
        <is>
          <t>HAGFORS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46290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39577-2026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46289</v>
      </c>
      <c r="E789" s="1" t="n">
        <v>46290</v>
      </c>
      <c r="F789" t="inlineStr">
        <is>
          <t>VÄRMLANDS LÄN</t>
        </is>
      </c>
      <c r="G789" t="inlineStr">
        <is>
          <t>HAGFORS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24895-2025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45799</v>
      </c>
      <c r="E790" s="1" t="n">
        <v>46290</v>
      </c>
      <c r="F790" t="inlineStr">
        <is>
          <t>VÄRMLANDS LÄN</t>
        </is>
      </c>
      <c r="G790" t="inlineStr">
        <is>
          <t>HAGFORS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24793-2025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45799</v>
      </c>
      <c r="E791" s="1" t="n">
        <v>46290</v>
      </c>
      <c r="F791" t="inlineStr">
        <is>
          <t>VÄRMLANDS LÄN</t>
        </is>
      </c>
      <c r="G791" t="inlineStr">
        <is>
          <t>HAGFORS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25031-2025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45799</v>
      </c>
      <c r="E792" s="1" t="n">
        <v>46290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39605-2026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46289</v>
      </c>
      <c r="E793" s="1" t="n">
        <v>46290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33073-2026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46245</v>
      </c>
      <c r="E794" s="1" t="n">
        <v>46290</v>
      </c>
      <c r="F794" t="inlineStr">
        <is>
          <t>VÄRMLANDS LÄN</t>
        </is>
      </c>
      <c r="G794" t="inlineStr">
        <is>
          <t>HAGFORS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33823-2025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45842</v>
      </c>
      <c r="E795" s="1" t="n">
        <v>46290</v>
      </c>
      <c r="F795" t="inlineStr">
        <is>
          <t>VÄRMLANDS LÄN</t>
        </is>
      </c>
      <c r="G795" t="inlineStr">
        <is>
          <t>HAGFORS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26463-2025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45807</v>
      </c>
      <c r="E796" s="1" t="n">
        <v>46290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45754</v>
      </c>
      <c r="E797" s="1" t="n">
        <v>46290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45546</v>
      </c>
      <c r="E798" s="1" t="n">
        <v>46290</v>
      </c>
      <c r="F798" t="inlineStr">
        <is>
          <t>VÄRMLANDS LÄN</t>
        </is>
      </c>
      <c r="G798" t="inlineStr">
        <is>
          <t>HAGFORS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27071-2025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46290</v>
      </c>
      <c r="F799" t="inlineStr">
        <is>
          <t>VÄRMLANDS LÄN</t>
        </is>
      </c>
      <c r="G799" t="inlineStr">
        <is>
          <t>HAGFORS</t>
        </is>
      </c>
      <c r="I799" t="n">
        <v>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52383-2024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45608</v>
      </c>
      <c r="E800" s="1" t="n">
        <v>46290</v>
      </c>
      <c r="F800" t="inlineStr">
        <is>
          <t>VÄRMLANDS LÄN</t>
        </is>
      </c>
      <c r="G800" t="inlineStr">
        <is>
          <t>HAGFORS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26617-2025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45810</v>
      </c>
      <c r="E801" s="1" t="n">
        <v>46290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26980-2025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45811</v>
      </c>
      <c r="E802" s="1" t="n">
        <v>46290</v>
      </c>
      <c r="F802" t="inlineStr">
        <is>
          <t>VÄRMLANDS LÄN</t>
        </is>
      </c>
      <c r="G802" t="inlineStr">
        <is>
          <t>HAGFORS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26982-2025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45811</v>
      </c>
      <c r="E803" s="1" t="n">
        <v>46290</v>
      </c>
      <c r="F803" t="inlineStr">
        <is>
          <t>VÄRMLANDS LÄN</t>
        </is>
      </c>
      <c r="G803" t="inlineStr">
        <is>
          <t>HAGFORS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27263-2025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45812</v>
      </c>
      <c r="E804" s="1" t="n">
        <v>46290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27229-2025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45812</v>
      </c>
      <c r="E805" s="1" t="n">
        <v>46290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27319-2025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46290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46290</v>
      </c>
      <c r="F807" t="inlineStr">
        <is>
          <t>VÄRMLANDS LÄN</t>
        </is>
      </c>
      <c r="G807" t="inlineStr">
        <is>
          <t>HAGFORS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45812</v>
      </c>
      <c r="E808" s="1" t="n">
        <v>46290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45812</v>
      </c>
      <c r="E809" s="1" t="n">
        <v>46290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50922-2023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45211</v>
      </c>
      <c r="E810" s="1" t="n">
        <v>46290</v>
      </c>
      <c r="F810" t="inlineStr">
        <is>
          <t>VÄRMLANDS LÄN</t>
        </is>
      </c>
      <c r="G810" t="inlineStr">
        <is>
          <t>HAGFORS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28437-2025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45819</v>
      </c>
      <c r="E811" s="1" t="n">
        <v>46290</v>
      </c>
      <c r="F811" t="inlineStr">
        <is>
          <t>VÄRMLANDS LÄN</t>
        </is>
      </c>
      <c r="G811" t="inlineStr">
        <is>
          <t>HAGFORS</t>
        </is>
      </c>
      <c r="H811" t="inlineStr">
        <is>
          <t>Kyrkan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28309-2025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45818</v>
      </c>
      <c r="E812" s="1" t="n">
        <v>46290</v>
      </c>
      <c r="F812" t="inlineStr">
        <is>
          <t>VÄRMLANDS LÄN</t>
        </is>
      </c>
      <c r="G812" t="inlineStr">
        <is>
          <t>HAGFORS</t>
        </is>
      </c>
      <c r="H812" t="inlineStr">
        <is>
          <t>Kyrkan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29149-2025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45821</v>
      </c>
      <c r="E813" s="1" t="n">
        <v>46290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29115-2025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45821</v>
      </c>
      <c r="E814" s="1" t="n">
        <v>46290</v>
      </c>
      <c r="F814" t="inlineStr">
        <is>
          <t>VÄRMLANDS LÄN</t>
        </is>
      </c>
      <c r="G814" t="inlineStr">
        <is>
          <t>HAGFORS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30124-2025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45826</v>
      </c>
      <c r="E815" s="1" t="n">
        <v>46290</v>
      </c>
      <c r="F815" t="inlineStr">
        <is>
          <t>VÄRMLANDS LÄN</t>
        </is>
      </c>
      <c r="G815" t="inlineStr">
        <is>
          <t>HAGFORS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29949-2025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45826</v>
      </c>
      <c r="E816" s="1" t="n">
        <v>46290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29958-2025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45826</v>
      </c>
      <c r="E817" s="1" t="n">
        <v>46290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30778-2025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45831</v>
      </c>
      <c r="E818" s="1" t="n">
        <v>46290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45841</v>
      </c>
      <c r="E819" s="1" t="n">
        <v>46290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33440-2025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45841</v>
      </c>
      <c r="E820" s="1" t="n">
        <v>46290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33454-2025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45841</v>
      </c>
      <c r="E821" s="1" t="n">
        <v>46290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45845</v>
      </c>
      <c r="E822" s="1" t="n">
        <v>46290</v>
      </c>
      <c r="F822" t="inlineStr">
        <is>
          <t>VÄRMLANDS LÄN</t>
        </is>
      </c>
      <c r="G822" t="inlineStr">
        <is>
          <t>HAGFORS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34133-2025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46290</v>
      </c>
      <c r="F823" t="inlineStr">
        <is>
          <t>VÄRMLANDS LÄN</t>
        </is>
      </c>
      <c r="G823" t="inlineStr">
        <is>
          <t>HAGFORS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46290</v>
      </c>
      <c r="F824" t="inlineStr">
        <is>
          <t>VÄRMLANDS LÄN</t>
        </is>
      </c>
      <c r="G824" t="inlineStr">
        <is>
          <t>HAGFORS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19515-2025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45770</v>
      </c>
      <c r="E825" s="1" t="n">
        <v>46290</v>
      </c>
      <c r="F825" t="inlineStr">
        <is>
          <t>VÄRMLANDS LÄN</t>
        </is>
      </c>
      <c r="G825" t="inlineStr">
        <is>
          <t>HAGFORS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42801-2024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45565</v>
      </c>
      <c r="E826" s="1" t="n">
        <v>46290</v>
      </c>
      <c r="F826" t="inlineStr">
        <is>
          <t>VÄRMLANDS LÄN</t>
        </is>
      </c>
      <c r="G826" t="inlineStr">
        <is>
          <t>HAGFORS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21954-2025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45784</v>
      </c>
      <c r="E827" s="1" t="n">
        <v>46290</v>
      </c>
      <c r="F827" t="inlineStr">
        <is>
          <t>VÄRMLANDS LÄN</t>
        </is>
      </c>
      <c r="G827" t="inlineStr">
        <is>
          <t>HAGFORS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35312-2025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45854</v>
      </c>
      <c r="E828" s="1" t="n">
        <v>46290</v>
      </c>
      <c r="F828" t="inlineStr">
        <is>
          <t>VÄRMLANDS LÄN</t>
        </is>
      </c>
      <c r="G828" t="inlineStr">
        <is>
          <t>HAGFORS</t>
        </is>
      </c>
      <c r="H828" t="inlineStr">
        <is>
          <t>Kyrkan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35289-2025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45854</v>
      </c>
      <c r="E829" s="1" t="n">
        <v>46290</v>
      </c>
      <c r="F829" t="inlineStr">
        <is>
          <t>VÄRMLANDS LÄN</t>
        </is>
      </c>
      <c r="G829" t="inlineStr">
        <is>
          <t>HAGFORS</t>
        </is>
      </c>
      <c r="H829" t="inlineStr">
        <is>
          <t>Kyrkan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23813-2025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45793</v>
      </c>
      <c r="E830" s="1" t="n">
        <v>46290</v>
      </c>
      <c r="F830" t="inlineStr">
        <is>
          <t>VÄRMLANDS LÄN</t>
        </is>
      </c>
      <c r="G830" t="inlineStr">
        <is>
          <t>HAGFORS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2225-2020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44127</v>
      </c>
      <c r="E831" s="1" t="n">
        <v>46290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2050-2022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44671</v>
      </c>
      <c r="E832" s="1" t="n">
        <v>46290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4419-2023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46290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35.6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4420-2023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45266</v>
      </c>
      <c r="E834" s="1" t="n">
        <v>46290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937-2022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44606</v>
      </c>
      <c r="E835" s="1" t="n">
        <v>46290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59.4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4426-2023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45266</v>
      </c>
      <c r="E836" s="1" t="n">
        <v>46290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9.699999999999999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5512-2022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44834</v>
      </c>
      <c r="E837" s="1" t="n">
        <v>46290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29.9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931-2022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44606</v>
      </c>
      <c r="E838" s="1" t="n">
        <v>46290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49.5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4415-2023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46290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9.199999999999999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262-2022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44578</v>
      </c>
      <c r="E840" s="1" t="n">
        <v>46290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78.90000000000001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6970-2022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44901</v>
      </c>
      <c r="E841" s="1" t="n">
        <v>46290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29.3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4408-2023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45266</v>
      </c>
      <c r="E842" s="1" t="n">
        <v>46290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13.7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6968-2022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44901</v>
      </c>
      <c r="E843" s="1" t="n">
        <v>46290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19.3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4423-2023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45266</v>
      </c>
      <c r="E844" s="1" t="n">
        <v>46290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4418-2023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45266</v>
      </c>
      <c r="E845" s="1" t="n">
        <v>46290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19.1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907-2022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44606</v>
      </c>
      <c r="E846" s="1" t="n">
        <v>46290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43.5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651-2024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45356</v>
      </c>
      <c r="E847" s="1" t="n">
        <v>46290</v>
      </c>
      <c r="F847" t="inlineStr">
        <is>
          <t>VÄRMLANDS LÄN</t>
        </is>
      </c>
      <c r="G847" t="inlineStr">
        <is>
          <t>HAGFORS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913-2022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44606</v>
      </c>
      <c r="E848" s="1" t="n">
        <v>46290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22.4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4145-2023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45247</v>
      </c>
      <c r="E849" s="1" t="n">
        <v>46290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26.1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6967-2022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44901</v>
      </c>
      <c r="E850" s="1" t="n">
        <v>46290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27.1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89-2025</t>
        </is>
      </c>
      <c r="B851" t="inlineStr">
        <is>
          <t>samrådsanmälan</t>
        </is>
      </c>
      <c r="C851" t="inlineStr">
        <is>
          <t>Åtgärd i nyckelbiotop</t>
        </is>
      </c>
      <c r="D851" s="1" t="n">
        <v>45316</v>
      </c>
      <c r="E851" s="1" t="n">
        <v>46290</v>
      </c>
      <c r="F851" t="inlineStr">
        <is>
          <t>VÄRMLANDS LÄN</t>
        </is>
      </c>
      <c r="G851" t="inlineStr">
        <is>
          <t>HAGFORS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6969-2022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44901</v>
      </c>
      <c r="E852" s="1" t="n">
        <v>46290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220-2025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45680</v>
      </c>
      <c r="E853" s="1" t="n">
        <v>46290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23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898-2022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44606</v>
      </c>
      <c r="E854" s="1" t="n">
        <v>46290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4150-2023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45247</v>
      </c>
      <c r="E855" s="1" t="n">
        <v>46290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34.4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4410-2023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45266</v>
      </c>
      <c r="E856" s="1" t="n">
        <v>46290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39.3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900-2022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44606</v>
      </c>
      <c r="E857" s="1" t="n">
        <v>46290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27.3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914-2022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44606</v>
      </c>
      <c r="E858" s="1" t="n">
        <v>46290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19.3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4409-2023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45266</v>
      </c>
      <c r="E859" s="1" t="n">
        <v>46290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4155-2023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45247</v>
      </c>
      <c r="E860" s="1" t="n">
        <v>46290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40.9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4140-2023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45247</v>
      </c>
      <c r="E861" s="1" t="n">
        <v>46290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36.5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6977-2022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44901</v>
      </c>
      <c r="E862" s="1" t="n">
        <v>46290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6973-2022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44901</v>
      </c>
      <c r="E863" s="1" t="n">
        <v>46290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30.1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4143-2023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45247</v>
      </c>
      <c r="E864" s="1" t="n">
        <v>46290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13.2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4407-2023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45266</v>
      </c>
      <c r="E865" s="1" t="n">
        <v>46290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12.1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6965-2022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44901</v>
      </c>
      <c r="E866" s="1" t="n">
        <v>46290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662-2025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45716</v>
      </c>
      <c r="E867" s="1" t="n">
        <v>46290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52.4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108-2026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46037</v>
      </c>
      <c r="E868" s="1" t="n">
        <v>46290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204.4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46036</v>
      </c>
      <c r="E869" s="1" t="n">
        <v>46290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57.9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46013</v>
      </c>
      <c r="E870" s="1" t="n">
        <v>46290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382-2025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45691</v>
      </c>
      <c r="E871" s="1" t="n">
        <v>46290</v>
      </c>
      <c r="F871" t="inlineStr">
        <is>
          <t>VÄRMLANDS LÄN</t>
        </is>
      </c>
      <c r="G871" t="inlineStr">
        <is>
          <t>HAGFORS</t>
        </is>
      </c>
      <c r="I871" t="n">
        <v>5.8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2026-09-25T02:02:24Z</dcterms:created>
  <dcterms:modified xmlns:dcterms="http://purl.org/dc/terms/" xmlns:xsi="http://www.w3.org/2001/XMLSchema-instance" xsi:type="dcterms:W3CDTF">2026-09-25T02:02:25Z</dcterms:modified>
</cp:coreProperties>
</file>