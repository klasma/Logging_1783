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46251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46251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46251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46251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46251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46251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46251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46251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46251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46251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45073-2021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46251</v>
      </c>
      <c r="F23" t="inlineStr">
        <is>
          <t>VÄRMLANDS LÄN</t>
        </is>
      </c>
      <c r="G23" t="inlineStr">
        <is>
          <t>HAGFORS</t>
        </is>
      </c>
      <c r="H23" t="inlineStr">
        <is>
          <t>Kyrkan</t>
        </is>
      </c>
      <c r="I23" t="n">
        <v>0.6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4</v>
      </c>
      <c r="V23" s="2" t="inlineStr">
        <is>
          <t>Garnlav
Vedticka</t>
        </is>
      </c>
      <c r="W23">
        <f>HYPERLINK("https://klasma.github.io/Logging_1783/artfynd/A 45073-2021 artfynd.xlsx", "A 45073-2021")</f>
        <v/>
      </c>
      <c r="X23">
        <f>HYPERLINK("https://klasma.github.io/Logging_1783/kartor/A 45073-2021 karta.png", "A 45073-2021")</f>
        <v/>
      </c>
      <c r="Y23">
        <f>HYPERLINK("https://klasma.github.io/Logging_1783/kartor_geotiff/A 45073-2021 georefererad karta.tif", "A 45073-2021")</f>
        <v/>
      </c>
      <c r="AA23">
        <f>HYPERLINK("https://klasma.github.io/Logging_1783/klagomål/A 45073-2021 FSC-klagomål.docx", "A 45073-2021")</f>
        <v/>
      </c>
      <c r="AB23">
        <f>HYPERLINK("https://klasma.github.io/Logging_1783/klagomålsmail/A 45073-2021 FSC-klagomål mail.docx", "A 45073-2021")</f>
        <v/>
      </c>
      <c r="AC23">
        <f>HYPERLINK("https://klasma.github.io/Logging_1783/tillsyn/A 45073-2021 tillsynsbegäran.docx", "A 45073-2021")</f>
        <v/>
      </c>
      <c r="AD23">
        <f>HYPERLINK("https://klasma.github.io/Logging_1783/tillsynsmail/A 45073-2021 tillsynsbegäran mail.docx", "A 45073-2021")</f>
        <v/>
      </c>
    </row>
    <row r="24" ht="15" customHeight="1">
      <c r="A24" t="inlineStr">
        <is>
          <t>A 35908-2022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46251</v>
      </c>
      <c r="F24" t="inlineStr">
        <is>
          <t>VÄRMLANDS LÄN</t>
        </is>
      </c>
      <c r="G24" t="inlineStr">
        <is>
          <t>HAGFORS</t>
        </is>
      </c>
      <c r="I24" t="n">
        <v>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Aspgelélav
Bårdlav</t>
        </is>
      </c>
      <c r="W24">
        <f>HYPERLINK("https://klasma.github.io/Logging_1783/artfynd/A 35908-2022 artfynd.xlsx", "A 35908-2022")</f>
        <v/>
      </c>
      <c r="X24">
        <f>HYPERLINK("https://klasma.github.io/Logging_1783/kartor/A 35908-2022 karta.png", "A 35908-2022")</f>
        <v/>
      </c>
      <c r="Y24">
        <f>HYPERLINK("https://klasma.github.io/Logging_1783/kartor_geotiff/A 35908-2022 georefererad karta.tif", "A 35908-2022")</f>
        <v/>
      </c>
      <c r="AA24">
        <f>HYPERLINK("https://klasma.github.io/Logging_1783/klagomål/A 35908-2022 FSC-klagomål.docx", "A 35908-2022")</f>
        <v/>
      </c>
      <c r="AB24">
        <f>HYPERLINK("https://klasma.github.io/Logging_1783/klagomålsmail/A 35908-2022 FSC-klagomål mail.docx", "A 35908-2022")</f>
        <v/>
      </c>
      <c r="AC24">
        <f>HYPERLINK("https://klasma.github.io/Logging_1783/tillsyn/A 35908-2022 tillsynsbegäran.docx", "A 35908-2022")</f>
        <v/>
      </c>
      <c r="AD24">
        <f>HYPERLINK("https://klasma.github.io/Logging_1783/tillsynsmail/A 35908-2022 tillsynsbegäran mail.docx", "A 35908-2022")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46251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46251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46251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46251</v>
      </c>
      <c r="F28" t="inlineStr">
        <is>
          <t>VÄRMLANDS LÄN</t>
        </is>
      </c>
      <c r="G28" t="inlineStr">
        <is>
          <t>HAGFORS</t>
        </is>
      </c>
      <c r="I28" t="n">
        <v>35.1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Dvärgbägarlav
Vedskivlav</t>
        </is>
      </c>
      <c r="W28">
        <f>HYPERLINK("https://klasma.github.io/Logging_1783/artfynd/A 656-2022 artfynd.xlsx", "A 656-2022")</f>
        <v/>
      </c>
      <c r="X28">
        <f>HYPERLINK("https://klasma.github.io/Logging_1783/kartor/A 656-2022 karta.png", "A 656-2022")</f>
        <v/>
      </c>
      <c r="Y28">
        <f>HYPERLINK("https://klasma.github.io/Logging_1783/kartor_geotiff/A 656-2022 georefererad karta.tif", "A 656-2022")</f>
        <v/>
      </c>
      <c r="AA28">
        <f>HYPERLINK("https://klasma.github.io/Logging_1783/klagomål/A 656-2022 FSC-klagomål.docx", "A 656-2022")</f>
        <v/>
      </c>
      <c r="AB28">
        <f>HYPERLINK("https://klasma.github.io/Logging_1783/klagomålsmail/A 656-2022 FSC-klagomål mail.docx", "A 656-2022")</f>
        <v/>
      </c>
      <c r="AC28">
        <f>HYPERLINK("https://klasma.github.io/Logging_1783/tillsyn/A 656-2022 tillsynsbegäran.docx", "A 656-2022")</f>
        <v/>
      </c>
      <c r="AD28">
        <f>HYPERLINK("https://klasma.github.io/Logging_1783/tillsynsmail/A 656-2022 tillsynsbegäran mail.docx", "A 656-2022")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46251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46251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46251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46251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15219-2025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46251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15.8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Borsttagging</t>
        </is>
      </c>
      <c r="W33">
        <f>HYPERLINK("https://klasma.github.io/Logging_1783/artfynd/A 15219-2025 artfynd.xlsx", "A 15219-2025")</f>
        <v/>
      </c>
      <c r="X33">
        <f>HYPERLINK("https://klasma.github.io/Logging_1783/kartor/A 15219-2025 karta.png", "A 15219-2025")</f>
        <v/>
      </c>
      <c r="Y33">
        <f>HYPERLINK("https://klasma.github.io/Logging_1783/kartor_geotiff/A 15219-2025 georefererad karta.tif", "A 15219-2025")</f>
        <v/>
      </c>
      <c r="AA33">
        <f>HYPERLINK("https://klasma.github.io/Logging_1783/klagomål/A 15219-2025 FSC-klagomål.docx", "A 15219-2025")</f>
        <v/>
      </c>
      <c r="AB33">
        <f>HYPERLINK("https://klasma.github.io/Logging_1783/klagomålsmail/A 15219-2025 FSC-klagomål mail.docx", "A 15219-2025")</f>
        <v/>
      </c>
      <c r="AC33">
        <f>HYPERLINK("https://klasma.github.io/Logging_1783/tillsyn/A 15219-2025 tillsynsbegäran.docx", "A 15219-2025")</f>
        <v/>
      </c>
      <c r="AD33">
        <f>HYPERLINK("https://klasma.github.io/Logging_1783/tillsynsmail/A 15219-2025 tillsynsbegäran mail.docx", "A 15219-2025")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46251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46251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46251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12445-2026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46251</v>
      </c>
      <c r="F37" t="inlineStr">
        <is>
          <t>VÄRMLANDS LÄN</t>
        </is>
      </c>
      <c r="G37" t="inlineStr">
        <is>
          <t>HAGFORS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12445-2026 artfynd.xlsx", "A 12445-2026")</f>
        <v/>
      </c>
      <c r="X37">
        <f>HYPERLINK("https://klasma.github.io/Logging_1783/kartor/A 12445-2026 karta.png", "A 12445-2026")</f>
        <v/>
      </c>
      <c r="Y37">
        <f>HYPERLINK("https://klasma.github.io/Logging_1783/kartor_geotiff/A 12445-2026 georefererad karta.tif", "A 12445-2026")</f>
        <v/>
      </c>
      <c r="AA37">
        <f>HYPERLINK("https://klasma.github.io/Logging_1783/klagomål/A 12445-2026 FSC-klagomål.docx", "A 12445-2026")</f>
        <v/>
      </c>
      <c r="AB37">
        <f>HYPERLINK("https://klasma.github.io/Logging_1783/klagomålsmail/A 12445-2026 FSC-klagomål mail.docx", "A 12445-2026")</f>
        <v/>
      </c>
      <c r="AC37">
        <f>HYPERLINK("https://klasma.github.io/Logging_1783/tillsyn/A 12445-2026 tillsynsbegäran.docx", "A 12445-2026")</f>
        <v/>
      </c>
      <c r="AD37">
        <f>HYPERLINK("https://klasma.github.io/Logging_1783/tillsynsmail/A 12445-2026 tillsynsbegäran mail.docx", "A 12445-2026")</f>
        <v/>
      </c>
      <c r="AE37">
        <f>HYPERLINK("https://klasma.github.io/Logging_1783/fåglar/A 12445-2026 prioriterade fågelarter.docx", "A 12445-2026")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46251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46251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46251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19362-2026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46133</v>
      </c>
      <c r="E41" s="1" t="n">
        <v>46251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19362-2026 artfynd.xlsx", "A 19362-2026")</f>
        <v/>
      </c>
      <c r="X41">
        <f>HYPERLINK("https://klasma.github.io/Logging_1783/kartor/A 19362-2026 karta.png", "A 19362-2026")</f>
        <v/>
      </c>
      <c r="Y41">
        <f>HYPERLINK("https://klasma.github.io/Logging_1783/kartor_geotiff/A 19362-2026 georefererad karta.tif", "A 19362-2026")</f>
        <v/>
      </c>
      <c r="AA41">
        <f>HYPERLINK("https://klasma.github.io/Logging_1783/klagomål/A 19362-2026 FSC-klagomål.docx", "A 19362-2026")</f>
        <v/>
      </c>
      <c r="AB41">
        <f>HYPERLINK("https://klasma.github.io/Logging_1783/klagomålsmail/A 19362-2026 FSC-klagomål mail.docx", "A 19362-2026")</f>
        <v/>
      </c>
      <c r="AC41">
        <f>HYPERLINK("https://klasma.github.io/Logging_1783/tillsyn/A 19362-2026 tillsynsbegäran.docx", "A 19362-2026")</f>
        <v/>
      </c>
      <c r="AD41">
        <f>HYPERLINK("https://klasma.github.io/Logging_1783/tillsynsmail/A 19362-2026 tillsynsbegäran mail.docx", "A 19362-2026")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46251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16319-2023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45028</v>
      </c>
      <c r="E43" s="1" t="n">
        <v>46251</v>
      </c>
      <c r="F43" t="inlineStr">
        <is>
          <t>VÄRMLANDS LÄN</t>
        </is>
      </c>
      <c r="G43" t="inlineStr">
        <is>
          <t>HAGFORS</t>
        </is>
      </c>
      <c r="I43" t="n">
        <v>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HYPERLINK("https://klasma.github.io/Logging_1783/artfynd/A 16319-2023 artfynd.xlsx", "A 16319-2023")</f>
        <v/>
      </c>
      <c r="X43">
        <f>HYPERLINK("https://klasma.github.io/Logging_1783/kartor/A 16319-2023 karta.png", "A 16319-2023")</f>
        <v/>
      </c>
      <c r="Y43">
        <f>HYPERLINK("https://klasma.github.io/Logging_1783/kartor_geotiff/A 16319-2023 georefererad karta.tif", "A 16319-2023")</f>
        <v/>
      </c>
      <c r="AA43">
        <f>HYPERLINK("https://klasma.github.io/Logging_1783/klagomål/A 16319-2023 FSC-klagomål.docx", "A 16319-2023")</f>
        <v/>
      </c>
      <c r="AB43">
        <f>HYPERLINK("https://klasma.github.io/Logging_1783/klagomålsmail/A 16319-2023 FSC-klagomål mail.docx", "A 16319-2023")</f>
        <v/>
      </c>
      <c r="AC43">
        <f>HYPERLINK("https://klasma.github.io/Logging_1783/tillsyn/A 16319-2023 tillsynsbegäran.docx", "A 16319-2023")</f>
        <v/>
      </c>
      <c r="AD43">
        <f>HYPERLINK("https://klasma.github.io/Logging_1783/tillsynsmail/A 16319-2023 tillsynsbegäran mail.docx", "A 16319-2023")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46251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34158-2025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45845</v>
      </c>
      <c r="E45" s="1" t="n">
        <v>46251</v>
      </c>
      <c r="F45" t="inlineStr">
        <is>
          <t>VÄRMLANDS LÄN</t>
        </is>
      </c>
      <c r="G45" t="inlineStr">
        <is>
          <t>HAGFORS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Korallblylav</t>
        </is>
      </c>
      <c r="W45">
        <f>HYPERLINK("https://klasma.github.io/Logging_1783/artfynd/A 34158-2025 artfynd.xlsx", "A 34158-2025")</f>
        <v/>
      </c>
      <c r="X45">
        <f>HYPERLINK("https://klasma.github.io/Logging_1783/kartor/A 34158-2025 karta.png", "A 34158-2025")</f>
        <v/>
      </c>
      <c r="Y45">
        <f>HYPERLINK("https://klasma.github.io/Logging_1783/kartor_geotiff/A 34158-2025 georefererad karta.tif", "A 34158-2025")</f>
        <v/>
      </c>
      <c r="AA45">
        <f>HYPERLINK("https://klasma.github.io/Logging_1783/klagomål/A 34158-2025 FSC-klagomål.docx", "A 34158-2025")</f>
        <v/>
      </c>
      <c r="AB45">
        <f>HYPERLINK("https://klasma.github.io/Logging_1783/klagomålsmail/A 34158-2025 FSC-klagomål mail.docx", "A 34158-2025")</f>
        <v/>
      </c>
      <c r="AC45">
        <f>HYPERLINK("https://klasma.github.io/Logging_1783/tillsyn/A 34158-2025 tillsynsbegäran.docx", "A 34158-2025")</f>
        <v/>
      </c>
      <c r="AD45">
        <f>HYPERLINK("https://klasma.github.io/Logging_1783/tillsynsmail/A 34158-2025 tillsynsbegäran mail.docx", "A 34158-2025")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46251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22484-2025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45786</v>
      </c>
      <c r="E47" s="1" t="n">
        <v>46251</v>
      </c>
      <c r="F47" t="inlineStr">
        <is>
          <t>VÄRMLANDS LÄN</t>
        </is>
      </c>
      <c r="G47" t="inlineStr">
        <is>
          <t>HAGFORS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HYPERLINK("https://klasma.github.io/Logging_1783/artfynd/A 22484-2025 artfynd.xlsx", "A 22484-2025")</f>
        <v/>
      </c>
      <c r="X47">
        <f>HYPERLINK("https://klasma.github.io/Logging_1783/kartor/A 22484-2025 karta.png", "A 22484-2025")</f>
        <v/>
      </c>
      <c r="Y47">
        <f>HYPERLINK("https://klasma.github.io/Logging_1783/kartor_geotiff/A 22484-2025 georefererad karta.tif", "A 22484-2025")</f>
        <v/>
      </c>
      <c r="AA47">
        <f>HYPERLINK("https://klasma.github.io/Logging_1783/klagomål/A 22484-2025 FSC-klagomål.docx", "A 22484-2025")</f>
        <v/>
      </c>
      <c r="AB47">
        <f>HYPERLINK("https://klasma.github.io/Logging_1783/klagomålsmail/A 22484-2025 FSC-klagomål mail.docx", "A 22484-2025")</f>
        <v/>
      </c>
      <c r="AC47">
        <f>HYPERLINK("https://klasma.github.io/Logging_1783/tillsyn/A 22484-2025 tillsynsbegäran.docx", "A 22484-2025")</f>
        <v/>
      </c>
      <c r="AD47">
        <f>HYPERLINK("https://klasma.github.io/Logging_1783/tillsynsmail/A 22484-2025 tillsynsbegäran mail.docx", "A 22484-2025")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46251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46251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24885-2025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46251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Mörk husmossa</t>
        </is>
      </c>
      <c r="W50">
        <f>HYPERLINK("https://klasma.github.io/Logging_1783/artfynd/A 24885-2025 artfynd.xlsx", "A 24885-2025")</f>
        <v/>
      </c>
      <c r="X50">
        <f>HYPERLINK("https://klasma.github.io/Logging_1783/kartor/A 24885-2025 karta.png", "A 24885-2025")</f>
        <v/>
      </c>
      <c r="Y50">
        <f>HYPERLINK("https://klasma.github.io/Logging_1783/kartor_geotiff/A 24885-2025 georefererad karta.tif", "A 24885-2025")</f>
        <v/>
      </c>
      <c r="AA50">
        <f>HYPERLINK("https://klasma.github.io/Logging_1783/klagomål/A 24885-2025 FSC-klagomål.docx", "A 24885-2025")</f>
        <v/>
      </c>
      <c r="AB50">
        <f>HYPERLINK("https://klasma.github.io/Logging_1783/klagomålsmail/A 24885-2025 FSC-klagomål mail.docx", "A 24885-2025")</f>
        <v/>
      </c>
      <c r="AC50">
        <f>HYPERLINK("https://klasma.github.io/Logging_1783/tillsyn/A 24885-2025 tillsynsbegäran.docx", "A 24885-2025")</f>
        <v/>
      </c>
      <c r="AD50">
        <f>HYPERLINK("https://klasma.github.io/Logging_1783/tillsynsmail/A 24885-2025 tillsynsbegäran mail.docx", "A 24885-2025")</f>
        <v/>
      </c>
    </row>
    <row r="51" ht="15" customHeight="1">
      <c r="A51" t="inlineStr">
        <is>
          <t>A 26624-2025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45810</v>
      </c>
      <c r="E51" s="1" t="n">
        <v>46251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HYPERLINK("https://klasma.github.io/Logging_1783/artfynd/A 26624-2025 artfynd.xlsx", "A 26624-2025")</f>
        <v/>
      </c>
      <c r="X51">
        <f>HYPERLINK("https://klasma.github.io/Logging_1783/kartor/A 26624-2025 karta.png", "A 26624-2025")</f>
        <v/>
      </c>
      <c r="Y51">
        <f>HYPERLINK("https://klasma.github.io/Logging_1783/kartor_geotiff/A 26624-2025 georefererad karta.tif", "A 26624-2025")</f>
        <v/>
      </c>
      <c r="AA51">
        <f>HYPERLINK("https://klasma.github.io/Logging_1783/klagomål/A 26624-2025 FSC-klagomål.docx", "A 26624-2025")</f>
        <v/>
      </c>
      <c r="AB51">
        <f>HYPERLINK("https://klasma.github.io/Logging_1783/klagomålsmail/A 26624-2025 FSC-klagomål mail.docx", "A 26624-2025")</f>
        <v/>
      </c>
      <c r="AC51">
        <f>HYPERLINK("https://klasma.github.io/Logging_1783/tillsyn/A 26624-2025 tillsynsbegäran.docx", "A 26624-2025")</f>
        <v/>
      </c>
      <c r="AD51">
        <f>HYPERLINK("https://klasma.github.io/Logging_1783/tillsynsmail/A 26624-2025 tillsynsbegäran mail.docx", "A 26624-2025")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46251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30524-2022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44762</v>
      </c>
      <c r="E53" s="1" t="n">
        <v>46251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Kolflarnlav</t>
        </is>
      </c>
      <c r="W53">
        <f>HYPERLINK("https://klasma.github.io/Logging_1783/artfynd/A 30524-2022 artfynd.xlsx", "A 30524-2022")</f>
        <v/>
      </c>
      <c r="X53">
        <f>HYPERLINK("https://klasma.github.io/Logging_1783/kartor/A 30524-2022 karta.png", "A 30524-2022")</f>
        <v/>
      </c>
      <c r="Y53">
        <f>HYPERLINK("https://klasma.github.io/Logging_1783/kartor_geotiff/A 30524-2022 georefererad karta.tif", "A 30524-2022")</f>
        <v/>
      </c>
      <c r="AA53">
        <f>HYPERLINK("https://klasma.github.io/Logging_1783/klagomål/A 30524-2022 FSC-klagomål.docx", "A 30524-2022")</f>
        <v/>
      </c>
      <c r="AB53">
        <f>HYPERLINK("https://klasma.github.io/Logging_1783/klagomålsmail/A 30524-2022 FSC-klagomål mail.docx", "A 30524-2022")</f>
        <v/>
      </c>
      <c r="AC53">
        <f>HYPERLINK("https://klasma.github.io/Logging_1783/tillsyn/A 30524-2022 tillsynsbegäran.docx", "A 30524-2022")</f>
        <v/>
      </c>
      <c r="AD53">
        <f>HYPERLINK("https://klasma.github.io/Logging_1783/tillsynsmail/A 30524-2022 tillsynsbegäran mail.docx", "A 30524-2022")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46251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44095-2023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46251</v>
      </c>
      <c r="F55" t="inlineStr">
        <is>
          <t>VÄRMLANDS LÄN</t>
        </is>
      </c>
      <c r="G55" t="inlineStr">
        <is>
          <t>HAGFORS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44095-2023 artfynd.xlsx", "A 44095-2023")</f>
        <v/>
      </c>
      <c r="X55">
        <f>HYPERLINK("https://klasma.github.io/Logging_1783/kartor/A 44095-2023 karta.png", "A 44095-2023")</f>
        <v/>
      </c>
      <c r="Y55">
        <f>HYPERLINK("https://klasma.github.io/Logging_1783/kartor_geotiff/A 44095-2023 georefererad karta.tif", "A 44095-2023")</f>
        <v/>
      </c>
      <c r="AA55">
        <f>HYPERLINK("https://klasma.github.io/Logging_1783/klagomål/A 44095-2023 FSC-klagomål.docx", "A 44095-2023")</f>
        <v/>
      </c>
      <c r="AB55">
        <f>HYPERLINK("https://klasma.github.io/Logging_1783/klagomålsmail/A 44095-2023 FSC-klagomål mail.docx", "A 44095-2023")</f>
        <v/>
      </c>
      <c r="AC55">
        <f>HYPERLINK("https://klasma.github.io/Logging_1783/tillsyn/A 44095-2023 tillsynsbegäran.docx", "A 44095-2023")</f>
        <v/>
      </c>
      <c r="AD55">
        <f>HYPERLINK("https://klasma.github.io/Logging_1783/tillsynsmail/A 44095-2023 tillsynsbegäran mail.docx", "A 44095-2023")</f>
        <v/>
      </c>
    </row>
    <row r="56" ht="15" customHeight="1">
      <c r="A56" t="inlineStr">
        <is>
          <t>A 33848-2025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46251</v>
      </c>
      <c r="F56" t="inlineStr">
        <is>
          <t>VÄRMLANDS LÄN</t>
        </is>
      </c>
      <c r="G56" t="inlineStr">
        <is>
          <t>HAGFORS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33848-2025 artfynd.xlsx", "A 33848-2025")</f>
        <v/>
      </c>
      <c r="X56">
        <f>HYPERLINK("https://klasma.github.io/Logging_1783/kartor/A 33848-2025 karta.png", "A 33848-2025")</f>
        <v/>
      </c>
      <c r="Y56">
        <f>HYPERLINK("https://klasma.github.io/Logging_1783/kartor_geotiff/A 33848-2025 georefererad karta.tif", "A 33848-2025")</f>
        <v/>
      </c>
      <c r="AA56">
        <f>HYPERLINK("https://klasma.github.io/Logging_1783/klagomål/A 33848-2025 FSC-klagomål.docx", "A 33848-2025")</f>
        <v/>
      </c>
      <c r="AB56">
        <f>HYPERLINK("https://klasma.github.io/Logging_1783/klagomålsmail/A 33848-2025 FSC-klagomål mail.docx", "A 33848-2025")</f>
        <v/>
      </c>
      <c r="AC56">
        <f>HYPERLINK("https://klasma.github.io/Logging_1783/tillsyn/A 33848-2025 tillsynsbegäran.docx", "A 33848-2025")</f>
        <v/>
      </c>
      <c r="AD56">
        <f>HYPERLINK("https://klasma.github.io/Logging_1783/tillsynsmail/A 33848-2025 tillsynsbegäran mail.docx", "A 33848-2025")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46251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20119-2025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46251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HYPERLINK("https://klasma.github.io/Logging_1783/artfynd/A 20119-2025 artfynd.xlsx", "A 20119-2025")</f>
        <v/>
      </c>
      <c r="X58">
        <f>HYPERLINK("https://klasma.github.io/Logging_1783/kartor/A 20119-2025 karta.png", "A 20119-2025")</f>
        <v/>
      </c>
      <c r="Y58">
        <f>HYPERLINK("https://klasma.github.io/Logging_1783/kartor_geotiff/A 20119-2025 georefererad karta.tif", "A 20119-2025")</f>
        <v/>
      </c>
      <c r="AA58">
        <f>HYPERLINK("https://klasma.github.io/Logging_1783/klagomål/A 20119-2025 FSC-klagomål.docx", "A 20119-2025")</f>
        <v/>
      </c>
      <c r="AB58">
        <f>HYPERLINK("https://klasma.github.io/Logging_1783/klagomålsmail/A 20119-2025 FSC-klagomål mail.docx", "A 20119-2025")</f>
        <v/>
      </c>
      <c r="AC58">
        <f>HYPERLINK("https://klasma.github.io/Logging_1783/tillsyn/A 20119-2025 tillsynsbegäran.docx", "A 20119-2025")</f>
        <v/>
      </c>
      <c r="AD58">
        <f>HYPERLINK("https://klasma.github.io/Logging_1783/tillsynsmail/A 20119-2025 tillsynsbegäran mail.docx", "A 20119-2025")</f>
        <v/>
      </c>
      <c r="AE58">
        <f>HYPERLINK("https://klasma.github.io/Logging_1783/fåglar/A 20119-2025 prioriterade fågelarter.docx", "A 20119-2025")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46251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46251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46251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46251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46251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46251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46251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46251</v>
      </c>
      <c r="F66" t="inlineStr">
        <is>
          <t>VÄRMLANDS LÄN</t>
        </is>
      </c>
      <c r="G66" t="inlineStr">
        <is>
          <t>HAGFORS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73207-2021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46251</v>
      </c>
      <c r="F67" t="inlineStr">
        <is>
          <t>VÄRMLANDS LÄN</t>
        </is>
      </c>
      <c r="G67" t="inlineStr">
        <is>
          <t>HAGFORS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46251</v>
      </c>
      <c r="F68" t="inlineStr">
        <is>
          <t>VÄRMLANDS LÄN</t>
        </is>
      </c>
      <c r="G68" t="inlineStr">
        <is>
          <t>HAGFORS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68148-2021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46251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44791</v>
      </c>
      <c r="E70" s="1" t="n">
        <v>46251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46251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46251</v>
      </c>
      <c r="F72" t="inlineStr">
        <is>
          <t>VÄRMLANDS LÄN</t>
        </is>
      </c>
      <c r="G72" t="inlineStr">
        <is>
          <t>HAGFORS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44566</v>
      </c>
      <c r="E73" s="1" t="n">
        <v>46251</v>
      </c>
      <c r="F73" t="inlineStr">
        <is>
          <t>VÄRMLANDS LÄN</t>
        </is>
      </c>
      <c r="G73" t="inlineStr">
        <is>
          <t>HAGFORS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46251</v>
      </c>
      <c r="F74" t="inlineStr">
        <is>
          <t>VÄRMLANDS LÄN</t>
        </is>
      </c>
      <c r="G74" t="inlineStr">
        <is>
          <t>HAGFORS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46251</v>
      </c>
      <c r="F75" t="inlineStr">
        <is>
          <t>VÄRMLANDS LÄN</t>
        </is>
      </c>
      <c r="G75" t="inlineStr">
        <is>
          <t>HAGFORS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46251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44607</v>
      </c>
      <c r="E77" s="1" t="n">
        <v>46251</v>
      </c>
      <c r="F77" t="inlineStr">
        <is>
          <t>VÄRMLANDS LÄN</t>
        </is>
      </c>
      <c r="G77" t="inlineStr">
        <is>
          <t>HAGFORS</t>
        </is>
      </c>
      <c r="H77" t="inlineStr">
        <is>
          <t>Bergvik skog väst AB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65551-2021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46251</v>
      </c>
      <c r="F78" t="inlineStr">
        <is>
          <t>VÄRMLANDS LÄN</t>
        </is>
      </c>
      <c r="G78" t="inlineStr">
        <is>
          <t>HAGFORS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65556-2021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46251</v>
      </c>
      <c r="F79" t="inlineStr">
        <is>
          <t>VÄRMLANDS LÄN</t>
        </is>
      </c>
      <c r="G79" t="inlineStr">
        <is>
          <t>HAGFORS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44434</v>
      </c>
      <c r="E80" s="1" t="n">
        <v>46251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44756</v>
      </c>
      <c r="E81" s="1" t="n">
        <v>46251</v>
      </c>
      <c r="F81" t="inlineStr">
        <is>
          <t>VÄRMLANDS LÄN</t>
        </is>
      </c>
      <c r="G81" t="inlineStr">
        <is>
          <t>HAGFORS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46251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42.4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72937-2021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44547</v>
      </c>
      <c r="E83" s="1" t="n">
        <v>46251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44435</v>
      </c>
      <c r="E84" s="1" t="n">
        <v>46251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27.3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46251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46251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46251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46251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46251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46251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46251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46251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46251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46251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46251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46251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46251</v>
      </c>
      <c r="F97" t="inlineStr">
        <is>
          <t>VÄRMLANDS LÄN</t>
        </is>
      </c>
      <c r="G97" t="inlineStr">
        <is>
          <t>HAGFORS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46251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46251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45373</v>
      </c>
      <c r="E100" s="1" t="n">
        <v>46251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46251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46251</v>
      </c>
      <c r="F102" t="inlineStr">
        <is>
          <t>VÄRMLANDS LÄN</t>
        </is>
      </c>
      <c r="G102" t="inlineStr">
        <is>
          <t>HAGFORS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46251</v>
      </c>
      <c r="F103" t="inlineStr">
        <is>
          <t>VÄRMLANDS LÄN</t>
        </is>
      </c>
      <c r="G103" t="inlineStr">
        <is>
          <t>HAGFORS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46251</v>
      </c>
      <c r="F104" t="inlineStr">
        <is>
          <t>VÄRMLANDS LÄN</t>
        </is>
      </c>
      <c r="G104" t="inlineStr">
        <is>
          <t>HAGFORS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44836</v>
      </c>
      <c r="E105" s="1" t="n">
        <v>46251</v>
      </c>
      <c r="F105" t="inlineStr">
        <is>
          <t>VÄRMLANDS LÄN</t>
        </is>
      </c>
      <c r="G105" t="inlineStr">
        <is>
          <t>HAGFORS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46251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46251</v>
      </c>
      <c r="F107" t="inlineStr">
        <is>
          <t>VÄRMLANDS LÄN</t>
        </is>
      </c>
      <c r="G107" t="inlineStr">
        <is>
          <t>HAGFORS</t>
        </is>
      </c>
      <c r="H107" t="inlineStr">
        <is>
          <t>Kommuner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46251</v>
      </c>
      <c r="F108" t="inlineStr">
        <is>
          <t>VÄRMLANDS LÄN</t>
        </is>
      </c>
      <c r="G108" t="inlineStr">
        <is>
          <t>HAGFORS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46251</v>
      </c>
      <c r="F109" t="inlineStr">
        <is>
          <t>VÄRMLANDS LÄN</t>
        </is>
      </c>
      <c r="G109" t="inlineStr">
        <is>
          <t>HAGFORS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46251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46251</v>
      </c>
      <c r="F111" t="inlineStr">
        <is>
          <t>VÄRMLANDS LÄN</t>
        </is>
      </c>
      <c r="G111" t="inlineStr">
        <is>
          <t>HAGFORS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46251</v>
      </c>
      <c r="F112" t="inlineStr">
        <is>
          <t>VÄRMLANDS LÄN</t>
        </is>
      </c>
      <c r="G112" t="inlineStr">
        <is>
          <t>HAGFORS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46251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46251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46251</v>
      </c>
      <c r="F115" t="inlineStr">
        <is>
          <t>VÄRMLANDS LÄN</t>
        </is>
      </c>
      <c r="G115" t="inlineStr">
        <is>
          <t>HAGFORS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12673-2024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45384</v>
      </c>
      <c r="E116" s="1" t="n">
        <v>46251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46251</v>
      </c>
      <c r="F117" t="inlineStr">
        <is>
          <t>VÄRMLANDS LÄN</t>
        </is>
      </c>
      <c r="G117" t="inlineStr">
        <is>
          <t>HAGFORS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46251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46251</v>
      </c>
      <c r="F119" t="inlineStr">
        <is>
          <t>VÄRMLANDS LÄN</t>
        </is>
      </c>
      <c r="G119" t="inlineStr">
        <is>
          <t>HAGFORS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46251</v>
      </c>
      <c r="F120" t="inlineStr">
        <is>
          <t>VÄRMLANDS LÄN</t>
        </is>
      </c>
      <c r="G120" t="inlineStr">
        <is>
          <t>HAGFORS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46251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46251</v>
      </c>
      <c r="F122" t="inlineStr">
        <is>
          <t>VÄRMLANDS LÄN</t>
        </is>
      </c>
      <c r="G122" t="inlineStr">
        <is>
          <t>HAGFORS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46251</v>
      </c>
      <c r="F123" t="inlineStr">
        <is>
          <t>VÄRMLANDS LÄN</t>
        </is>
      </c>
      <c r="G123" t="inlineStr">
        <is>
          <t>HAGFORS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46251</v>
      </c>
      <c r="F124" t="inlineStr">
        <is>
          <t>VÄRMLANDS LÄN</t>
        </is>
      </c>
      <c r="G124" t="inlineStr">
        <is>
          <t>HAGFORS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44606</v>
      </c>
      <c r="E125" s="1" t="n">
        <v>46251</v>
      </c>
      <c r="F125" t="inlineStr">
        <is>
          <t>VÄRMLANDS LÄN</t>
        </is>
      </c>
      <c r="G125" t="inlineStr">
        <is>
          <t>HAGFORS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44594</v>
      </c>
      <c r="E126" s="1" t="n">
        <v>46251</v>
      </c>
      <c r="F126" t="inlineStr">
        <is>
          <t>VÄRMLANDS LÄN</t>
        </is>
      </c>
      <c r="G126" t="inlineStr">
        <is>
          <t>HAGFORS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46251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46251</v>
      </c>
      <c r="F128" t="inlineStr">
        <is>
          <t>VÄRMLANDS LÄN</t>
        </is>
      </c>
      <c r="G128" t="inlineStr">
        <is>
          <t>HAGFORS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46251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46251</v>
      </c>
      <c r="F130" t="inlineStr">
        <is>
          <t>VÄRMLANDS LÄN</t>
        </is>
      </c>
      <c r="G130" t="inlineStr">
        <is>
          <t>HAGFORS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45569</v>
      </c>
      <c r="E131" s="1" t="n">
        <v>46251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46251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46251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65565-2021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44516</v>
      </c>
      <c r="E134" s="1" t="n">
        <v>46251</v>
      </c>
      <c r="F134" t="inlineStr">
        <is>
          <t>VÄRMLANDS LÄN</t>
        </is>
      </c>
      <c r="G134" t="inlineStr">
        <is>
          <t>HAGFORS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61232-2024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45645</v>
      </c>
      <c r="E135" s="1" t="n">
        <v>46251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44678</v>
      </c>
      <c r="E136" s="1" t="n">
        <v>46251</v>
      </c>
      <c r="F136" t="inlineStr">
        <is>
          <t>VÄRMLANDS LÄN</t>
        </is>
      </c>
      <c r="G136" t="inlineStr">
        <is>
          <t>HAGFORS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46251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46251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46251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46251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46251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46251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46251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46251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46251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45258</v>
      </c>
      <c r="E146" s="1" t="n">
        <v>46251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46251</v>
      </c>
      <c r="F147" t="inlineStr">
        <is>
          <t>VÄRMLANDS LÄN</t>
        </is>
      </c>
      <c r="G147" t="inlineStr">
        <is>
          <t>HAGFORS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46251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46251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46251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46251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46251</v>
      </c>
      <c r="F152" t="inlineStr">
        <is>
          <t>VÄRMLANDS LÄN</t>
        </is>
      </c>
      <c r="G152" t="inlineStr">
        <is>
          <t>HAGFORS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46251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46251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46251</v>
      </c>
      <c r="F155" t="inlineStr">
        <is>
          <t>VÄRMLANDS LÄN</t>
        </is>
      </c>
      <c r="G155" t="inlineStr">
        <is>
          <t>HAGFORS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46251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46251</v>
      </c>
      <c r="F157" t="inlineStr">
        <is>
          <t>VÄRMLANDS LÄN</t>
        </is>
      </c>
      <c r="G157" t="inlineStr">
        <is>
          <t>HAGFORS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46251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46251</v>
      </c>
      <c r="F159" t="inlineStr">
        <is>
          <t>VÄRMLANDS LÄN</t>
        </is>
      </c>
      <c r="G159" t="inlineStr">
        <is>
          <t>HAGFORS</t>
        </is>
      </c>
      <c r="H159" t="inlineStr">
        <is>
          <t>Kyrkan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46251</v>
      </c>
      <c r="F160" t="inlineStr">
        <is>
          <t>VÄRMLANDS LÄN</t>
        </is>
      </c>
      <c r="G160" t="inlineStr">
        <is>
          <t>HAGFORS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46251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46251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46251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46251</v>
      </c>
      <c r="F164" t="inlineStr">
        <is>
          <t>VÄRMLANDS LÄN</t>
        </is>
      </c>
      <c r="G164" t="inlineStr">
        <is>
          <t>HAGFORS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46251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45739</v>
      </c>
      <c r="E166" s="1" t="n">
        <v>46251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46251</v>
      </c>
      <c r="F167" t="inlineStr">
        <is>
          <t>VÄRMLANDS LÄN</t>
        </is>
      </c>
      <c r="G167" t="inlineStr">
        <is>
          <t>HAGFORS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46251</v>
      </c>
      <c r="F168" t="inlineStr">
        <is>
          <t>VÄRMLANDS LÄN</t>
        </is>
      </c>
      <c r="G168" t="inlineStr">
        <is>
          <t>HAGFORS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41739-2025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45902</v>
      </c>
      <c r="E169" s="1" t="n">
        <v>46251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45902</v>
      </c>
      <c r="E170" s="1" t="n">
        <v>46251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46251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61169-2024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45645</v>
      </c>
      <c r="E172" s="1" t="n">
        <v>46251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46251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46251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46251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46251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71447-2021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44540</v>
      </c>
      <c r="E177" s="1" t="n">
        <v>46251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46251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15538-2024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45401</v>
      </c>
      <c r="E179" s="1" t="n">
        <v>46251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46251</v>
      </c>
      <c r="F180" t="inlineStr">
        <is>
          <t>VÄRMLANDS LÄN</t>
        </is>
      </c>
      <c r="G180" t="inlineStr">
        <is>
          <t>HAGFORS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46251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46251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46251</v>
      </c>
      <c r="F183" t="inlineStr">
        <is>
          <t>VÄRMLANDS LÄN</t>
        </is>
      </c>
      <c r="G183" t="inlineStr">
        <is>
          <t>HAGFORS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46251</v>
      </c>
      <c r="F184" t="inlineStr">
        <is>
          <t>VÄRMLANDS LÄN</t>
        </is>
      </c>
      <c r="G184" t="inlineStr">
        <is>
          <t>HAGFORS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46251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46251</v>
      </c>
      <c r="F186" t="inlineStr">
        <is>
          <t>VÄRMLANDS LÄN</t>
        </is>
      </c>
      <c r="G186" t="inlineStr">
        <is>
          <t>HAGFORS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17329-2024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45414</v>
      </c>
      <c r="E187" s="1" t="n">
        <v>46251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46251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46251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46251</v>
      </c>
      <c r="F191" t="inlineStr">
        <is>
          <t>VÄRMLANDS LÄN</t>
        </is>
      </c>
      <c r="G191" t="inlineStr">
        <is>
          <t>HAGFORS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46251</v>
      </c>
      <c r="F192" t="inlineStr">
        <is>
          <t>VÄRMLANDS LÄN</t>
        </is>
      </c>
      <c r="G192" t="inlineStr">
        <is>
          <t>HAGFORS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46251</v>
      </c>
      <c r="F193" t="inlineStr">
        <is>
          <t>VÄRMLANDS LÄN</t>
        </is>
      </c>
      <c r="G193" t="inlineStr">
        <is>
          <t>HAGFORS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46251</v>
      </c>
      <c r="F194" t="inlineStr">
        <is>
          <t>VÄRMLANDS LÄN</t>
        </is>
      </c>
      <c r="G194" t="inlineStr">
        <is>
          <t>HAGFORS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46251</v>
      </c>
      <c r="F195" t="inlineStr">
        <is>
          <t>VÄRMLANDS LÄN</t>
        </is>
      </c>
      <c r="G195" t="inlineStr">
        <is>
          <t>HAGFORS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46251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46251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46251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46251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45927</v>
      </c>
      <c r="E200" s="1" t="n">
        <v>46251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46251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46251</v>
      </c>
      <c r="F202" t="inlineStr">
        <is>
          <t>VÄRMLANDS LÄN</t>
        </is>
      </c>
      <c r="G202" t="inlineStr">
        <is>
          <t>HAGFORS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46251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45928</v>
      </c>
      <c r="E204" s="1" t="n">
        <v>46251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46251</v>
      </c>
      <c r="F205" t="inlineStr">
        <is>
          <t>VÄRMLANDS LÄN</t>
        </is>
      </c>
      <c r="G205" t="inlineStr">
        <is>
          <t>HAGFORS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46251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46251</v>
      </c>
      <c r="F207" t="inlineStr">
        <is>
          <t>VÄRMLANDS LÄN</t>
        </is>
      </c>
      <c r="G207" t="inlineStr">
        <is>
          <t>HAGFORS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46251</v>
      </c>
      <c r="F208" t="inlineStr">
        <is>
          <t>VÄRMLANDS LÄN</t>
        </is>
      </c>
      <c r="G208" t="inlineStr">
        <is>
          <t>HAGFORS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45725</v>
      </c>
      <c r="E209" s="1" t="n">
        <v>46251</v>
      </c>
      <c r="F209" t="inlineStr">
        <is>
          <t>VÄRMLANDS LÄN</t>
        </is>
      </c>
      <c r="G209" t="inlineStr">
        <is>
          <t>HAGFORS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46251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44763</v>
      </c>
      <c r="E211" s="1" t="n">
        <v>46251</v>
      </c>
      <c r="F211" t="inlineStr">
        <is>
          <t>VÄRMLANDS LÄN</t>
        </is>
      </c>
      <c r="G211" t="inlineStr">
        <is>
          <t>HAGFORS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46251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46251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46251</v>
      </c>
      <c r="F217" t="inlineStr">
        <is>
          <t>VÄRMLANDS LÄN</t>
        </is>
      </c>
      <c r="G217" t="inlineStr">
        <is>
          <t>HAGFORS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46251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46251</v>
      </c>
      <c r="F219" t="inlineStr">
        <is>
          <t>VÄRMLANDS LÄN</t>
        </is>
      </c>
      <c r="G219" t="inlineStr">
        <is>
          <t>HAGFORS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46251</v>
      </c>
      <c r="F220" t="inlineStr">
        <is>
          <t>VÄRMLANDS LÄN</t>
        </is>
      </c>
      <c r="G220" t="inlineStr">
        <is>
          <t>HAGFORS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46251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45087</v>
      </c>
      <c r="E222" s="1" t="n">
        <v>46251</v>
      </c>
      <c r="F222" t="inlineStr">
        <is>
          <t>VÄRMLANDS LÄN</t>
        </is>
      </c>
      <c r="G222" t="inlineStr">
        <is>
          <t>HAGFORS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46251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46251</v>
      </c>
      <c r="F224" t="inlineStr">
        <is>
          <t>VÄRMLANDS LÄN</t>
        </is>
      </c>
      <c r="G224" t="inlineStr">
        <is>
          <t>HAGFORS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46251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46251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46251</v>
      </c>
      <c r="F227" t="inlineStr">
        <is>
          <t>VÄRMLANDS LÄN</t>
        </is>
      </c>
      <c r="G227" t="inlineStr">
        <is>
          <t>HAGFORS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46251</v>
      </c>
      <c r="F228" t="inlineStr">
        <is>
          <t>VÄRMLANDS LÄN</t>
        </is>
      </c>
      <c r="G228" t="inlineStr">
        <is>
          <t>HAGFORS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45492</v>
      </c>
      <c r="E229" s="1" t="n">
        <v>46251</v>
      </c>
      <c r="F229" t="inlineStr">
        <is>
          <t>VÄRMLANDS LÄN</t>
        </is>
      </c>
      <c r="G229" t="inlineStr">
        <is>
          <t>HAGFORS</t>
        </is>
      </c>
      <c r="H229" t="inlineStr">
        <is>
          <t>Kyrkan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46251</v>
      </c>
      <c r="F230" t="inlineStr">
        <is>
          <t>VÄRMLANDS LÄN</t>
        </is>
      </c>
      <c r="G230" t="inlineStr">
        <is>
          <t>HAGFORS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46251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46251</v>
      </c>
      <c r="F232" t="inlineStr">
        <is>
          <t>VÄRMLANDS LÄN</t>
        </is>
      </c>
      <c r="G232" t="inlineStr">
        <is>
          <t>HAGFORS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45941</v>
      </c>
      <c r="E233" s="1" t="n">
        <v>46251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46251</v>
      </c>
      <c r="F234" t="inlineStr">
        <is>
          <t>VÄRMLANDS LÄN</t>
        </is>
      </c>
      <c r="G234" t="inlineStr">
        <is>
          <t>HAGFORS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46251</v>
      </c>
      <c r="F235" t="inlineStr">
        <is>
          <t>VÄRMLANDS LÄN</t>
        </is>
      </c>
      <c r="G235" t="inlineStr">
        <is>
          <t>HAGFORS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46251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46251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46251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45618</v>
      </c>
      <c r="E239" s="1" t="n">
        <v>46251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46251</v>
      </c>
      <c r="F240" t="inlineStr">
        <is>
          <t>VÄRMLANDS LÄN</t>
        </is>
      </c>
      <c r="G240" t="inlineStr">
        <is>
          <t>HAGFORS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46251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46251</v>
      </c>
      <c r="F242" t="inlineStr">
        <is>
          <t>VÄRMLANDS LÄN</t>
        </is>
      </c>
      <c r="G242" t="inlineStr">
        <is>
          <t>HAGFORS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45212</v>
      </c>
      <c r="E243" s="1" t="n">
        <v>46251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46251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46251</v>
      </c>
      <c r="F245" t="inlineStr">
        <is>
          <t>VÄRMLANDS LÄN</t>
        </is>
      </c>
      <c r="G245" t="inlineStr">
        <is>
          <t>HAGFORS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44776</v>
      </c>
      <c r="E246" s="1" t="n">
        <v>46251</v>
      </c>
      <c r="F246" t="inlineStr">
        <is>
          <t>VÄRMLANDS LÄN</t>
        </is>
      </c>
      <c r="G246" t="inlineStr">
        <is>
          <t>HAGFORS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45947</v>
      </c>
      <c r="E247" s="1" t="n">
        <v>46251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46251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46251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45949</v>
      </c>
      <c r="E250" s="1" t="n">
        <v>46251</v>
      </c>
      <c r="F250" t="inlineStr">
        <is>
          <t>VÄRMLANDS LÄN</t>
        </is>
      </c>
      <c r="G250" t="inlineStr">
        <is>
          <t>HAGFORS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46251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46251</v>
      </c>
      <c r="F252" t="inlineStr">
        <is>
          <t>VÄRMLANDS LÄN</t>
        </is>
      </c>
      <c r="G252" t="inlineStr">
        <is>
          <t>HAGFORS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46251</v>
      </c>
      <c r="F253" t="inlineStr">
        <is>
          <t>VÄRMLANDS LÄN</t>
        </is>
      </c>
      <c r="G253" t="inlineStr">
        <is>
          <t>HAGFORS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46251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46098</v>
      </c>
      <c r="E255" s="1" t="n">
        <v>46251</v>
      </c>
      <c r="F255" t="inlineStr">
        <is>
          <t>VÄRMLANDS LÄN</t>
        </is>
      </c>
      <c r="G255" t="inlineStr">
        <is>
          <t>HAGFORS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46251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52479-2025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46251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16824-2023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45033</v>
      </c>
      <c r="E258" s="1" t="n">
        <v>46251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46251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46251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46251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46251</v>
      </c>
      <c r="F262" t="inlineStr">
        <is>
          <t>VÄRMLANDS LÄN</t>
        </is>
      </c>
      <c r="G262" t="inlineStr">
        <is>
          <t>HAGFORS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46251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45420</v>
      </c>
      <c r="E264" s="1" t="n">
        <v>46251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46251</v>
      </c>
      <c r="F265" t="inlineStr">
        <is>
          <t>VÄRMLANDS LÄN</t>
        </is>
      </c>
      <c r="G265" t="inlineStr">
        <is>
          <t>HAGFORS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46251</v>
      </c>
      <c r="F266" t="inlineStr">
        <is>
          <t>VÄRMLANDS LÄN</t>
        </is>
      </c>
      <c r="G266" t="inlineStr">
        <is>
          <t>HAGFORS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46251</v>
      </c>
      <c r="F267" t="inlineStr">
        <is>
          <t>VÄRMLANDS LÄN</t>
        </is>
      </c>
      <c r="G267" t="inlineStr">
        <is>
          <t>HAGFORS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46251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46251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46251</v>
      </c>
      <c r="F270" t="inlineStr">
        <is>
          <t>VÄRMLANDS LÄN</t>
        </is>
      </c>
      <c r="G270" t="inlineStr">
        <is>
          <t>HAGFORS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45379</v>
      </c>
      <c r="E271" s="1" t="n">
        <v>46251</v>
      </c>
      <c r="F271" t="inlineStr">
        <is>
          <t>VÄRMLANDS LÄN</t>
        </is>
      </c>
      <c r="G271" t="inlineStr">
        <is>
          <t>HAGFORS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45476</v>
      </c>
      <c r="E272" s="1" t="n">
        <v>46251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45534</v>
      </c>
      <c r="E273" s="1" t="n">
        <v>46251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46251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53620-2025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46251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46251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46251</v>
      </c>
      <c r="F277" t="inlineStr">
        <is>
          <t>VÄRMLANDS LÄN</t>
        </is>
      </c>
      <c r="G277" t="inlineStr">
        <is>
          <t>HAGFORS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46251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45509</v>
      </c>
      <c r="E279" s="1" t="n">
        <v>46251</v>
      </c>
      <c r="F279" t="inlineStr">
        <is>
          <t>VÄRMLANDS LÄN</t>
        </is>
      </c>
      <c r="G279" t="inlineStr">
        <is>
          <t>HAGFORS</t>
        </is>
      </c>
      <c r="H279" t="inlineStr">
        <is>
          <t>Kommuner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46251</v>
      </c>
      <c r="F280" t="inlineStr">
        <is>
          <t>VÄRMLANDS LÄN</t>
        </is>
      </c>
      <c r="G280" t="inlineStr">
        <is>
          <t>HAGFORS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46251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46251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46251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46251</v>
      </c>
      <c r="F284" t="inlineStr">
        <is>
          <t>VÄRMLANDS LÄN</t>
        </is>
      </c>
      <c r="G284" t="inlineStr">
        <is>
          <t>HAGFORS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46251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46251</v>
      </c>
      <c r="F286" t="inlineStr">
        <is>
          <t>VÄRMLANDS LÄN</t>
        </is>
      </c>
      <c r="G286" t="inlineStr">
        <is>
          <t>HAGFORS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46251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46251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46251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45961</v>
      </c>
      <c r="E290" s="1" t="n">
        <v>46251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46251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60178-2023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45258</v>
      </c>
      <c r="E292" s="1" t="n">
        <v>46251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46251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46251</v>
      </c>
      <c r="F294" t="inlineStr">
        <is>
          <t>VÄRMLANDS LÄN</t>
        </is>
      </c>
      <c r="G294" t="inlineStr">
        <is>
          <t>HAGFORS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46251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46251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46251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45390</v>
      </c>
      <c r="E298" s="1" t="n">
        <v>46251</v>
      </c>
      <c r="F298" t="inlineStr">
        <is>
          <t>VÄRMLANDS LÄN</t>
        </is>
      </c>
      <c r="G298" t="inlineStr">
        <is>
          <t>HAGFORS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45968</v>
      </c>
      <c r="E299" s="1" t="n">
        <v>46251</v>
      </c>
      <c r="F299" t="inlineStr">
        <is>
          <t>VÄRMLANDS LÄN</t>
        </is>
      </c>
      <c r="G299" t="inlineStr">
        <is>
          <t>HAGFORS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46251</v>
      </c>
      <c r="F300" t="inlineStr">
        <is>
          <t>VÄRMLANDS LÄN</t>
        </is>
      </c>
      <c r="G300" t="inlineStr">
        <is>
          <t>HAGFORS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46251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46251</v>
      </c>
      <c r="F303" t="inlineStr">
        <is>
          <t>VÄRMLANDS LÄN</t>
        </is>
      </c>
      <c r="G303" t="inlineStr">
        <is>
          <t>HAGFORS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46251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46251</v>
      </c>
      <c r="F305" t="inlineStr">
        <is>
          <t>VÄRMLANDS LÄN</t>
        </is>
      </c>
      <c r="G305" t="inlineStr">
        <is>
          <t>HAGFORS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46251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45765</v>
      </c>
      <c r="E307" s="1" t="n">
        <v>46251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46251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44610</v>
      </c>
      <c r="E309" s="1" t="n">
        <v>46251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46251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46251</v>
      </c>
      <c r="F311" t="inlineStr">
        <is>
          <t>VÄRMLANDS LÄN</t>
        </is>
      </c>
      <c r="G311" t="inlineStr">
        <is>
          <t>HAGFORS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46251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46251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46251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46251</v>
      </c>
      <c r="F315" t="inlineStr">
        <is>
          <t>VÄRMLANDS LÄN</t>
        </is>
      </c>
      <c r="G315" t="inlineStr">
        <is>
          <t>HAGFORS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46251</v>
      </c>
      <c r="F316" t="inlineStr">
        <is>
          <t>VÄRMLANDS LÄN</t>
        </is>
      </c>
      <c r="G316" t="inlineStr">
        <is>
          <t>HAGFORS</t>
        </is>
      </c>
      <c r="H316" t="inlineStr">
        <is>
          <t>Kyrkan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46251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46251</v>
      </c>
      <c r="F318" t="inlineStr">
        <is>
          <t>VÄRMLANDS LÄN</t>
        </is>
      </c>
      <c r="G318" t="inlineStr">
        <is>
          <t>HAGFORS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46251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44953</v>
      </c>
      <c r="E320" s="1" t="n">
        <v>46251</v>
      </c>
      <c r="F320" t="inlineStr">
        <is>
          <t>VÄRMLANDS LÄN</t>
        </is>
      </c>
      <c r="G320" t="inlineStr">
        <is>
          <t>HAGFORS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46251</v>
      </c>
      <c r="F321" t="inlineStr">
        <is>
          <t>VÄRMLANDS LÄN</t>
        </is>
      </c>
      <c r="G321" t="inlineStr">
        <is>
          <t>HAGFORS</t>
        </is>
      </c>
      <c r="H321" t="inlineStr">
        <is>
          <t>Kommuner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46251</v>
      </c>
      <c r="F322" t="inlineStr">
        <is>
          <t>VÄRMLANDS LÄN</t>
        </is>
      </c>
      <c r="G322" t="inlineStr">
        <is>
          <t>HAGFORS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45988</v>
      </c>
      <c r="E323" s="1" t="n">
        <v>46251</v>
      </c>
      <c r="F323" t="inlineStr">
        <is>
          <t>VÄRMLANDS LÄN</t>
        </is>
      </c>
      <c r="G323" t="inlineStr">
        <is>
          <t>HAGFORS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46251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46251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44125-2021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44434</v>
      </c>
      <c r="E326" s="1" t="n">
        <v>46251</v>
      </c>
      <c r="F326" t="inlineStr">
        <is>
          <t>VÄRMLANDS LÄN</t>
        </is>
      </c>
      <c r="G326" t="inlineStr">
        <is>
          <t>HAGFORS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46251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46251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46251</v>
      </c>
      <c r="F329" t="inlineStr">
        <is>
          <t>VÄRMLANDS LÄN</t>
        </is>
      </c>
      <c r="G329" t="inlineStr">
        <is>
          <t>HAGFORS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46251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61902-2021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44502</v>
      </c>
      <c r="E331" s="1" t="n">
        <v>46251</v>
      </c>
      <c r="F331" t="inlineStr">
        <is>
          <t>VÄRMLANDS LÄN</t>
        </is>
      </c>
      <c r="G331" t="inlineStr">
        <is>
          <t>HAGFORS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46251</v>
      </c>
      <c r="F332" t="inlineStr">
        <is>
          <t>VÄRMLANDS LÄN</t>
        </is>
      </c>
      <c r="G332" t="inlineStr">
        <is>
          <t>HAGFORS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46251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46251</v>
      </c>
      <c r="F335" t="inlineStr">
        <is>
          <t>VÄRMLANDS LÄN</t>
        </is>
      </c>
      <c r="G335" t="inlineStr">
        <is>
          <t>HAGFORS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11104-2022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44628</v>
      </c>
      <c r="E336" s="1" t="n">
        <v>46251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46251</v>
      </c>
      <c r="F337" t="inlineStr">
        <is>
          <t>VÄRMLANDS LÄN</t>
        </is>
      </c>
      <c r="G337" t="inlineStr">
        <is>
          <t>HAGFORS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46251</v>
      </c>
      <c r="F338" t="inlineStr">
        <is>
          <t>VÄRMLANDS LÄN</t>
        </is>
      </c>
      <c r="G338" t="inlineStr">
        <is>
          <t>HAGFORS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46251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46251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46251</v>
      </c>
      <c r="F341" t="inlineStr">
        <is>
          <t>VÄRMLANDS LÄN</t>
        </is>
      </c>
      <c r="G341" t="inlineStr">
        <is>
          <t>HAGFORS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46251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45996</v>
      </c>
      <c r="E343" s="1" t="n">
        <v>46251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46251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45051</v>
      </c>
      <c r="E345" s="1" t="n">
        <v>46251</v>
      </c>
      <c r="F345" t="inlineStr">
        <is>
          <t>VÄRMLANDS LÄN</t>
        </is>
      </c>
      <c r="G345" t="inlineStr">
        <is>
          <t>HAGFORS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46251</v>
      </c>
      <c r="F346" t="inlineStr">
        <is>
          <t>VÄRMLANDS LÄN</t>
        </is>
      </c>
      <c r="G346" t="inlineStr">
        <is>
          <t>HAGFORS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46251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46251</v>
      </c>
      <c r="F348" t="inlineStr">
        <is>
          <t>VÄRMLANDS LÄN</t>
        </is>
      </c>
      <c r="G348" t="inlineStr">
        <is>
          <t>HAGFORS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46251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46251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46251</v>
      </c>
      <c r="F351" t="inlineStr">
        <is>
          <t>VÄRMLANDS LÄN</t>
        </is>
      </c>
      <c r="G351" t="inlineStr">
        <is>
          <t>HAGFORS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45259</v>
      </c>
      <c r="E352" s="1" t="n">
        <v>46251</v>
      </c>
      <c r="F352" t="inlineStr">
        <is>
          <t>VÄRMLANDS LÄN</t>
        </is>
      </c>
      <c r="G352" t="inlineStr">
        <is>
          <t>HAGFORS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46002</v>
      </c>
      <c r="E354" s="1" t="n">
        <v>46251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46251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46251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46251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61910-2025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46003</v>
      </c>
      <c r="E359" s="1" t="n">
        <v>46251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46251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46251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46251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46251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46006</v>
      </c>
      <c r="E365" s="1" t="n">
        <v>46251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46251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46251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46251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61843-2025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46003</v>
      </c>
      <c r="E370" s="1" t="n">
        <v>46251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46251</v>
      </c>
      <c r="F371" t="inlineStr">
        <is>
          <t>VÄRMLANDS LÄN</t>
        </is>
      </c>
      <c r="G371" t="inlineStr">
        <is>
          <t>HAGFORS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46251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46251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46251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46251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46251</v>
      </c>
      <c r="F376" t="inlineStr">
        <is>
          <t>VÄRMLANDS LÄN</t>
        </is>
      </c>
      <c r="G376" t="inlineStr">
        <is>
          <t>HAGFORS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46251</v>
      </c>
      <c r="F377" t="inlineStr">
        <is>
          <t>VÄRMLANDS LÄN</t>
        </is>
      </c>
      <c r="G377" t="inlineStr">
        <is>
          <t>HAGFORS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46251</v>
      </c>
      <c r="F378" t="inlineStr">
        <is>
          <t>VÄRMLANDS LÄN</t>
        </is>
      </c>
      <c r="G378" t="inlineStr">
        <is>
          <t>HAGFORS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46251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46251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46251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46251</v>
      </c>
      <c r="F382" t="inlineStr">
        <is>
          <t>VÄRMLANDS LÄN</t>
        </is>
      </c>
      <c r="G382" t="inlineStr">
        <is>
          <t>HAGFORS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46251</v>
      </c>
      <c r="F383" t="inlineStr">
        <is>
          <t>VÄRMLANDS LÄN</t>
        </is>
      </c>
      <c r="G383" t="inlineStr">
        <is>
          <t>HAGFORS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44566</v>
      </c>
      <c r="E384" s="1" t="n">
        <v>46251</v>
      </c>
      <c r="F384" t="inlineStr">
        <is>
          <t>VÄRMLANDS LÄN</t>
        </is>
      </c>
      <c r="G384" t="inlineStr">
        <is>
          <t>HAGFORS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44757</v>
      </c>
      <c r="E385" s="1" t="n">
        <v>46251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46251</v>
      </c>
      <c r="F386" t="inlineStr">
        <is>
          <t>VÄRMLANDS LÄN</t>
        </is>
      </c>
      <c r="G386" t="inlineStr">
        <is>
          <t>HAGFORS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46251</v>
      </c>
      <c r="F387" t="inlineStr">
        <is>
          <t>VÄRMLANDS LÄN</t>
        </is>
      </c>
      <c r="G387" t="inlineStr">
        <is>
          <t>HAGFORS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63764-2025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46018</v>
      </c>
      <c r="E388" s="1" t="n">
        <v>46251</v>
      </c>
      <c r="F388" t="inlineStr">
        <is>
          <t>VÄRMLANDS LÄN</t>
        </is>
      </c>
      <c r="G388" t="inlineStr">
        <is>
          <t>HAGFORS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46018</v>
      </c>
      <c r="E389" s="1" t="n">
        <v>46251</v>
      </c>
      <c r="F389" t="inlineStr">
        <is>
          <t>VÄRMLANDS LÄN</t>
        </is>
      </c>
      <c r="G389" t="inlineStr">
        <is>
          <t>HAGFORS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46251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46251</v>
      </c>
      <c r="F391" t="inlineStr">
        <is>
          <t>VÄRMLANDS LÄN</t>
        </is>
      </c>
      <c r="G391" t="inlineStr">
        <is>
          <t>HAGFORS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46251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59048-2022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44903</v>
      </c>
      <c r="E393" s="1" t="n">
        <v>46251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46251</v>
      </c>
      <c r="F394" t="inlineStr">
        <is>
          <t>VÄRMLANDS LÄN</t>
        </is>
      </c>
      <c r="G394" t="inlineStr">
        <is>
          <t>HAGFORS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44770</v>
      </c>
      <c r="E395" s="1" t="n">
        <v>46251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46251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46251</v>
      </c>
      <c r="F397" t="inlineStr">
        <is>
          <t>VÄRMLANDS LÄN</t>
        </is>
      </c>
      <c r="G397" t="inlineStr">
        <is>
          <t>HAGFORS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60221-2023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45258</v>
      </c>
      <c r="E398" s="1" t="n">
        <v>46251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45525</v>
      </c>
      <c r="E399" s="1" t="n">
        <v>46251</v>
      </c>
      <c r="F399" t="inlineStr">
        <is>
          <t>VÄRMLANDS LÄN</t>
        </is>
      </c>
      <c r="G399" t="inlineStr">
        <is>
          <t>HAGFORS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46251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48807-2025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45937</v>
      </c>
      <c r="E401" s="1" t="n">
        <v>46251</v>
      </c>
      <c r="F401" t="inlineStr">
        <is>
          <t>VÄRMLANDS LÄN</t>
        </is>
      </c>
      <c r="G401" t="inlineStr">
        <is>
          <t>HAGFORS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46030</v>
      </c>
      <c r="E402" s="1" t="n">
        <v>46251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46251</v>
      </c>
      <c r="F403" t="inlineStr">
        <is>
          <t>VÄRMLANDS LÄN</t>
        </is>
      </c>
      <c r="G403" t="inlineStr">
        <is>
          <t>HAGFORS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46251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45581</v>
      </c>
      <c r="E405" s="1" t="n">
        <v>46251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44896</v>
      </c>
      <c r="E406" s="1" t="n">
        <v>46251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46251</v>
      </c>
      <c r="F407" t="inlineStr">
        <is>
          <t>VÄRMLANDS LÄN</t>
        </is>
      </c>
      <c r="G407" t="inlineStr">
        <is>
          <t>HAGFORS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46251</v>
      </c>
      <c r="F408" t="inlineStr">
        <is>
          <t>VÄRMLANDS LÄN</t>
        </is>
      </c>
      <c r="G408" t="inlineStr">
        <is>
          <t>HAGFORS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46251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46251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39029-2022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46251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46251</v>
      </c>
      <c r="F412" t="inlineStr">
        <is>
          <t>VÄRMLANDS LÄN</t>
        </is>
      </c>
      <c r="G412" t="inlineStr">
        <is>
          <t>HAGFORS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46251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46251</v>
      </c>
      <c r="F414" t="inlineStr">
        <is>
          <t>VÄRMLANDS LÄN</t>
        </is>
      </c>
      <c r="G414" t="inlineStr">
        <is>
          <t>HAGFORS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46251</v>
      </c>
      <c r="F415" t="inlineStr">
        <is>
          <t>VÄRMLANDS LÄN</t>
        </is>
      </c>
      <c r="G415" t="inlineStr">
        <is>
          <t>HAGFORS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20652-2022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44700</v>
      </c>
      <c r="E416" s="1" t="n">
        <v>46251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46251</v>
      </c>
      <c r="F417" t="inlineStr">
        <is>
          <t>VÄRMLANDS LÄN</t>
        </is>
      </c>
      <c r="G417" t="inlineStr">
        <is>
          <t>HAGFORS</t>
        </is>
      </c>
      <c r="H417" t="inlineStr">
        <is>
          <t>Kyrkan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46251</v>
      </c>
      <c r="F418" t="inlineStr">
        <is>
          <t>VÄRMLANDS LÄN</t>
        </is>
      </c>
      <c r="G418" t="inlineStr">
        <is>
          <t>HAGFORS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46251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46208-2023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45196</v>
      </c>
      <c r="E420" s="1" t="n">
        <v>46251</v>
      </c>
      <c r="F420" t="inlineStr">
        <is>
          <t>VÄRMLANDS LÄN</t>
        </is>
      </c>
      <c r="G420" t="inlineStr">
        <is>
          <t>HAGFORS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46251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46251</v>
      </c>
      <c r="F422" t="inlineStr">
        <is>
          <t>VÄRMLANDS LÄN</t>
        </is>
      </c>
      <c r="G422" t="inlineStr">
        <is>
          <t>HAGFORS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46251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46251</v>
      </c>
      <c r="F424" t="inlineStr">
        <is>
          <t>VÄRMLANDS LÄN</t>
        </is>
      </c>
      <c r="G424" t="inlineStr">
        <is>
          <t>HAGFORS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45720</v>
      </c>
      <c r="E425" s="1" t="n">
        <v>46251</v>
      </c>
      <c r="F425" t="inlineStr">
        <is>
          <t>VÄRMLANDS LÄN</t>
        </is>
      </c>
      <c r="G425" t="inlineStr">
        <is>
          <t>HAGFORS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52378-2021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44465</v>
      </c>
      <c r="E426" s="1" t="n">
        <v>46251</v>
      </c>
      <c r="F426" t="inlineStr">
        <is>
          <t>VÄRMLANDS LÄN</t>
        </is>
      </c>
      <c r="G426" t="inlineStr">
        <is>
          <t>HAGFORS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45783</v>
      </c>
      <c r="E427" s="1" t="n">
        <v>46251</v>
      </c>
      <c r="F427" t="inlineStr">
        <is>
          <t>VÄRMLANDS LÄN</t>
        </is>
      </c>
      <c r="G427" t="inlineStr">
        <is>
          <t>HAGFORS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46251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46251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46251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42223-2022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44830</v>
      </c>
      <c r="E431" s="1" t="n">
        <v>46251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46251</v>
      </c>
      <c r="F432" t="inlineStr">
        <is>
          <t>VÄRMLANDS LÄN</t>
        </is>
      </c>
      <c r="G432" t="inlineStr">
        <is>
          <t>HAGFORS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46251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46251</v>
      </c>
      <c r="F434" t="inlineStr">
        <is>
          <t>VÄRMLANDS LÄN</t>
        </is>
      </c>
      <c r="G434" t="inlineStr">
        <is>
          <t>HAGFORS</t>
        </is>
      </c>
      <c r="H434" t="inlineStr">
        <is>
          <t>Kommuner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46251</v>
      </c>
      <c r="F435" t="inlineStr">
        <is>
          <t>VÄRMLANDS LÄN</t>
        </is>
      </c>
      <c r="G435" t="inlineStr">
        <is>
          <t>HAGFORS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45450</v>
      </c>
      <c r="E436" s="1" t="n">
        <v>46251</v>
      </c>
      <c r="F436" t="inlineStr">
        <is>
          <t>VÄRMLANDS LÄN</t>
        </is>
      </c>
      <c r="G436" t="inlineStr">
        <is>
          <t>HAGFORS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46251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46251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44937</v>
      </c>
      <c r="E439" s="1" t="n">
        <v>46251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46251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46251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46251</v>
      </c>
      <c r="F442" t="inlineStr">
        <is>
          <t>VÄRMLANDS LÄN</t>
        </is>
      </c>
      <c r="G442" t="inlineStr">
        <is>
          <t>HAGFORS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46251</v>
      </c>
      <c r="F443" t="inlineStr">
        <is>
          <t>VÄRMLANDS LÄN</t>
        </is>
      </c>
      <c r="G443" t="inlineStr">
        <is>
          <t>HAGFORS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46050</v>
      </c>
      <c r="E444" s="1" t="n">
        <v>46251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46251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46251</v>
      </c>
      <c r="F446" t="inlineStr">
        <is>
          <t>VÄRMLANDS LÄN</t>
        </is>
      </c>
      <c r="G446" t="inlineStr">
        <is>
          <t>HAGFORS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46251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44809</v>
      </c>
      <c r="E448" s="1" t="n">
        <v>46251</v>
      </c>
      <c r="F448" t="inlineStr">
        <is>
          <t>VÄRMLANDS LÄN</t>
        </is>
      </c>
      <c r="G448" t="inlineStr">
        <is>
          <t>HAGFORS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46251</v>
      </c>
      <c r="F449" t="inlineStr">
        <is>
          <t>VÄRMLANDS LÄN</t>
        </is>
      </c>
      <c r="G449" t="inlineStr">
        <is>
          <t>HAGFORS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44851</v>
      </c>
      <c r="E450" s="1" t="n">
        <v>46251</v>
      </c>
      <c r="F450" t="inlineStr">
        <is>
          <t>VÄRMLANDS LÄN</t>
        </is>
      </c>
      <c r="G450" t="inlineStr">
        <is>
          <t>HAGFORS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46251</v>
      </c>
      <c r="F451" t="inlineStr">
        <is>
          <t>VÄRMLANDS LÄN</t>
        </is>
      </c>
      <c r="G451" t="inlineStr">
        <is>
          <t>HAGFORS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46251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45847</v>
      </c>
      <c r="E453" s="1" t="n">
        <v>46251</v>
      </c>
      <c r="F453" t="inlineStr">
        <is>
          <t>VÄRMLANDS LÄN</t>
        </is>
      </c>
      <c r="G453" t="inlineStr">
        <is>
          <t>HAGFORS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46020</v>
      </c>
      <c r="E454" s="1" t="n">
        <v>46251</v>
      </c>
      <c r="F454" t="inlineStr">
        <is>
          <t>VÄRMLANDS LÄN</t>
        </is>
      </c>
      <c r="G454" t="inlineStr">
        <is>
          <t>HAGFORS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46251</v>
      </c>
      <c r="F455" t="inlineStr">
        <is>
          <t>VÄRMLANDS LÄN</t>
        </is>
      </c>
      <c r="G455" t="inlineStr">
        <is>
          <t>HAGFORS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46251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45057</v>
      </c>
      <c r="E457" s="1" t="n">
        <v>46251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45510</v>
      </c>
      <c r="E458" s="1" t="n">
        <v>46251</v>
      </c>
      <c r="F458" t="inlineStr">
        <is>
          <t>VÄRMLANDS LÄN</t>
        </is>
      </c>
      <c r="G458" t="inlineStr">
        <is>
          <t>HAGFORS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44790</v>
      </c>
      <c r="E459" s="1" t="n">
        <v>46251</v>
      </c>
      <c r="F459" t="inlineStr">
        <is>
          <t>VÄRMLANDS LÄN</t>
        </is>
      </c>
      <c r="G459" t="inlineStr">
        <is>
          <t>HAGFORS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44876</v>
      </c>
      <c r="E460" s="1" t="n">
        <v>46251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46251</v>
      </c>
      <c r="F461" t="inlineStr">
        <is>
          <t>VÄRMLANDS LÄN</t>
        </is>
      </c>
      <c r="G461" t="inlineStr">
        <is>
          <t>HAGFORS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46251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46251</v>
      </c>
      <c r="F463" t="inlineStr">
        <is>
          <t>VÄRMLANDS LÄN</t>
        </is>
      </c>
      <c r="G463" t="inlineStr">
        <is>
          <t>HAGFORS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46251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46251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46251</v>
      </c>
      <c r="F466" t="inlineStr">
        <is>
          <t>VÄRMLANDS LÄN</t>
        </is>
      </c>
      <c r="G466" t="inlineStr">
        <is>
          <t>HAGFORS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46251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46251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46251</v>
      </c>
      <c r="F469" t="inlineStr">
        <is>
          <t>VÄRMLANDS LÄN</t>
        </is>
      </c>
      <c r="G469" t="inlineStr">
        <is>
          <t>HAGFORS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61311-2023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46251</v>
      </c>
      <c r="F470" t="inlineStr">
        <is>
          <t>VÄRMLANDS LÄN</t>
        </is>
      </c>
      <c r="G470" t="inlineStr">
        <is>
          <t>HAGFORS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46251</v>
      </c>
      <c r="F471" t="inlineStr">
        <is>
          <t>VÄRMLANDS LÄN</t>
        </is>
      </c>
      <c r="G471" t="inlineStr">
        <is>
          <t>HAGFORS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46251</v>
      </c>
      <c r="F472" t="inlineStr">
        <is>
          <t>VÄRMLANDS LÄN</t>
        </is>
      </c>
      <c r="G472" t="inlineStr">
        <is>
          <t>HAGFORS</t>
        </is>
      </c>
      <c r="H472" t="inlineStr">
        <is>
          <t>Kommuner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46251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46251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46251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46251</v>
      </c>
      <c r="F476" t="inlineStr">
        <is>
          <t>VÄRMLANDS LÄN</t>
        </is>
      </c>
      <c r="G476" t="inlineStr">
        <is>
          <t>HAGFORS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46251</v>
      </c>
      <c r="F477" t="inlineStr">
        <is>
          <t>VÄRMLANDS LÄN</t>
        </is>
      </c>
      <c r="G477" t="inlineStr">
        <is>
          <t>HAGFORS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45796</v>
      </c>
      <c r="E478" s="1" t="n">
        <v>46251</v>
      </c>
      <c r="F478" t="inlineStr">
        <is>
          <t>VÄRMLANDS LÄN</t>
        </is>
      </c>
      <c r="G478" t="inlineStr">
        <is>
          <t>HAGFORS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44571</v>
      </c>
      <c r="E479" s="1" t="n">
        <v>46251</v>
      </c>
      <c r="F479" t="inlineStr">
        <is>
          <t>VÄRMLANDS LÄN</t>
        </is>
      </c>
      <c r="G479" t="inlineStr">
        <is>
          <t>HAGFORS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46251</v>
      </c>
      <c r="F480" t="inlineStr">
        <is>
          <t>VÄRMLANDS LÄN</t>
        </is>
      </c>
      <c r="G480" t="inlineStr">
        <is>
          <t>HAGFORS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46251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45147</v>
      </c>
      <c r="E482" s="1" t="n">
        <v>46251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46251</v>
      </c>
      <c r="F483" t="inlineStr">
        <is>
          <t>VÄRMLANDS LÄN</t>
        </is>
      </c>
      <c r="G483" t="inlineStr">
        <is>
          <t>HAGFORS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46251</v>
      </c>
      <c r="F484" t="inlineStr">
        <is>
          <t>VÄRMLANDS LÄN</t>
        </is>
      </c>
      <c r="G484" t="inlineStr">
        <is>
          <t>HAGFORS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44924</v>
      </c>
      <c r="E485" s="1" t="n">
        <v>46251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61140-2023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45261</v>
      </c>
      <c r="E486" s="1" t="n">
        <v>46251</v>
      </c>
      <c r="F486" t="inlineStr">
        <is>
          <t>VÄRMLANDS LÄN</t>
        </is>
      </c>
      <c r="G486" t="inlineStr">
        <is>
          <t>HAGFORS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26615-2024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46251</v>
      </c>
      <c r="F487" t="inlineStr">
        <is>
          <t>VÄRMLANDS LÄN</t>
        </is>
      </c>
      <c r="G487" t="inlineStr">
        <is>
          <t>HAGFORS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46251</v>
      </c>
      <c r="F488" t="inlineStr">
        <is>
          <t>VÄRMLANDS LÄN</t>
        </is>
      </c>
      <c r="G488" t="inlineStr">
        <is>
          <t>HAGFORS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45741</v>
      </c>
      <c r="E489" s="1" t="n">
        <v>46251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46251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46251</v>
      </c>
      <c r="F491" t="inlineStr">
        <is>
          <t>VÄRMLANDS LÄN</t>
        </is>
      </c>
      <c r="G491" t="inlineStr">
        <is>
          <t>HAGFORS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46251</v>
      </c>
      <c r="F492" t="inlineStr">
        <is>
          <t>VÄRMLANDS LÄN</t>
        </is>
      </c>
      <c r="G492" t="inlineStr">
        <is>
          <t>HAGFORS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45846</v>
      </c>
      <c r="E493" s="1" t="n">
        <v>46251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57359-2022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46251</v>
      </c>
      <c r="F494" t="inlineStr">
        <is>
          <t>VÄRMLANDS LÄN</t>
        </is>
      </c>
      <c r="G494" t="inlineStr">
        <is>
          <t>HAGFORS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46251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46251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44817</v>
      </c>
      <c r="E497" s="1" t="n">
        <v>46251</v>
      </c>
      <c r="F497" t="inlineStr">
        <is>
          <t>VÄRMLANDS LÄN</t>
        </is>
      </c>
      <c r="G497" t="inlineStr">
        <is>
          <t>HAGFORS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46251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61265-2022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44915</v>
      </c>
      <c r="E499" s="1" t="n">
        <v>46251</v>
      </c>
      <c r="F499" t="inlineStr">
        <is>
          <t>VÄRMLANDS LÄN</t>
        </is>
      </c>
      <c r="G499" t="inlineStr">
        <is>
          <t>HAGFORS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44526</v>
      </c>
      <c r="E500" s="1" t="n">
        <v>46251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44246-2022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46251</v>
      </c>
      <c r="F501" t="inlineStr">
        <is>
          <t>VÄRMLANDS LÄN</t>
        </is>
      </c>
      <c r="G501" t="inlineStr">
        <is>
          <t>HAGFORS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45699</v>
      </c>
      <c r="E502" s="1" t="n">
        <v>46251</v>
      </c>
      <c r="F502" t="inlineStr">
        <is>
          <t>VÄRMLANDS LÄN</t>
        </is>
      </c>
      <c r="G502" t="inlineStr">
        <is>
          <t>HAGFORS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46251</v>
      </c>
      <c r="F503" t="inlineStr">
        <is>
          <t>VÄRMLANDS LÄN</t>
        </is>
      </c>
      <c r="G503" t="inlineStr">
        <is>
          <t>HAGFORS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20752-2026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46141</v>
      </c>
      <c r="E504" s="1" t="n">
        <v>46251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46251</v>
      </c>
      <c r="F505" t="inlineStr">
        <is>
          <t>VÄRMLANDS LÄN</t>
        </is>
      </c>
      <c r="G505" t="inlineStr">
        <is>
          <t>HAGFORS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46251</v>
      </c>
      <c r="F506" t="inlineStr">
        <is>
          <t>VÄRMLANDS LÄN</t>
        </is>
      </c>
      <c r="G506" t="inlineStr">
        <is>
          <t>HAGFORS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20880-2026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46142</v>
      </c>
      <c r="E507" s="1" t="n">
        <v>46251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46251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19391-2025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45769</v>
      </c>
      <c r="E509" s="1" t="n">
        <v>46251</v>
      </c>
      <c r="F509" t="inlineStr">
        <is>
          <t>VÄRMLANDS LÄN</t>
        </is>
      </c>
      <c r="G509" t="inlineStr">
        <is>
          <t>HAGFORS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46251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45218-2021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46251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46251</v>
      </c>
      <c r="F512" t="inlineStr">
        <is>
          <t>VÄRMLANDS LÄN</t>
        </is>
      </c>
      <c r="G512" t="inlineStr">
        <is>
          <t>HAGFORS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46251</v>
      </c>
      <c r="F513" t="inlineStr">
        <is>
          <t>VÄRMLANDS LÄN</t>
        </is>
      </c>
      <c r="G513" t="inlineStr">
        <is>
          <t>HAGFORS</t>
        </is>
      </c>
      <c r="H513" t="inlineStr">
        <is>
          <t>Kommuner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46251</v>
      </c>
      <c r="F514" t="inlineStr">
        <is>
          <t>VÄRMLANDS LÄN</t>
        </is>
      </c>
      <c r="G514" t="inlineStr">
        <is>
          <t>HAGFORS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45590</v>
      </c>
      <c r="E515" s="1" t="n">
        <v>46251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46251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46251</v>
      </c>
      <c r="F517" t="inlineStr">
        <is>
          <t>VÄRMLANDS LÄN</t>
        </is>
      </c>
      <c r="G517" t="inlineStr">
        <is>
          <t>HAGFORS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54751-2022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44883</v>
      </c>
      <c r="E518" s="1" t="n">
        <v>46251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46251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46251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46251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45772</v>
      </c>
      <c r="E522" s="1" t="n">
        <v>46251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45518</v>
      </c>
      <c r="E523" s="1" t="n">
        <v>46251</v>
      </c>
      <c r="F523" t="inlineStr">
        <is>
          <t>VÄRMLANDS LÄN</t>
        </is>
      </c>
      <c r="G523" t="inlineStr">
        <is>
          <t>HAGFORS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19554-2024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45429</v>
      </c>
      <c r="E524" s="1" t="n">
        <v>46251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46251</v>
      </c>
      <c r="F525" t="inlineStr">
        <is>
          <t>VÄRMLANDS LÄN</t>
        </is>
      </c>
      <c r="G525" t="inlineStr">
        <is>
          <t>HAGFORS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46251</v>
      </c>
      <c r="F526" t="inlineStr">
        <is>
          <t>VÄRMLANDS LÄN</t>
        </is>
      </c>
      <c r="G526" t="inlineStr">
        <is>
          <t>HAGFORS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45510</v>
      </c>
      <c r="E527" s="1" t="n">
        <v>46251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46251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46251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46251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22503-2024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45447</v>
      </c>
      <c r="E531" s="1" t="n">
        <v>46251</v>
      </c>
      <c r="F531" t="inlineStr">
        <is>
          <t>VÄRMLANDS LÄN</t>
        </is>
      </c>
      <c r="G531" t="inlineStr">
        <is>
          <t>HAGFORS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42593-2021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44428</v>
      </c>
      <c r="E532" s="1" t="n">
        <v>46251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21762-2026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46150</v>
      </c>
      <c r="E533" s="1" t="n">
        <v>46251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45562</v>
      </c>
      <c r="E534" s="1" t="n">
        <v>46251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46251</v>
      </c>
      <c r="F535" t="inlineStr">
        <is>
          <t>VÄRMLANDS LÄN</t>
        </is>
      </c>
      <c r="G535" t="inlineStr">
        <is>
          <t>HAGFORS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46251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44728-2023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46251</v>
      </c>
      <c r="F537" t="inlineStr">
        <is>
          <t>VÄRMLANDS LÄN</t>
        </is>
      </c>
      <c r="G537" t="inlineStr">
        <is>
          <t>HAGFORS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44950</v>
      </c>
      <c r="E538" s="1" t="n">
        <v>46251</v>
      </c>
      <c r="F538" t="inlineStr">
        <is>
          <t>VÄRMLANDS LÄN</t>
        </is>
      </c>
      <c r="G538" t="inlineStr">
        <is>
          <t>HAGFORS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44950</v>
      </c>
      <c r="E539" s="1" t="n">
        <v>46251</v>
      </c>
      <c r="F539" t="inlineStr">
        <is>
          <t>VÄRMLANDS LÄN</t>
        </is>
      </c>
      <c r="G539" t="inlineStr">
        <is>
          <t>HAGFORS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46251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46251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46251</v>
      </c>
      <c r="F542" t="inlineStr">
        <is>
          <t>VÄRMLANDS LÄN</t>
        </is>
      </c>
      <c r="G542" t="inlineStr">
        <is>
          <t>HAGFORS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46251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46251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35775-2024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45532</v>
      </c>
      <c r="E545" s="1" t="n">
        <v>46251</v>
      </c>
      <c r="F545" t="inlineStr">
        <is>
          <t>VÄRMLANDS LÄN</t>
        </is>
      </c>
      <c r="G545" t="inlineStr">
        <is>
          <t>HAGFORS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45575</v>
      </c>
      <c r="E546" s="1" t="n">
        <v>46251</v>
      </c>
      <c r="F546" t="inlineStr">
        <is>
          <t>VÄRMLANDS LÄN</t>
        </is>
      </c>
      <c r="G546" t="inlineStr">
        <is>
          <t>HAGFORS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46251</v>
      </c>
      <c r="F547" t="inlineStr">
        <is>
          <t>VÄRMLANDS LÄN</t>
        </is>
      </c>
      <c r="G547" t="inlineStr">
        <is>
          <t>HAGFORS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58210-2022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44901</v>
      </c>
      <c r="E548" s="1" t="n">
        <v>46251</v>
      </c>
      <c r="F548" t="inlineStr">
        <is>
          <t>VÄRMLANDS LÄN</t>
        </is>
      </c>
      <c r="G548" t="inlineStr">
        <is>
          <t>HAGFORS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46251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46251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46251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46251</v>
      </c>
      <c r="F552" t="inlineStr">
        <is>
          <t>VÄRMLANDS LÄN</t>
        </is>
      </c>
      <c r="G552" t="inlineStr">
        <is>
          <t>HAGFORS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46251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56165-2024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46251</v>
      </c>
      <c r="F554" t="inlineStr">
        <is>
          <t>VÄRMLANDS LÄN</t>
        </is>
      </c>
      <c r="G554" t="inlineStr">
        <is>
          <t>HAGFORS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46251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25258-2023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45079</v>
      </c>
      <c r="E556" s="1" t="n">
        <v>46251</v>
      </c>
      <c r="F556" t="inlineStr">
        <is>
          <t>VÄRMLANDS LÄN</t>
        </is>
      </c>
      <c r="G556" t="inlineStr">
        <is>
          <t>HAGFORS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46251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45684</v>
      </c>
      <c r="E558" s="1" t="n">
        <v>46251</v>
      </c>
      <c r="F558" t="inlineStr">
        <is>
          <t>VÄRMLANDS LÄN</t>
        </is>
      </c>
      <c r="G558" t="inlineStr">
        <is>
          <t>HAGFORS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46251</v>
      </c>
      <c r="F559" t="inlineStr">
        <is>
          <t>VÄRMLANDS LÄN</t>
        </is>
      </c>
      <c r="G559" t="inlineStr">
        <is>
          <t>HAGFORS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46251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45433</v>
      </c>
      <c r="E561" s="1" t="n">
        <v>46251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45335</v>
      </c>
      <c r="E562" s="1" t="n">
        <v>46251</v>
      </c>
      <c r="F562" t="inlineStr">
        <is>
          <t>VÄRMLANDS LÄN</t>
        </is>
      </c>
      <c r="G562" t="inlineStr">
        <is>
          <t>HAGFORS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45323</v>
      </c>
      <c r="E563" s="1" t="n">
        <v>46251</v>
      </c>
      <c r="F563" t="inlineStr">
        <is>
          <t>VÄRMLANDS LÄN</t>
        </is>
      </c>
      <c r="G563" t="inlineStr">
        <is>
          <t>HAGFORS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45519</v>
      </c>
      <c r="E564" s="1" t="n">
        <v>46251</v>
      </c>
      <c r="F564" t="inlineStr">
        <is>
          <t>VÄRMLANDS LÄN</t>
        </is>
      </c>
      <c r="G564" t="inlineStr">
        <is>
          <t>HAGFORS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46251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46251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46251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45562</v>
      </c>
      <c r="E568" s="1" t="n">
        <v>46251</v>
      </c>
      <c r="F568" t="inlineStr">
        <is>
          <t>VÄRMLANDS LÄN</t>
        </is>
      </c>
      <c r="G568" t="inlineStr">
        <is>
          <t>HAGFORS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46251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46251</v>
      </c>
      <c r="F570" t="inlineStr">
        <is>
          <t>VÄRMLANDS LÄN</t>
        </is>
      </c>
      <c r="G570" t="inlineStr">
        <is>
          <t>HAGFORS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45489</v>
      </c>
      <c r="E571" s="1" t="n">
        <v>46251</v>
      </c>
      <c r="F571" t="inlineStr">
        <is>
          <t>VÄRMLANDS LÄN</t>
        </is>
      </c>
      <c r="G571" t="inlineStr">
        <is>
          <t>HAGFORS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38612-2023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46251</v>
      </c>
      <c r="F572" t="inlineStr">
        <is>
          <t>VÄRMLANDS LÄN</t>
        </is>
      </c>
      <c r="G572" t="inlineStr">
        <is>
          <t>HAGFORS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46251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23269-2026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46251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46251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45777</v>
      </c>
      <c r="E576" s="1" t="n">
        <v>46251</v>
      </c>
      <c r="F576" t="inlineStr">
        <is>
          <t>VÄRMLANDS LÄN</t>
        </is>
      </c>
      <c r="G576" t="inlineStr">
        <is>
          <t>HAGFORS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46251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23728-2026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46164</v>
      </c>
      <c r="E578" s="1" t="n">
        <v>46251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45956</v>
      </c>
      <c r="E579" s="1" t="n">
        <v>46251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28.2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45952</v>
      </c>
      <c r="E580" s="1" t="n">
        <v>46251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45502</v>
      </c>
      <c r="E581" s="1" t="n">
        <v>46251</v>
      </c>
      <c r="F581" t="inlineStr">
        <is>
          <t>VÄRMLANDS LÄN</t>
        </is>
      </c>
      <c r="G581" t="inlineStr">
        <is>
          <t>HAGFORS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45084</v>
      </c>
      <c r="E582" s="1" t="n">
        <v>46251</v>
      </c>
      <c r="F582" t="inlineStr">
        <is>
          <t>VÄRMLANDS LÄN</t>
        </is>
      </c>
      <c r="G582" t="inlineStr">
        <is>
          <t>HAGFORS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46251</v>
      </c>
      <c r="F583" t="inlineStr">
        <is>
          <t>VÄRMLANDS LÄN</t>
        </is>
      </c>
      <c r="G583" t="inlineStr">
        <is>
          <t>HAGFORS</t>
        </is>
      </c>
      <c r="H583" t="inlineStr">
        <is>
          <t>Kyrkan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46251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47425-2024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45587</v>
      </c>
      <c r="E585" s="1" t="n">
        <v>46251</v>
      </c>
      <c r="F585" t="inlineStr">
        <is>
          <t>VÄRMLANDS LÄN</t>
        </is>
      </c>
      <c r="G585" t="inlineStr">
        <is>
          <t>HAGFORS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45460</v>
      </c>
      <c r="E586" s="1" t="n">
        <v>46251</v>
      </c>
      <c r="F586" t="inlineStr">
        <is>
          <t>VÄRMLANDS LÄN</t>
        </is>
      </c>
      <c r="G586" t="inlineStr">
        <is>
          <t>HAGFORS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45947</v>
      </c>
      <c r="E587" s="1" t="n">
        <v>46251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46251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46251</v>
      </c>
      <c r="F589" t="inlineStr">
        <is>
          <t>VÄRMLANDS LÄN</t>
        </is>
      </c>
      <c r="G589" t="inlineStr">
        <is>
          <t>HAGFORS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46251</v>
      </c>
      <c r="F590" t="inlineStr">
        <is>
          <t>VÄRMLANDS LÄN</t>
        </is>
      </c>
      <c r="G590" t="inlineStr">
        <is>
          <t>HAGFORS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46251</v>
      </c>
      <c r="F591" t="inlineStr">
        <is>
          <t>VÄRMLANDS LÄN</t>
        </is>
      </c>
      <c r="G591" t="inlineStr">
        <is>
          <t>HAGFORS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46251</v>
      </c>
      <c r="F592" t="inlineStr">
        <is>
          <t>VÄRMLANDS LÄN</t>
        </is>
      </c>
      <c r="G592" t="inlineStr">
        <is>
          <t>HAGFORS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6910-2024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45343</v>
      </c>
      <c r="E593" s="1" t="n">
        <v>46251</v>
      </c>
      <c r="F593" t="inlineStr">
        <is>
          <t>VÄRMLANDS LÄN</t>
        </is>
      </c>
      <c r="G593" t="inlineStr">
        <is>
          <t>HAGFORS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46251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46251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27826-2024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46251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46251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46251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19.5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46251</v>
      </c>
      <c r="F599" t="inlineStr">
        <is>
          <t>VÄRMLANDS LÄN</t>
        </is>
      </c>
      <c r="G599" t="inlineStr">
        <is>
          <t>HAGFORS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45335</v>
      </c>
      <c r="E600" s="1" t="n">
        <v>46251</v>
      </c>
      <c r="F600" t="inlineStr">
        <is>
          <t>VÄRMLANDS LÄN</t>
        </is>
      </c>
      <c r="G600" t="inlineStr">
        <is>
          <t>HAGFORS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17305-2023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45035</v>
      </c>
      <c r="E601" s="1" t="n">
        <v>46251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44567</v>
      </c>
      <c r="E602" s="1" t="n">
        <v>46251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46251</v>
      </c>
      <c r="F603" t="inlineStr">
        <is>
          <t>VÄRMLANDS LÄN</t>
        </is>
      </c>
      <c r="G603" t="inlineStr">
        <is>
          <t>HAGFORS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45786</v>
      </c>
      <c r="E604" s="1" t="n">
        <v>46251</v>
      </c>
      <c r="F604" t="inlineStr">
        <is>
          <t>VÄRMLANDS LÄN</t>
        </is>
      </c>
      <c r="G604" t="inlineStr">
        <is>
          <t>HAGFORS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44683</v>
      </c>
      <c r="E605" s="1" t="n">
        <v>46251</v>
      </c>
      <c r="F605" t="inlineStr">
        <is>
          <t>VÄRMLANDS LÄN</t>
        </is>
      </c>
      <c r="G605" t="inlineStr">
        <is>
          <t>HAGFORS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10236-2022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44622</v>
      </c>
      <c r="E606" s="1" t="n">
        <v>46251</v>
      </c>
      <c r="F606" t="inlineStr">
        <is>
          <t>VÄRMLANDS LÄN</t>
        </is>
      </c>
      <c r="G606" t="inlineStr">
        <is>
          <t>HAGFORS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46251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46251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45720</v>
      </c>
      <c r="E609" s="1" t="n">
        <v>46251</v>
      </c>
      <c r="F609" t="inlineStr">
        <is>
          <t>VÄRMLANDS LÄN</t>
        </is>
      </c>
      <c r="G609" t="inlineStr">
        <is>
          <t>HAGFORS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46251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22917-2025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46251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46251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46251</v>
      </c>
      <c r="F613" t="inlineStr">
        <is>
          <t>VÄRMLANDS LÄN</t>
        </is>
      </c>
      <c r="G613" t="inlineStr">
        <is>
          <t>HAGFORS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24625-2026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46171</v>
      </c>
      <c r="E614" s="1" t="n">
        <v>46251</v>
      </c>
      <c r="F614" t="inlineStr">
        <is>
          <t>VÄRMLANDS LÄN</t>
        </is>
      </c>
      <c r="G614" t="inlineStr">
        <is>
          <t>HAGFORS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24699-2026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46171</v>
      </c>
      <c r="E615" s="1" t="n">
        <v>46251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22964-2025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45790</v>
      </c>
      <c r="E616" s="1" t="n">
        <v>46251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46251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46251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23556-2025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45792</v>
      </c>
      <c r="E619" s="1" t="n">
        <v>46251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45792</v>
      </c>
      <c r="E620" s="1" t="n">
        <v>46251</v>
      </c>
      <c r="F620" t="inlineStr">
        <is>
          <t>VÄRMLANDS LÄN</t>
        </is>
      </c>
      <c r="G620" t="inlineStr">
        <is>
          <t>HAGFORS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46251</v>
      </c>
      <c r="F621" t="inlineStr">
        <is>
          <t>VÄRMLANDS LÄN</t>
        </is>
      </c>
      <c r="G621" t="inlineStr">
        <is>
          <t>HAGFORS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46251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45545</v>
      </c>
      <c r="E623" s="1" t="n">
        <v>46251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46251</v>
      </c>
      <c r="F624" t="inlineStr">
        <is>
          <t>VÄRMLANDS LÄN</t>
        </is>
      </c>
      <c r="G624" t="inlineStr">
        <is>
          <t>HAGFORS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54008-2024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45615</v>
      </c>
      <c r="E625" s="1" t="n">
        <v>46251</v>
      </c>
      <c r="F625" t="inlineStr">
        <is>
          <t>VÄRMLANDS LÄN</t>
        </is>
      </c>
      <c r="G625" t="inlineStr">
        <is>
          <t>HAGFORS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24761-2026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46171</v>
      </c>
      <c r="E626" s="1" t="n">
        <v>46251</v>
      </c>
      <c r="F626" t="inlineStr">
        <is>
          <t>VÄRMLANDS LÄN</t>
        </is>
      </c>
      <c r="G626" t="inlineStr">
        <is>
          <t>HAGFORS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45623</v>
      </c>
      <c r="E627" s="1" t="n">
        <v>46251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24628-2026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46171</v>
      </c>
      <c r="E628" s="1" t="n">
        <v>46251</v>
      </c>
      <c r="F628" t="inlineStr">
        <is>
          <t>VÄRMLANDS LÄN</t>
        </is>
      </c>
      <c r="G628" t="inlineStr">
        <is>
          <t>HAGFORS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24626-2026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46171</v>
      </c>
      <c r="E629" s="1" t="n">
        <v>46251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46251</v>
      </c>
      <c r="F630" t="inlineStr">
        <is>
          <t>VÄRMLANDS LÄN</t>
        </is>
      </c>
      <c r="G630" t="inlineStr">
        <is>
          <t>HAGFORS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24677-2026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46171</v>
      </c>
      <c r="E631" s="1" t="n">
        <v>46251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45547</v>
      </c>
      <c r="E632" s="1" t="n">
        <v>46251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15643-2024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45404</v>
      </c>
      <c r="E633" s="1" t="n">
        <v>46251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46251</v>
      </c>
      <c r="F634" t="inlineStr">
        <is>
          <t>VÄRMLANDS LÄN</t>
        </is>
      </c>
      <c r="G634" t="inlineStr">
        <is>
          <t>HAGFORS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45526</v>
      </c>
      <c r="E635" s="1" t="n">
        <v>46251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57162-2024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45629</v>
      </c>
      <c r="E636" s="1" t="n">
        <v>46251</v>
      </c>
      <c r="F636" t="inlineStr">
        <is>
          <t>VÄRMLANDS LÄN</t>
        </is>
      </c>
      <c r="G636" t="inlineStr">
        <is>
          <t>HAGFORS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46251</v>
      </c>
      <c r="F637" t="inlineStr">
        <is>
          <t>VÄRMLANDS LÄN</t>
        </is>
      </c>
      <c r="G637" t="inlineStr">
        <is>
          <t>HAGFORS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24435-2025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45797</v>
      </c>
      <c r="E638" s="1" t="n">
        <v>46251</v>
      </c>
      <c r="F638" t="inlineStr">
        <is>
          <t>VÄRMLANDS LÄN</t>
        </is>
      </c>
      <c r="G638" t="inlineStr">
        <is>
          <t>HAGFORS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16798-2025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45754</v>
      </c>
      <c r="E639" s="1" t="n">
        <v>46251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24434-2025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45797</v>
      </c>
      <c r="E640" s="1" t="n">
        <v>46251</v>
      </c>
      <c r="F640" t="inlineStr">
        <is>
          <t>VÄRMLANDS LÄN</t>
        </is>
      </c>
      <c r="G640" t="inlineStr">
        <is>
          <t>HAGFORS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46251</v>
      </c>
      <c r="F641" t="inlineStr">
        <is>
          <t>VÄRMLANDS LÄN</t>
        </is>
      </c>
      <c r="G641" t="inlineStr">
        <is>
          <t>HAGFORS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46251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24438-2025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45797</v>
      </c>
      <c r="E643" s="1" t="n">
        <v>46251</v>
      </c>
      <c r="F643" t="inlineStr">
        <is>
          <t>VÄRMLANDS LÄN</t>
        </is>
      </c>
      <c r="G643" t="inlineStr">
        <is>
          <t>HAGFORS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40692-2022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44824</v>
      </c>
      <c r="E644" s="1" t="n">
        <v>46251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46251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46251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46251</v>
      </c>
      <c r="F647" t="inlineStr">
        <is>
          <t>VÄRMLANDS LÄN</t>
        </is>
      </c>
      <c r="G647" t="inlineStr">
        <is>
          <t>HAGFORS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46251</v>
      </c>
      <c r="F648" t="inlineStr">
        <is>
          <t>VÄRMLANDS LÄN</t>
        </is>
      </c>
      <c r="G648" t="inlineStr">
        <is>
          <t>HAGFORS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46251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45608</v>
      </c>
      <c r="E650" s="1" t="n">
        <v>46251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46426-2024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46251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46251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45572</v>
      </c>
      <c r="E653" s="1" t="n">
        <v>46251</v>
      </c>
      <c r="F653" t="inlineStr">
        <is>
          <t>VÄRMLANDS LÄN</t>
        </is>
      </c>
      <c r="G653" t="inlineStr">
        <is>
          <t>HAGFORS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46251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46251</v>
      </c>
      <c r="F655" t="inlineStr">
        <is>
          <t>VÄRMLANDS LÄN</t>
        </is>
      </c>
      <c r="G655" t="inlineStr">
        <is>
          <t>HAGFORS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44603</v>
      </c>
      <c r="E656" s="1" t="n">
        <v>46251</v>
      </c>
      <c r="F656" t="inlineStr">
        <is>
          <t>VÄRMLANDS LÄN</t>
        </is>
      </c>
      <c r="G656" t="inlineStr">
        <is>
          <t>HAGFORS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44596</v>
      </c>
      <c r="E657" s="1" t="n">
        <v>46251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45842</v>
      </c>
      <c r="E658" s="1" t="n">
        <v>46251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50929-2023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46251</v>
      </c>
      <c r="F659" t="inlineStr">
        <is>
          <t>VÄRMLANDS LÄN</t>
        </is>
      </c>
      <c r="G659" t="inlineStr">
        <is>
          <t>HAGFORS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46251</v>
      </c>
      <c r="F660" t="inlineStr">
        <is>
          <t>VÄRMLANDS LÄN</t>
        </is>
      </c>
      <c r="G660" t="inlineStr">
        <is>
          <t>HAGFORS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45618</v>
      </c>
      <c r="E661" s="1" t="n">
        <v>46251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45069</v>
      </c>
      <c r="E662" s="1" t="n">
        <v>46251</v>
      </c>
      <c r="F662" t="inlineStr">
        <is>
          <t>VÄRMLANDS LÄN</t>
        </is>
      </c>
      <c r="G662" t="inlineStr">
        <is>
          <t>HAGFORS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45644</v>
      </c>
      <c r="E663" s="1" t="n">
        <v>46251</v>
      </c>
      <c r="F663" t="inlineStr">
        <is>
          <t>VÄRMLANDS LÄN</t>
        </is>
      </c>
      <c r="G663" t="inlineStr">
        <is>
          <t>HAGFORS</t>
        </is>
      </c>
      <c r="H663" t="inlineStr">
        <is>
          <t>Kyrkan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26019-2026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46251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45546</v>
      </c>
      <c r="E665" s="1" t="n">
        <v>46251</v>
      </c>
      <c r="F665" t="inlineStr">
        <is>
          <t>VÄRMLANDS LÄN</t>
        </is>
      </c>
      <c r="G665" t="inlineStr">
        <is>
          <t>HAGFORS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26463-2025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45807</v>
      </c>
      <c r="E666" s="1" t="n">
        <v>46251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45608</v>
      </c>
      <c r="E667" s="1" t="n">
        <v>46251</v>
      </c>
      <c r="F667" t="inlineStr">
        <is>
          <t>VÄRMLANDS LÄN</t>
        </is>
      </c>
      <c r="G667" t="inlineStr">
        <is>
          <t>HAGFORS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45754</v>
      </c>
      <c r="E668" s="1" t="n">
        <v>46251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31657-2024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45506</v>
      </c>
      <c r="E669" s="1" t="n">
        <v>46251</v>
      </c>
      <c r="F669" t="inlineStr">
        <is>
          <t>VÄRMLANDS LÄN</t>
        </is>
      </c>
      <c r="G669" t="inlineStr">
        <is>
          <t>HAGFORS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26617-2025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46251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46251</v>
      </c>
      <c r="F671" t="inlineStr">
        <is>
          <t>VÄRMLANDS LÄN</t>
        </is>
      </c>
      <c r="G671" t="inlineStr">
        <is>
          <t>HAGFORS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46251</v>
      </c>
      <c r="F672" t="inlineStr">
        <is>
          <t>VÄRMLANDS LÄN</t>
        </is>
      </c>
      <c r="G672" t="inlineStr">
        <is>
          <t>HAGFORS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44664</v>
      </c>
      <c r="E673" s="1" t="n">
        <v>46251</v>
      </c>
      <c r="F673" t="inlineStr">
        <is>
          <t>VÄRMLANDS LÄN</t>
        </is>
      </c>
      <c r="G673" t="inlineStr">
        <is>
          <t>HAGFORS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45811</v>
      </c>
      <c r="E674" s="1" t="n">
        <v>46251</v>
      </c>
      <c r="F674" t="inlineStr">
        <is>
          <t>VÄRMLANDS LÄN</t>
        </is>
      </c>
      <c r="G674" t="inlineStr">
        <is>
          <t>HAGFORS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46251</v>
      </c>
      <c r="F675" t="inlineStr">
        <is>
          <t>VÄRMLANDS LÄN</t>
        </is>
      </c>
      <c r="G675" t="inlineStr">
        <is>
          <t>HAGFORS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45811</v>
      </c>
      <c r="E676" s="1" t="n">
        <v>46251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46251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46251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45812</v>
      </c>
      <c r="E679" s="1" t="n">
        <v>46251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45659</v>
      </c>
      <c r="E680" s="1" t="n">
        <v>46251</v>
      </c>
      <c r="F680" t="inlineStr">
        <is>
          <t>VÄRMLANDS LÄN</t>
        </is>
      </c>
      <c r="G680" t="inlineStr">
        <is>
          <t>HAGFORS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45811</v>
      </c>
      <c r="E681" s="1" t="n">
        <v>46251</v>
      </c>
      <c r="F681" t="inlineStr">
        <is>
          <t>VÄRMLANDS LÄN</t>
        </is>
      </c>
      <c r="G681" t="inlineStr">
        <is>
          <t>HAGFORS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46225</v>
      </c>
      <c r="E682" s="1" t="n">
        <v>46251</v>
      </c>
      <c r="F682" t="inlineStr">
        <is>
          <t>VÄRMLANDS LÄN</t>
        </is>
      </c>
      <c r="G682" t="inlineStr">
        <is>
          <t>HAGFORS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27181-2025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45812</v>
      </c>
      <c r="E683" s="1" t="n">
        <v>46251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46226</v>
      </c>
      <c r="E684" s="1" t="n">
        <v>46251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45812</v>
      </c>
      <c r="E685" s="1" t="n">
        <v>46251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45812</v>
      </c>
      <c r="E686" s="1" t="n">
        <v>46251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46182</v>
      </c>
      <c r="E687" s="1" t="n">
        <v>46251</v>
      </c>
      <c r="F687" t="inlineStr">
        <is>
          <t>VÄRMLANDS LÄN</t>
        </is>
      </c>
      <c r="G687" t="inlineStr">
        <is>
          <t>HAGFORS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46251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46251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46251</v>
      </c>
      <c r="F690" t="inlineStr">
        <is>
          <t>VÄRMLANDS LÄN</t>
        </is>
      </c>
      <c r="G690" t="inlineStr">
        <is>
          <t>HAGFORS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46226</v>
      </c>
      <c r="E691" s="1" t="n">
        <v>46251</v>
      </c>
      <c r="F691" t="inlineStr">
        <is>
          <t>VÄRMLANDS LÄN</t>
        </is>
      </c>
      <c r="G691" t="inlineStr">
        <is>
          <t>HAGFORS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46251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46225</v>
      </c>
      <c r="E693" s="1" t="n">
        <v>46251</v>
      </c>
      <c r="F693" t="inlineStr">
        <is>
          <t>VÄRMLANDS LÄN</t>
        </is>
      </c>
      <c r="G693" t="inlineStr">
        <is>
          <t>HAGFORS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20113-2023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45055</v>
      </c>
      <c r="E694" s="1" t="n">
        <v>46251</v>
      </c>
      <c r="F694" t="inlineStr">
        <is>
          <t>VÄRMLANDS LÄN</t>
        </is>
      </c>
      <c r="G694" t="inlineStr">
        <is>
          <t>HAGFORS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45818</v>
      </c>
      <c r="E695" s="1" t="n">
        <v>46251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46251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46251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45763</v>
      </c>
      <c r="E698" s="1" t="n">
        <v>46251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26740-2026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46184</v>
      </c>
      <c r="E699" s="1" t="n">
        <v>46251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9.5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46251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18.2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46251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46251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26612-2026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46251</v>
      </c>
      <c r="F703" t="inlineStr">
        <is>
          <t>VÄRMLANDS LÄN</t>
        </is>
      </c>
      <c r="G703" t="inlineStr">
        <is>
          <t>HAGFORS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45819</v>
      </c>
      <c r="E704" s="1" t="n">
        <v>46251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54112-2023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45232</v>
      </c>
      <c r="E705" s="1" t="n">
        <v>46251</v>
      </c>
      <c r="F705" t="inlineStr">
        <is>
          <t>VÄRMLANDS LÄN</t>
        </is>
      </c>
      <c r="G705" t="inlineStr">
        <is>
          <t>HAGFORS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46251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29115-2025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45821</v>
      </c>
      <c r="E707" s="1" t="n">
        <v>46251</v>
      </c>
      <c r="F707" t="inlineStr">
        <is>
          <t>VÄRMLANDS LÄN</t>
        </is>
      </c>
      <c r="G707" t="inlineStr">
        <is>
          <t>HAGFORS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45121</v>
      </c>
      <c r="E708" s="1" t="n">
        <v>46251</v>
      </c>
      <c r="F708" t="inlineStr">
        <is>
          <t>VÄRMLANDS LÄN</t>
        </is>
      </c>
      <c r="G708" t="inlineStr">
        <is>
          <t>HAGFORS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46251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45226</v>
      </c>
      <c r="E710" s="1" t="n">
        <v>46251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45385</v>
      </c>
      <c r="E711" s="1" t="n">
        <v>46251</v>
      </c>
      <c r="F711" t="inlineStr">
        <is>
          <t>VÄRMLANDS LÄN</t>
        </is>
      </c>
      <c r="G711" t="inlineStr">
        <is>
          <t>HAGFORS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46251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8496-2022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44613</v>
      </c>
      <c r="E713" s="1" t="n">
        <v>46251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46251</v>
      </c>
      <c r="F714" t="inlineStr">
        <is>
          <t>VÄRMLANDS LÄN</t>
        </is>
      </c>
      <c r="G714" t="inlineStr">
        <is>
          <t>HAGFORS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29949-2025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45826</v>
      </c>
      <c r="E715" s="1" t="n">
        <v>46251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46251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45826</v>
      </c>
      <c r="E717" s="1" t="n">
        <v>46251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46188</v>
      </c>
      <c r="E718" s="1" t="n">
        <v>46251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46251</v>
      </c>
      <c r="F719" t="inlineStr">
        <is>
          <t>VÄRMLANDS LÄN</t>
        </is>
      </c>
      <c r="G719" t="inlineStr">
        <is>
          <t>HAGFORS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45826</v>
      </c>
      <c r="E720" s="1" t="n">
        <v>46251</v>
      </c>
      <c r="F720" t="inlineStr">
        <is>
          <t>VÄRMLANDS LÄN</t>
        </is>
      </c>
      <c r="G720" t="inlineStr">
        <is>
          <t>HAGFORS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45692</v>
      </c>
      <c r="E721" s="1" t="n">
        <v>46251</v>
      </c>
      <c r="F721" t="inlineStr">
        <is>
          <t>VÄRMLANDS LÄN</t>
        </is>
      </c>
      <c r="G721" t="inlineStr">
        <is>
          <t>HAGFORS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46251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46251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44638</v>
      </c>
      <c r="E724" s="1" t="n">
        <v>46251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46251</v>
      </c>
      <c r="F725" t="inlineStr">
        <is>
          <t>VÄRMLANDS LÄN</t>
        </is>
      </c>
      <c r="G725" t="inlineStr">
        <is>
          <t>HAGFORS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46251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46191</v>
      </c>
      <c r="E727" s="1" t="n">
        <v>46251</v>
      </c>
      <c r="F727" t="inlineStr">
        <is>
          <t>VÄRMLANDS LÄN</t>
        </is>
      </c>
      <c r="G727" t="inlineStr">
        <is>
          <t>HAGFORS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7332-2025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45703</v>
      </c>
      <c r="E728" s="1" t="n">
        <v>46251</v>
      </c>
      <c r="F728" t="inlineStr">
        <is>
          <t>VÄRMLANDS LÄN</t>
        </is>
      </c>
      <c r="G728" t="inlineStr">
        <is>
          <t>HAGFORS</t>
        </is>
      </c>
      <c r="H728" t="inlineStr">
        <is>
          <t>Kyrkan</t>
        </is>
      </c>
      <c r="I728" t="n">
        <v>15.9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35886-2023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45148</v>
      </c>
      <c r="E729" s="1" t="n">
        <v>46251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45107</v>
      </c>
      <c r="E730" s="1" t="n">
        <v>46251</v>
      </c>
      <c r="F730" t="inlineStr">
        <is>
          <t>VÄRMLANDS LÄN</t>
        </is>
      </c>
      <c r="G730" t="inlineStr">
        <is>
          <t>HAGFORS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44687</v>
      </c>
      <c r="E731" s="1" t="n">
        <v>46251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27799-2026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46191</v>
      </c>
      <c r="E732" s="1" t="n">
        <v>46251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46251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32043-2026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46233</v>
      </c>
      <c r="E734" s="1" t="n">
        <v>46251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46251</v>
      </c>
      <c r="F735" t="inlineStr">
        <is>
          <t>VÄRMLANDS LÄN</t>
        </is>
      </c>
      <c r="G735" t="inlineStr">
        <is>
          <t>HAGFORS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28185-2026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46251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9.6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45841</v>
      </c>
      <c r="E737" s="1" t="n">
        <v>46251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33440-2025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45841</v>
      </c>
      <c r="E738" s="1" t="n">
        <v>46251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45684</v>
      </c>
      <c r="E739" s="1" t="n">
        <v>46251</v>
      </c>
      <c r="F739" t="inlineStr">
        <is>
          <t>VÄRMLANDS LÄN</t>
        </is>
      </c>
      <c r="G739" t="inlineStr">
        <is>
          <t>HAGFORS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45841</v>
      </c>
      <c r="E740" s="1" t="n">
        <v>46251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45172</v>
      </c>
      <c r="E741" s="1" t="n">
        <v>46251</v>
      </c>
      <c r="F741" t="inlineStr">
        <is>
          <t>VÄRMLANDS LÄN</t>
        </is>
      </c>
      <c r="G741" t="inlineStr">
        <is>
          <t>HAGFORS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52224-2023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45224</v>
      </c>
      <c r="E742" s="1" t="n">
        <v>46251</v>
      </c>
      <c r="F742" t="inlineStr">
        <is>
          <t>VÄRMLANDS LÄN</t>
        </is>
      </c>
      <c r="G742" t="inlineStr">
        <is>
          <t>HAGFORS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45845</v>
      </c>
      <c r="E743" s="1" t="n">
        <v>46251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45845</v>
      </c>
      <c r="E744" s="1" t="n">
        <v>46251</v>
      </c>
      <c r="F744" t="inlineStr">
        <is>
          <t>VÄRMLANDS LÄN</t>
        </is>
      </c>
      <c r="G744" t="inlineStr">
        <is>
          <t>HAGFORS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34149-2025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46251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21954-2025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45784</v>
      </c>
      <c r="E746" s="1" t="n">
        <v>46251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19515-2025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46251</v>
      </c>
      <c r="F747" t="inlineStr">
        <is>
          <t>VÄRMLANDS LÄN</t>
        </is>
      </c>
      <c r="G747" t="inlineStr">
        <is>
          <t>HAGFORS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42801-2024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46251</v>
      </c>
      <c r="F748" t="inlineStr">
        <is>
          <t>VÄRMLANDS LÄN</t>
        </is>
      </c>
      <c r="G748" t="inlineStr">
        <is>
          <t>HAGFORS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46239</v>
      </c>
      <c r="E749" s="1" t="n">
        <v>46251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46251</v>
      </c>
      <c r="F750" t="inlineStr">
        <is>
          <t>VÄRMLANDS LÄN</t>
        </is>
      </c>
      <c r="G750" t="inlineStr">
        <is>
          <t>HAGFORS</t>
        </is>
      </c>
      <c r="H750" t="inlineStr">
        <is>
          <t>Kyrkan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45854</v>
      </c>
      <c r="E751" s="1" t="n">
        <v>46251</v>
      </c>
      <c r="F751" t="inlineStr">
        <is>
          <t>VÄRMLANDS LÄN</t>
        </is>
      </c>
      <c r="G751" t="inlineStr">
        <is>
          <t>HAGFORS</t>
        </is>
      </c>
      <c r="H751" t="inlineStr">
        <is>
          <t>Kyrkan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32490-2026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46251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19.3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46251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46251</v>
      </c>
      <c r="F754" t="inlineStr">
        <is>
          <t>VÄRMLANDS LÄN</t>
        </is>
      </c>
      <c r="G754" t="inlineStr">
        <is>
          <t>HAGFORS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46239</v>
      </c>
      <c r="E755" s="1" t="n">
        <v>46251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46251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32604-2025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45838</v>
      </c>
      <c r="E757" s="1" t="n">
        <v>46251</v>
      </c>
      <c r="F757" t="inlineStr">
        <is>
          <t>VÄRMLANDS LÄN</t>
        </is>
      </c>
      <c r="G757" t="inlineStr">
        <is>
          <t>HAGFORS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46251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46251</v>
      </c>
      <c r="F759" t="inlineStr">
        <is>
          <t>VÄRMLANDS LÄN</t>
        </is>
      </c>
      <c r="G759" t="inlineStr">
        <is>
          <t>HAGFORS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46251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7.5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46198</v>
      </c>
      <c r="E761" s="1" t="n">
        <v>46251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29269-2025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45824</v>
      </c>
      <c r="E762" s="1" t="n">
        <v>46251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46251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46251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46251</v>
      </c>
      <c r="F765" t="inlineStr">
        <is>
          <t>VÄRMLANDS LÄN</t>
        </is>
      </c>
      <c r="G765" t="inlineStr">
        <is>
          <t>HAGFORS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29102-2026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46200</v>
      </c>
      <c r="E766" s="1" t="n">
        <v>46251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46200</v>
      </c>
      <c r="E767" s="1" t="n">
        <v>46251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46251</v>
      </c>
      <c r="F768" t="inlineStr">
        <is>
          <t>VÄRMLANDS LÄN</t>
        </is>
      </c>
      <c r="G768" t="inlineStr">
        <is>
          <t>HAGFORS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46251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46251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46203</v>
      </c>
      <c r="E771" s="1" t="n">
        <v>46251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46251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46251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27855-2026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46191</v>
      </c>
      <c r="E774" s="1" t="n">
        <v>46251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46251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9.6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46251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33515-2026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46248</v>
      </c>
      <c r="E777" s="1" t="n">
        <v>46251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46251</v>
      </c>
      <c r="F778" t="inlineStr">
        <is>
          <t>VÄRMLANDS LÄN</t>
        </is>
      </c>
      <c r="G778" t="inlineStr">
        <is>
          <t>HAGFORS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30141-2026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46251</v>
      </c>
      <c r="F779" t="inlineStr">
        <is>
          <t>VÄRMLANDS LÄN</t>
        </is>
      </c>
      <c r="G779" t="inlineStr">
        <is>
          <t>HAGFORS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46251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46248</v>
      </c>
      <c r="E781" s="1" t="n">
        <v>46251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29950-2026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46251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46251</v>
      </c>
      <c r="F783" t="inlineStr">
        <is>
          <t>VÄRMLANDS LÄN</t>
        </is>
      </c>
      <c r="G783" t="inlineStr">
        <is>
          <t>HAGFORS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2225-2020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44127</v>
      </c>
      <c r="E784" s="1" t="n">
        <v>46251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2050-2022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44671</v>
      </c>
      <c r="E785" s="1" t="n">
        <v>46251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937-2022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44606</v>
      </c>
      <c r="E786" s="1" t="n">
        <v>46251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931-2022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44606</v>
      </c>
      <c r="E787" s="1" t="n">
        <v>46251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49.5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262-2022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44578</v>
      </c>
      <c r="E788" s="1" t="n">
        <v>46251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78.90000000000001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907-2022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46251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913-2022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898-2022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46251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900-2022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914-2022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46251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4419-2023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46251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4420-2023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45266</v>
      </c>
      <c r="E795" s="1" t="n">
        <v>46251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4426-2023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5512-2022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44834</v>
      </c>
      <c r="E797" s="1" t="n">
        <v>46251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4415-2023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46251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9.199999999999999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6970-2022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44901</v>
      </c>
      <c r="E799" s="1" t="n">
        <v>46251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4408-2023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46251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6968-2022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46251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4423-2023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4418-2023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46251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46251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4145-2023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45247</v>
      </c>
      <c r="E805" s="1" t="n">
        <v>46251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46251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89-2025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45316</v>
      </c>
      <c r="E807" s="1" t="n">
        <v>46251</v>
      </c>
      <c r="F807" t="inlineStr">
        <is>
          <t>VÄRMLANDS LÄN</t>
        </is>
      </c>
      <c r="G807" t="inlineStr">
        <is>
          <t>HAGFORS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6969-2022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46251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220-2025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45680</v>
      </c>
      <c r="E809" s="1" t="n">
        <v>46251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4150-2023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46251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4410-2023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46251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4409-2023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46251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4155-2023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46251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4140-2023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46251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46251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6973-2022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46251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4143-2023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4407-2023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46251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6965-2022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45716</v>
      </c>
      <c r="E820" s="1" t="n">
        <v>46251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52.4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108-2026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46037</v>
      </c>
      <c r="E821" s="1" t="n">
        <v>46251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204.4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46036</v>
      </c>
      <c r="E822" s="1" t="n">
        <v>46251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46013</v>
      </c>
      <c r="E823" s="1" t="n">
        <v>46251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382-2025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45691</v>
      </c>
      <c r="E824" s="1" t="n">
        <v>46251</v>
      </c>
      <c r="F824" t="inlineStr">
        <is>
          <t>VÄRMLANDS LÄN</t>
        </is>
      </c>
      <c r="G824" t="inlineStr">
        <is>
          <t>HAGFORS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2026-08-17T01:45:29Z</dcterms:created>
  <dcterms:modified xmlns:dcterms="http://purl.org/dc/terms/" xmlns:xsi="http://www.w3.org/2001/XMLSchema-instance" xsi:type="dcterms:W3CDTF">2026-08-17T01:45:30Z</dcterms:modified>
</cp:coreProperties>
</file>